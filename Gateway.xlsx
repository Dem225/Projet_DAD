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zebi_souate_jean_junior_ericsson_com/Documents/Desktop/Lobognon/"/>
    </mc:Choice>
  </mc:AlternateContent>
  <xr:revisionPtr revIDLastSave="158" documentId="8_{DBC752DA-3D77-466B-B8D1-15281ED90B69}" xr6:coauthVersionLast="47" xr6:coauthVersionMax="47" xr10:uidLastSave="{F9DA6835-7993-4E48-9A98-2A75D4451924}"/>
  <bookViews>
    <workbookView xWindow="-110" yWindow="-110" windowWidth="19420" windowHeight="10300" xr2:uid="{9FF8FE7A-7BDC-4831-B1AF-C606B1FB964B}"/>
  </bookViews>
  <sheets>
    <sheet name="Gateway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Gateway!$A$1:$K$82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2" i="1" l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G26" i="1"/>
  <c r="G27" i="1"/>
  <c r="G28" i="1"/>
  <c r="G29" i="1"/>
  <c r="G30" i="1"/>
  <c r="G31" i="1"/>
  <c r="J21" i="1"/>
  <c r="J22" i="1"/>
  <c r="J23" i="1"/>
  <c r="J24" i="1"/>
  <c r="J25" i="1"/>
  <c r="H20" i="1"/>
  <c r="I20" i="1"/>
  <c r="H21" i="1"/>
  <c r="I21" i="1"/>
  <c r="H22" i="1"/>
  <c r="I22" i="1"/>
  <c r="H23" i="1"/>
  <c r="I23" i="1"/>
  <c r="H24" i="1"/>
  <c r="I24" i="1"/>
  <c r="H25" i="1"/>
  <c r="I25" i="1"/>
  <c r="G21" i="1"/>
  <c r="G22" i="1"/>
  <c r="G23" i="1"/>
  <c r="G24" i="1"/>
  <c r="G25" i="1"/>
  <c r="G20" i="1"/>
  <c r="J15" i="1"/>
  <c r="J16" i="1"/>
  <c r="J17" i="1"/>
  <c r="J18" i="1"/>
  <c r="J19" i="1"/>
  <c r="J20" i="1"/>
  <c r="J14" i="1"/>
  <c r="C16" i="1"/>
  <c r="B16" i="1"/>
  <c r="A16" i="1"/>
  <c r="I19" i="1"/>
  <c r="H19" i="1"/>
  <c r="I18" i="1"/>
  <c r="H18" i="1"/>
  <c r="I17" i="1"/>
  <c r="H17" i="1"/>
  <c r="I16" i="1"/>
  <c r="H16" i="1"/>
  <c r="I15" i="1"/>
  <c r="H15" i="1"/>
  <c r="I14" i="1"/>
  <c r="H14" i="1"/>
</calcChain>
</file>

<file path=xl/sharedStrings.xml><?xml version="1.0" encoding="utf-8"?>
<sst xmlns="http://schemas.openxmlformats.org/spreadsheetml/2006/main" count="220" uniqueCount="70">
  <si>
    <t xml:space="preserve">Block d'adresse </t>
  </si>
  <si>
    <t>Masque</t>
  </si>
  <si>
    <t>vlanid</t>
  </si>
  <si>
    <t>Technology</t>
  </si>
  <si>
    <t>Router Gateway</t>
  </si>
  <si>
    <t>Vendor</t>
  </si>
  <si>
    <t>Router hostname</t>
  </si>
  <si>
    <t>Longitude</t>
  </si>
  <si>
    <t>Latitude</t>
  </si>
  <si>
    <t>Area</t>
  </si>
  <si>
    <t>Nom du Router</t>
  </si>
  <si>
    <t>10.187.134.224</t>
  </si>
  <si>
    <t>2G</t>
  </si>
  <si>
    <t>AC622</t>
  </si>
  <si>
    <t>Huawei</t>
  </si>
  <si>
    <t>AC622PEASR920_01</t>
  </si>
  <si>
    <t>ABIDJAN</t>
  </si>
  <si>
    <t>ST_PIERRE_ANOUM</t>
  </si>
  <si>
    <t>10.187.150.224</t>
  </si>
  <si>
    <t>3G</t>
  </si>
  <si>
    <t>10.187.166.224</t>
  </si>
  <si>
    <t>4G</t>
  </si>
  <si>
    <t>10.114.199.56</t>
  </si>
  <si>
    <t>5G</t>
  </si>
  <si>
    <t>10.187.182.224</t>
  </si>
  <si>
    <t>OM_3G_4G</t>
  </si>
  <si>
    <t>10.119.135.56</t>
  </si>
  <si>
    <t>OM_5G</t>
  </si>
  <si>
    <t>10.187.137.32</t>
  </si>
  <si>
    <t>AC153</t>
  </si>
  <si>
    <t>AC153PE-NE8000_ASR</t>
  </si>
  <si>
    <t>SAN-PEDRO</t>
  </si>
  <si>
    <t>ZIMBABWE</t>
  </si>
  <si>
    <t>10.187.153.32</t>
  </si>
  <si>
    <t>10.187.169.32</t>
  </si>
  <si>
    <t>10.118.192.8</t>
  </si>
  <si>
    <t>10.187.185.32</t>
  </si>
  <si>
    <t>10.119.192.8</t>
  </si>
  <si>
    <t>-3.965611</t>
  </si>
  <si>
    <t>5.307372</t>
  </si>
  <si>
    <t>-6.6456</t>
  </si>
  <si>
    <t>4.7625</t>
  </si>
  <si>
    <t>AC288</t>
  </si>
  <si>
    <t>AC628</t>
  </si>
  <si>
    <t>AC324</t>
  </si>
  <si>
    <t>AC001</t>
  </si>
  <si>
    <t>AC288PE-NE8000_ASR</t>
  </si>
  <si>
    <t>10.189.89.48</t>
  </si>
  <si>
    <t>10.189.109.48</t>
  </si>
  <si>
    <t>10.118.194.176</t>
  </si>
  <si>
    <t>10.189.149.48</t>
  </si>
  <si>
    <t>10.119.194.176</t>
  </si>
  <si>
    <t>10.187.140.64</t>
  </si>
  <si>
    <t>10.187.156.64</t>
  </si>
  <si>
    <t>10.187.172.64</t>
  </si>
  <si>
    <t>10.187.188.64</t>
  </si>
  <si>
    <t>10.112.198.64</t>
  </si>
  <si>
    <t>10.117.134.64</t>
  </si>
  <si>
    <t>10.187.137.224</t>
  </si>
  <si>
    <t>10.187.153.224</t>
  </si>
  <si>
    <t>10.187.169.224</t>
  </si>
  <si>
    <t>10.187.185.224</t>
  </si>
  <si>
    <t>10.117.132.216</t>
  </si>
  <si>
    <t>10.112.196.216</t>
  </si>
  <si>
    <t>10.187.134.128</t>
  </si>
  <si>
    <t>10.187.150.128</t>
  </si>
  <si>
    <t>10.187.166.128</t>
  </si>
  <si>
    <t>10.187.182.128</t>
  </si>
  <si>
    <t>10.114.192.0</t>
  </si>
  <si>
    <t>10.119.128.0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</si>
</sst>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164" fontId="1" fillId="0" borderId="0"/>
    <xf numFmtId="164" fontId="1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3" borderId="4" xfId="1" applyNumberFormat="1" applyFont="1" applyFill="1" applyBorder="1" applyAlignment="1">
      <alignment horizontal="center" vertical="center"/>
    </xf>
    <xf numFmtId="0" fontId="3" fillId="3" borderId="5" xfId="2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3" xfId="0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/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4" fillId="0" borderId="18" xfId="0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/>
    <xf numFmtId="0" fontId="0" fillId="0" borderId="7" xfId="0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4" xfId="0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8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6" xfId="0" applyFill="1" applyBorder="1"/>
    <xf numFmtId="0" fontId="0" fillId="0" borderId="17" xfId="0" applyFill="1" applyBorder="1"/>
    <xf numFmtId="0" fontId="0" fillId="0" borderId="3" xfId="0" applyBorder="1"/>
    <xf numFmtId="0" fontId="0" fillId="0" borderId="13" xfId="0" applyFill="1" applyBorder="1" applyAlignment="1">
      <alignment horizontal="left"/>
    </xf>
    <xf numFmtId="0" fontId="0" fillId="0" borderId="12" xfId="0" applyFill="1" applyBorder="1"/>
  </cellXfs>
  <cellStyles count="3">
    <cellStyle name="Normal" xfId="0" builtinId="0"/>
    <cellStyle name="Normal 11 2" xfId="2" xr:uid="{35293CB2-F31F-4EF7-9FE8-E02BFAA7C9F0}"/>
    <cellStyle name="Normal 2" xfId="1" xr:uid="{1308F8ED-B0EE-4358-A753-D9A652490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zebi/CAPEX-2026/RAN/Detailed%20Scope%20with%20ASP%20allocation_CAPEX%202026.xlsx" TargetMode="External"/><Relationship Id="rId2" Type="http://schemas.openxmlformats.org/officeDocument/2006/relationships/externalLinkPath" Target="https://ericsson-my.sharepoint.com/personal/zebi_souate_jean_junior_ericsson_com/Documents/Desktop/zebi/CAPEX-2026/RAN/Detailed%20Scope%20with%20ASP%20allocation_CAPEX%202026.xlsx" TargetMode="External"/><Relationship Id="rId1" Type="http://schemas.openxmlformats.org/officeDocument/2006/relationships/externalLinkPath" Target="/personal/zebi_souate_jean_junior_ericsson_com/Documents/Desktop/zebi/CAPEX-2026/RAN/Detailed%20Scope%20with%20ASP%20allocation_CAPEX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zebi/CAPEX-2026/RAN/SITE%20EN%20SERVICE%2031082026.xlsx" TargetMode="External"/><Relationship Id="rId2" Type="http://schemas.openxmlformats.org/officeDocument/2006/relationships/externalLinkPath" Target="https://ericsson-my.sharepoint.com/personal/zebi_souate_jean_junior_ericsson_com/Documents/Desktop/zebi/CAPEX-2026/RAN/SITE%20EN%20SERVICE%2031082026.xlsx" TargetMode="External"/><Relationship Id="rId1" Type="http://schemas.openxmlformats.org/officeDocument/2006/relationships/externalLinkPath" Target="/personal/zebi_souate_jean_junior_ericsson_com/Documents/Desktop/zebi/CAPEX-2026/RAN/SITE%20EN%20SERVICE%203108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ebsou\Downloads\Martinien\IPRAN%20HUAWEI%20SUMMARY.xlsx" TargetMode="External"/><Relationship Id="rId1" Type="http://schemas.openxmlformats.org/officeDocument/2006/relationships/externalLinkPath" Target="file:///C:\Users\ezebsou\Downloads\Martinien\IPRAN%20HUAWEI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il1"/>
      <sheetName val="Sheet4"/>
      <sheetName val="Sheet1"/>
      <sheetName val="FarEnd JN"/>
      <sheetName val="Tx_DCN_GW"/>
      <sheetName val="All in One"/>
      <sheetName val="Router vendor"/>
      <sheetName val="Upcountry routers"/>
      <sheetName val="NodeB - TCU_IP (2)"/>
      <sheetName val="NodeB IP from ENM"/>
      <sheetName val="IPRAN Huawei Subnetting"/>
      <sheetName val="Sheet2"/>
      <sheetName val="Sheet3"/>
    </sheetNames>
    <sheetDataSet>
      <sheetData sheetId="0"/>
      <sheetData sheetId="1"/>
      <sheetData sheetId="2">
        <row r="3">
          <cell r="AH3" t="str">
            <v>Router Gateway</v>
          </cell>
          <cell r="AJ3" t="str">
            <v>Router hostname</v>
          </cell>
        </row>
        <row r="33">
          <cell r="AH33" t="str">
            <v>AC192</v>
          </cell>
        </row>
        <row r="34">
          <cell r="AH34" t="str">
            <v>ET369</v>
          </cell>
        </row>
        <row r="35">
          <cell r="AH35" t="str">
            <v>AC038</v>
          </cell>
        </row>
        <row r="36">
          <cell r="AH36" t="str">
            <v>ET426</v>
          </cell>
        </row>
        <row r="37">
          <cell r="AH37" t="str">
            <v>ET073</v>
          </cell>
        </row>
        <row r="38">
          <cell r="AH38" t="str">
            <v>AC114</v>
          </cell>
        </row>
        <row r="39">
          <cell r="AH39" t="str">
            <v>AC041</v>
          </cell>
        </row>
        <row r="40">
          <cell r="AH40" t="str">
            <v>AC049</v>
          </cell>
        </row>
        <row r="41">
          <cell r="AH41" t="str">
            <v>ET078</v>
          </cell>
        </row>
        <row r="42">
          <cell r="AH42" t="str">
            <v>AC727</v>
          </cell>
        </row>
        <row r="43">
          <cell r="AH43" t="str">
            <v>ET083</v>
          </cell>
        </row>
        <row r="44">
          <cell r="AH44" t="str">
            <v>AC086</v>
          </cell>
        </row>
        <row r="45">
          <cell r="AH45" t="str">
            <v>AC164</v>
          </cell>
        </row>
        <row r="46">
          <cell r="AH46" t="str">
            <v>AC086</v>
          </cell>
        </row>
        <row r="47">
          <cell r="AH47" t="str">
            <v>AC166</v>
          </cell>
        </row>
        <row r="48">
          <cell r="AH48" t="str">
            <v>ET795</v>
          </cell>
        </row>
        <row r="49">
          <cell r="AH49" t="str">
            <v>AC005</v>
          </cell>
        </row>
        <row r="50">
          <cell r="AH50" t="str">
            <v>AC017</v>
          </cell>
        </row>
        <row r="51">
          <cell r="AH51" t="str">
            <v>AC359</v>
          </cell>
        </row>
        <row r="52">
          <cell r="AH52" t="str">
            <v>ET369</v>
          </cell>
        </row>
        <row r="53">
          <cell r="AH53" t="str">
            <v>AC156</v>
          </cell>
        </row>
        <row r="54">
          <cell r="AH54" t="str">
            <v>AC652</v>
          </cell>
        </row>
        <row r="55">
          <cell r="AH55" t="str">
            <v>AC339</v>
          </cell>
        </row>
        <row r="56">
          <cell r="AH56" t="str">
            <v>AC058</v>
          </cell>
        </row>
        <row r="57">
          <cell r="AH57" t="str">
            <v>AC372</v>
          </cell>
        </row>
        <row r="58">
          <cell r="AH58" t="str">
            <v>AC008</v>
          </cell>
        </row>
        <row r="59">
          <cell r="AH59" t="str">
            <v>AC615</v>
          </cell>
        </row>
        <row r="60">
          <cell r="AH60" t="str">
            <v>AC622</v>
          </cell>
        </row>
        <row r="61">
          <cell r="AH61" t="str">
            <v>AC664</v>
          </cell>
        </row>
        <row r="62">
          <cell r="AH62" t="str">
            <v>AC413</v>
          </cell>
        </row>
        <row r="63">
          <cell r="AH63" t="str">
            <v>AC703</v>
          </cell>
        </row>
        <row r="64">
          <cell r="AH64" t="str">
            <v>AC183</v>
          </cell>
        </row>
        <row r="65">
          <cell r="AH65" t="str">
            <v>AC063</v>
          </cell>
        </row>
        <row r="66">
          <cell r="AH66" t="str">
            <v>ET072</v>
          </cell>
        </row>
        <row r="67">
          <cell r="AH67" t="str">
            <v>AC911</v>
          </cell>
        </row>
        <row r="68">
          <cell r="AH68" t="str">
            <v>AC113</v>
          </cell>
        </row>
        <row r="69">
          <cell r="AH69" t="str">
            <v>AC192</v>
          </cell>
        </row>
        <row r="70">
          <cell r="AH70" t="str">
            <v>AC157</v>
          </cell>
        </row>
        <row r="71">
          <cell r="AH71" t="str">
            <v>AC314</v>
          </cell>
        </row>
        <row r="72">
          <cell r="AH72" t="str">
            <v>AC022</v>
          </cell>
        </row>
        <row r="73">
          <cell r="AH73" t="str">
            <v>AC025</v>
          </cell>
        </row>
        <row r="74">
          <cell r="AH74" t="str">
            <v>AC375</v>
          </cell>
        </row>
        <row r="75">
          <cell r="AH75" t="str">
            <v>AC911</v>
          </cell>
        </row>
        <row r="76">
          <cell r="AH76" t="str">
            <v>AC228</v>
          </cell>
        </row>
        <row r="77">
          <cell r="AH77" t="str">
            <v>AC109</v>
          </cell>
        </row>
        <row r="78">
          <cell r="AH78" t="str">
            <v>AC033</v>
          </cell>
        </row>
        <row r="79">
          <cell r="AH79" t="str">
            <v>AC624</v>
          </cell>
        </row>
        <row r="80">
          <cell r="AH80" t="str">
            <v>AC040</v>
          </cell>
        </row>
        <row r="81">
          <cell r="AH81" t="str">
            <v>AC042</v>
          </cell>
        </row>
        <row r="82">
          <cell r="AH82" t="str">
            <v>AC166</v>
          </cell>
        </row>
        <row r="83">
          <cell r="AH83" t="str">
            <v>AC192</v>
          </cell>
        </row>
        <row r="84">
          <cell r="AH84" t="str">
            <v>AC198</v>
          </cell>
        </row>
        <row r="85">
          <cell r="AH85" t="str">
            <v>AC690</v>
          </cell>
        </row>
        <row r="86">
          <cell r="AH86" t="str">
            <v>AC665</v>
          </cell>
        </row>
        <row r="87">
          <cell r="AH87" t="str">
            <v>AC613</v>
          </cell>
        </row>
        <row r="88">
          <cell r="AH88" t="str">
            <v>AC014</v>
          </cell>
        </row>
        <row r="89">
          <cell r="AH89" t="str">
            <v>AC004</v>
          </cell>
        </row>
        <row r="90">
          <cell r="AH90" t="str">
            <v>AC065</v>
          </cell>
        </row>
        <row r="91">
          <cell r="AH91" t="str">
            <v>ET028</v>
          </cell>
        </row>
        <row r="92">
          <cell r="AH92" t="str">
            <v>ET325</v>
          </cell>
        </row>
        <row r="93">
          <cell r="AH93" t="str">
            <v>AC198</v>
          </cell>
        </row>
        <row r="94">
          <cell r="AH94" t="str">
            <v>AC385</v>
          </cell>
        </row>
        <row r="95">
          <cell r="AH95" t="str">
            <v>AC157</v>
          </cell>
        </row>
        <row r="96">
          <cell r="AH96" t="str">
            <v>AC053</v>
          </cell>
        </row>
        <row r="97">
          <cell r="AH97" t="str">
            <v>AC383</v>
          </cell>
        </row>
        <row r="98">
          <cell r="AH98" t="str">
            <v>AC052</v>
          </cell>
        </row>
        <row r="99">
          <cell r="AH99" t="str">
            <v>AC379</v>
          </cell>
        </row>
        <row r="100">
          <cell r="AH100" t="str">
            <v>AC383</v>
          </cell>
        </row>
        <row r="101">
          <cell r="AH101" t="str">
            <v>AC680</v>
          </cell>
        </row>
        <row r="102">
          <cell r="AH102" t="str">
            <v>ET005</v>
          </cell>
        </row>
        <row r="103">
          <cell r="AH103" t="str">
            <v>ET078</v>
          </cell>
        </row>
        <row r="104">
          <cell r="AH104" t="str">
            <v>AC055</v>
          </cell>
        </row>
        <row r="105">
          <cell r="AH105" t="str">
            <v>AC020</v>
          </cell>
        </row>
        <row r="106">
          <cell r="AH106" t="str">
            <v>AC183</v>
          </cell>
        </row>
        <row r="107">
          <cell r="AH107" t="str">
            <v>AC171</v>
          </cell>
        </row>
        <row r="108">
          <cell r="AH108" t="str">
            <v>AC394</v>
          </cell>
        </row>
        <row r="109">
          <cell r="AH109" t="str">
            <v>AC322</v>
          </cell>
        </row>
        <row r="110">
          <cell r="AH110" t="str">
            <v>AC339</v>
          </cell>
        </row>
        <row r="111">
          <cell r="AH111" t="str">
            <v>ET369</v>
          </cell>
        </row>
        <row r="112">
          <cell r="AH112" t="str">
            <v>AC198</v>
          </cell>
        </row>
        <row r="113">
          <cell r="AH113" t="str">
            <v>AC650</v>
          </cell>
        </row>
        <row r="114">
          <cell r="AH114" t="str">
            <v>ET005</v>
          </cell>
        </row>
        <row r="115">
          <cell r="AH115" t="str">
            <v>AC108</v>
          </cell>
        </row>
        <row r="116">
          <cell r="AH116" t="str">
            <v>AC014</v>
          </cell>
        </row>
        <row r="117">
          <cell r="AH117" t="str">
            <v>AC684</v>
          </cell>
        </row>
        <row r="118">
          <cell r="AH118" t="str">
            <v>AC413</v>
          </cell>
        </row>
        <row r="119">
          <cell r="AH119" t="str">
            <v>AC014</v>
          </cell>
        </row>
        <row r="120">
          <cell r="AH120" t="str">
            <v>AC646</v>
          </cell>
        </row>
        <row r="121">
          <cell r="AH121" t="str">
            <v>AC351</v>
          </cell>
        </row>
        <row r="122">
          <cell r="AH122" t="str">
            <v>ET495</v>
          </cell>
        </row>
        <row r="123">
          <cell r="AH123" t="str">
            <v>AC358</v>
          </cell>
        </row>
        <row r="124">
          <cell r="AH124" t="str">
            <v>AC079</v>
          </cell>
        </row>
        <row r="125">
          <cell r="AH125" t="str">
            <v>AC719</v>
          </cell>
        </row>
        <row r="126">
          <cell r="AH126" t="str">
            <v>AC027</v>
          </cell>
        </row>
        <row r="127">
          <cell r="AH127" t="str">
            <v>AC003</v>
          </cell>
        </row>
        <row r="128">
          <cell r="AH128" t="str">
            <v>ET334</v>
          </cell>
        </row>
        <row r="129">
          <cell r="AH129" t="str">
            <v>AC033</v>
          </cell>
        </row>
        <row r="130">
          <cell r="AH130" t="str">
            <v>AC330</v>
          </cell>
        </row>
        <row r="131">
          <cell r="AH131" t="str">
            <v>AC111</v>
          </cell>
        </row>
        <row r="132">
          <cell r="AH132" t="str">
            <v>AC049</v>
          </cell>
        </row>
        <row r="133">
          <cell r="AH133" t="str">
            <v>AC176</v>
          </cell>
        </row>
        <row r="134">
          <cell r="AH134" t="str">
            <v>AC057</v>
          </cell>
        </row>
        <row r="135">
          <cell r="AH135" t="str">
            <v>AC109</v>
          </cell>
        </row>
        <row r="136">
          <cell r="AH136" t="str">
            <v>ET420</v>
          </cell>
        </row>
        <row r="137">
          <cell r="AH137" t="str">
            <v>AC413</v>
          </cell>
        </row>
        <row r="138">
          <cell r="AH138" t="str">
            <v>AC164</v>
          </cell>
        </row>
        <row r="139">
          <cell r="AH139" t="str">
            <v>AC053</v>
          </cell>
        </row>
        <row r="140">
          <cell r="AH140" t="str">
            <v>AC648</v>
          </cell>
        </row>
        <row r="141">
          <cell r="AH141" t="str">
            <v>AC066</v>
          </cell>
        </row>
        <row r="142">
          <cell r="AH142" t="str">
            <v>AC192</v>
          </cell>
        </row>
        <row r="143">
          <cell r="AH143" t="str">
            <v>AC034</v>
          </cell>
        </row>
        <row r="144">
          <cell r="AH144" t="str">
            <v>ET088</v>
          </cell>
        </row>
        <row r="145">
          <cell r="AH145" t="str">
            <v>AC383</v>
          </cell>
        </row>
        <row r="146">
          <cell r="AH146" t="str">
            <v>AC077</v>
          </cell>
        </row>
        <row r="147">
          <cell r="AH147" t="str">
            <v>AC716</v>
          </cell>
        </row>
        <row r="148">
          <cell r="AH148" t="str">
            <v>AC198</v>
          </cell>
        </row>
        <row r="149">
          <cell r="AH149" t="str">
            <v>AC349</v>
          </cell>
        </row>
        <row r="150">
          <cell r="AH150" t="str">
            <v>AC183</v>
          </cell>
        </row>
        <row r="151">
          <cell r="AH151" t="str">
            <v>AC218</v>
          </cell>
        </row>
        <row r="152">
          <cell r="AH152" t="str">
            <v>AC225</v>
          </cell>
        </row>
        <row r="153">
          <cell r="AH153" t="str">
            <v>AC062</v>
          </cell>
        </row>
        <row r="154">
          <cell r="AH154" t="str">
            <v>AC023</v>
          </cell>
        </row>
        <row r="155">
          <cell r="AH155" t="str">
            <v>AC096</v>
          </cell>
        </row>
        <row r="156">
          <cell r="AH156" t="str">
            <v>AC616</v>
          </cell>
        </row>
        <row r="157">
          <cell r="AH157" t="str">
            <v>AC027</v>
          </cell>
        </row>
        <row r="158">
          <cell r="AH158" t="str">
            <v>AC027</v>
          </cell>
        </row>
        <row r="159">
          <cell r="AH159" t="str">
            <v>AC322</v>
          </cell>
        </row>
        <row r="160">
          <cell r="AH160" t="str">
            <v>AC668</v>
          </cell>
        </row>
        <row r="161">
          <cell r="AH161" t="str">
            <v>AC993</v>
          </cell>
        </row>
        <row r="162">
          <cell r="AH162" t="str">
            <v>AC993</v>
          </cell>
        </row>
        <row r="163">
          <cell r="AH163" t="str">
            <v>AC039</v>
          </cell>
        </row>
        <row r="164">
          <cell r="AH164" t="str">
            <v>AC018</v>
          </cell>
        </row>
        <row r="165">
          <cell r="AH165" t="str">
            <v>AC018</v>
          </cell>
        </row>
        <row r="166">
          <cell r="AH166" t="str">
            <v>AC198</v>
          </cell>
        </row>
        <row r="167">
          <cell r="AH167" t="str">
            <v>ET495</v>
          </cell>
        </row>
        <row r="168">
          <cell r="AH168" t="str">
            <v>AC110</v>
          </cell>
        </row>
        <row r="169">
          <cell r="AH169" t="str">
            <v>AC717</v>
          </cell>
        </row>
        <row r="199">
          <cell r="AH199" t="str">
            <v>AC288</v>
          </cell>
          <cell r="AJ199" t="str">
            <v>AC288PE-NE8000_ASR</v>
          </cell>
        </row>
        <row r="200">
          <cell r="AH200" t="str">
            <v>AC288</v>
          </cell>
          <cell r="AJ200" t="str">
            <v>AC288PE-NE8000_ASR</v>
          </cell>
        </row>
        <row r="201">
          <cell r="AH201" t="str">
            <v>AC288</v>
          </cell>
          <cell r="AJ201" t="str">
            <v>AC288PE-NE8000_ASR</v>
          </cell>
        </row>
        <row r="202">
          <cell r="AH202" t="str">
            <v>ET443</v>
          </cell>
          <cell r="AJ202" t="str">
            <v>ET443PE-NE8000_ASR</v>
          </cell>
        </row>
        <row r="207">
          <cell r="AH207" t="str">
            <v>AC974</v>
          </cell>
          <cell r="AJ207" t="str">
            <v>AC974PE-NE8000_ASR</v>
          </cell>
        </row>
        <row r="209">
          <cell r="AH209" t="str">
            <v>AC974</v>
          </cell>
          <cell r="AJ209" t="str">
            <v>AC974PE-NE8000_ASR</v>
          </cell>
        </row>
        <row r="278">
          <cell r="AH278" t="str">
            <v>AC622</v>
          </cell>
          <cell r="AJ278" t="str">
            <v>AC622PEASR920_01</v>
          </cell>
        </row>
        <row r="279">
          <cell r="AH279" t="str">
            <v>AC157</v>
          </cell>
          <cell r="AJ279" t="str">
            <v>AC157PE-NE8000_ASR</v>
          </cell>
        </row>
        <row r="280">
          <cell r="AH280" t="str">
            <v>ET369</v>
          </cell>
          <cell r="AJ280" t="str">
            <v>ET369PE-NE8000_ASR</v>
          </cell>
        </row>
        <row r="281">
          <cell r="AH281" t="str">
            <v>AC176</v>
          </cell>
          <cell r="AJ281" t="str">
            <v>AC176_SSR</v>
          </cell>
        </row>
        <row r="282">
          <cell r="AH282" t="str">
            <v>AC171</v>
          </cell>
          <cell r="AJ282" t="str">
            <v>AC171PE-NE8000_ASR</v>
          </cell>
        </row>
        <row r="283">
          <cell r="AH283" t="str">
            <v>AC719</v>
          </cell>
          <cell r="AJ283" t="str">
            <v>AC719PER6273_01</v>
          </cell>
        </row>
        <row r="284">
          <cell r="AH284" t="str">
            <v>AC911</v>
          </cell>
          <cell r="AJ284" t="str">
            <v>AC911PEASR920_01</v>
          </cell>
        </row>
        <row r="285">
          <cell r="AH285" t="str">
            <v>AC628</v>
          </cell>
          <cell r="AJ285" t="str">
            <v>AC628PEASR920_01</v>
          </cell>
        </row>
        <row r="306">
          <cell r="AH306" t="str">
            <v>AC324</v>
          </cell>
          <cell r="AJ306" t="str">
            <v>AC324PEASR920_01</v>
          </cell>
        </row>
        <row r="308">
          <cell r="AH308" t="str">
            <v>AC176</v>
          </cell>
          <cell r="AJ308" t="str">
            <v>AC176_SSR</v>
          </cell>
        </row>
        <row r="309">
          <cell r="AH309" t="str">
            <v>AC176</v>
          </cell>
          <cell r="AJ309" t="str">
            <v>AC176_SSR</v>
          </cell>
        </row>
        <row r="310">
          <cell r="AH310" t="str">
            <v>AC332</v>
          </cell>
          <cell r="AJ310" t="str">
            <v>AC332PE-R6273_01</v>
          </cell>
        </row>
        <row r="311">
          <cell r="AH311" t="str">
            <v>AC684PE-R6273_01</v>
          </cell>
          <cell r="AJ311" t="str">
            <v>AC684PE-R6273_01</v>
          </cell>
        </row>
        <row r="313">
          <cell r="AH313" t="str">
            <v>AC548</v>
          </cell>
          <cell r="AJ313" t="str">
            <v>AC548PER6273_01</v>
          </cell>
        </row>
        <row r="318">
          <cell r="AH318" t="str">
            <v>AC153</v>
          </cell>
          <cell r="AJ318" t="str">
            <v>AC153PE-NE8000_ASR</v>
          </cell>
        </row>
        <row r="319">
          <cell r="AH319" t="str">
            <v>AC153</v>
          </cell>
          <cell r="AJ319" t="str">
            <v>AC153PE-NE8000_ASR</v>
          </cell>
        </row>
        <row r="321">
          <cell r="AH321" t="str">
            <v>AC225</v>
          </cell>
          <cell r="AJ321" t="str">
            <v>AC225PE-NE8000_ASR</v>
          </cell>
        </row>
        <row r="322">
          <cell r="AH322" t="str">
            <v>AC527</v>
          </cell>
          <cell r="AJ322" t="str">
            <v>AC527PE-NE8000_ASR</v>
          </cell>
        </row>
        <row r="323">
          <cell r="AH323" t="str">
            <v>AC164</v>
          </cell>
          <cell r="AJ323" t="str">
            <v>AC164PE-NE8000_ASR</v>
          </cell>
        </row>
        <row r="324">
          <cell r="AH324" t="str">
            <v>AC912</v>
          </cell>
          <cell r="AJ324" t="str">
            <v>AC912PEASR920_01</v>
          </cell>
        </row>
        <row r="325">
          <cell r="AH325" t="str">
            <v>AC153</v>
          </cell>
          <cell r="AJ325" t="str">
            <v>AC153PE-NE8000_ASR</v>
          </cell>
        </row>
        <row r="326">
          <cell r="AH326" t="str">
            <v>AC271</v>
          </cell>
          <cell r="AJ326" t="str">
            <v>AC271PE-NE8000_ASR</v>
          </cell>
        </row>
        <row r="327">
          <cell r="AH327" t="str">
            <v>AC271</v>
          </cell>
          <cell r="AJ327" t="str">
            <v>AC271PE-NE8000_ASR</v>
          </cell>
        </row>
        <row r="328">
          <cell r="AH328" t="str">
            <v>AC522</v>
          </cell>
          <cell r="AJ328" t="str">
            <v>AC522PE-NE8000_ASR</v>
          </cell>
        </row>
        <row r="329">
          <cell r="AH329" t="str">
            <v>AC966</v>
          </cell>
          <cell r="AJ329" t="str">
            <v>AC966PE-NE8000_ASR</v>
          </cell>
        </row>
        <row r="330">
          <cell r="AH330" t="str">
            <v>AC153</v>
          </cell>
          <cell r="AJ330" t="str">
            <v>AC153PE-NE8000_ASR</v>
          </cell>
        </row>
        <row r="331">
          <cell r="AH331" t="str">
            <v>AC153</v>
          </cell>
          <cell r="AJ331" t="str">
            <v>AC153PE-NE8000_ASR</v>
          </cell>
        </row>
        <row r="332">
          <cell r="AH332" t="str">
            <v>AC529</v>
          </cell>
          <cell r="AJ332" t="str">
            <v>AC529PE-NE8000_ASR</v>
          </cell>
        </row>
        <row r="333">
          <cell r="AH333" t="str">
            <v>AC525</v>
          </cell>
          <cell r="AJ333" t="str">
            <v>AC525PE-NE8000_ASR</v>
          </cell>
        </row>
        <row r="334">
          <cell r="AH334" t="str">
            <v>AC212</v>
          </cell>
          <cell r="AJ334" t="str">
            <v>AC212PER6273_01</v>
          </cell>
        </row>
        <row r="335">
          <cell r="AH335" t="str">
            <v>AC548</v>
          </cell>
          <cell r="AJ335" t="str">
            <v>AC548PER6273_01</v>
          </cell>
        </row>
        <row r="336">
          <cell r="AH336" t="str">
            <v>AC143</v>
          </cell>
          <cell r="AJ336" t="str">
            <v>AC143PE-NE8000_ASR</v>
          </cell>
        </row>
        <row r="337">
          <cell r="AH337" t="str">
            <v>AC966</v>
          </cell>
          <cell r="AJ337" t="str">
            <v>AC966PE-NE8000_ASR</v>
          </cell>
        </row>
        <row r="338">
          <cell r="AH338" t="str">
            <v>AC212</v>
          </cell>
        </row>
        <row r="339">
          <cell r="AH339" t="str">
            <v>AC966</v>
          </cell>
        </row>
        <row r="340">
          <cell r="AH340" t="str">
            <v>AC192</v>
          </cell>
          <cell r="AJ340" t="str">
            <v>AC192PE-NE8000_ASR</v>
          </cell>
        </row>
        <row r="341">
          <cell r="AH341" t="str">
            <v>AC180</v>
          </cell>
          <cell r="AJ341" t="str">
            <v>AC180PE-NE8000_ASR</v>
          </cell>
        </row>
        <row r="342">
          <cell r="AH342" t="str">
            <v>AC176</v>
          </cell>
          <cell r="AJ342" t="str">
            <v>AC176_SSR</v>
          </cell>
        </row>
        <row r="343">
          <cell r="AH343" t="str">
            <v>AC272</v>
          </cell>
          <cell r="AJ343" t="str">
            <v>AC272PE-NE8000_ASR</v>
          </cell>
        </row>
        <row r="344">
          <cell r="AH344" t="str">
            <v>AC974</v>
          </cell>
          <cell r="AJ344" t="str">
            <v>AC974PE-NE8000_ASR</v>
          </cell>
        </row>
        <row r="345">
          <cell r="AH345" t="str">
            <v>AC974</v>
          </cell>
          <cell r="AJ345" t="str">
            <v>AC974PE-NE8000_ASR</v>
          </cell>
        </row>
        <row r="346">
          <cell r="AH346" t="str">
            <v>ET443</v>
          </cell>
          <cell r="AJ346" t="str">
            <v>ET443PE-NE8000_ASR</v>
          </cell>
        </row>
        <row r="347">
          <cell r="AH347" t="str">
            <v>ET443</v>
          </cell>
          <cell r="AJ347" t="str">
            <v>ET443PE-NE8000_ASR</v>
          </cell>
        </row>
        <row r="348">
          <cell r="AH348" t="str">
            <v>AC288</v>
          </cell>
          <cell r="AJ348" t="str">
            <v>AC288PE-NE8000_ASR</v>
          </cell>
        </row>
        <row r="349">
          <cell r="AH349" t="str">
            <v>AC281</v>
          </cell>
          <cell r="AJ349" t="str">
            <v>AC281PE-NE8000_ASR</v>
          </cell>
        </row>
        <row r="350">
          <cell r="AH350" t="str">
            <v>AC176</v>
          </cell>
        </row>
        <row r="351">
          <cell r="AH351" t="str">
            <v>AC171</v>
          </cell>
        </row>
        <row r="352">
          <cell r="AH352" t="str">
            <v>AC171</v>
          </cell>
        </row>
        <row r="386">
          <cell r="AH386" t="str">
            <v>AC176</v>
          </cell>
          <cell r="AJ386" t="str">
            <v>AC176_SSR</v>
          </cell>
        </row>
        <row r="387">
          <cell r="AH387" t="str">
            <v>AC166PE-R6273_01</v>
          </cell>
          <cell r="AJ387" t="str">
            <v>AC166PER6273_01</v>
          </cell>
        </row>
        <row r="398">
          <cell r="AH398" t="str">
            <v>AC164</v>
          </cell>
          <cell r="AJ398" t="str">
            <v>AC164PE-NE8000_ASR</v>
          </cell>
        </row>
        <row r="399">
          <cell r="AH399" t="str">
            <v>AC191</v>
          </cell>
          <cell r="AJ399" t="str">
            <v>AC191PE-NE8000_ASR</v>
          </cell>
        </row>
        <row r="400">
          <cell r="AH400" t="str">
            <v>AC192</v>
          </cell>
          <cell r="AJ400" t="str">
            <v>AC192PE-NE8000_ASR</v>
          </cell>
        </row>
        <row r="401">
          <cell r="AH401" t="str">
            <v>AC064</v>
          </cell>
          <cell r="AJ401" t="str">
            <v>AC064PER6273_01</v>
          </cell>
        </row>
        <row r="402">
          <cell r="AH402" t="str">
            <v>AC045PER6273_01</v>
          </cell>
          <cell r="AJ402" t="str">
            <v>AC045PER6273_01</v>
          </cell>
        </row>
        <row r="403">
          <cell r="AH403" t="str">
            <v>AC012</v>
          </cell>
          <cell r="AJ403" t="str">
            <v>AC012PER6273_01</v>
          </cell>
        </row>
        <row r="404">
          <cell r="AH404" t="str">
            <v>AC094PER6273_01</v>
          </cell>
          <cell r="AJ404" t="str">
            <v>AC094PER6273_01</v>
          </cell>
        </row>
        <row r="406">
          <cell r="AH406" t="str">
            <v>AC324</v>
          </cell>
          <cell r="AJ406" t="str">
            <v>AC324PEASR920_01</v>
          </cell>
        </row>
        <row r="407">
          <cell r="AH407" t="str">
            <v>AC034</v>
          </cell>
          <cell r="AJ407" t="str">
            <v>AC034PE-R6273_01</v>
          </cell>
        </row>
        <row r="408">
          <cell r="AH408" t="str">
            <v>AC314</v>
          </cell>
          <cell r="AJ408" t="str">
            <v>AC314PEASRxxx_01</v>
          </cell>
        </row>
        <row r="409">
          <cell r="AH409" t="str">
            <v>AC527</v>
          </cell>
          <cell r="AJ409" t="str">
            <v>AC527PE-NE8000_ASR</v>
          </cell>
        </row>
        <row r="410">
          <cell r="AH410" t="str">
            <v>AC527</v>
          </cell>
          <cell r="AJ410" t="str">
            <v>AC527PE-NE8000_ASR</v>
          </cell>
        </row>
        <row r="411">
          <cell r="AH411" t="str">
            <v>AC164</v>
          </cell>
          <cell r="AJ411" t="str">
            <v>AC164PE-NE8000_ASR</v>
          </cell>
        </row>
        <row r="412">
          <cell r="AH412" t="str">
            <v>AC164</v>
          </cell>
          <cell r="AJ412" t="str">
            <v>AC164PE-NE8000_ASR</v>
          </cell>
        </row>
        <row r="413">
          <cell r="AH413" t="str">
            <v>AC270</v>
          </cell>
          <cell r="AJ413" t="str">
            <v>AC270PE-NE8000_ASR</v>
          </cell>
        </row>
        <row r="414">
          <cell r="AH414" t="str">
            <v>AC153</v>
          </cell>
          <cell r="AJ414" t="str">
            <v>AC153PE-NE8000_ASR</v>
          </cell>
        </row>
        <row r="415">
          <cell r="AH415" t="str">
            <v>AC085</v>
          </cell>
          <cell r="AJ415" t="str">
            <v>AC085PE-R6273_01</v>
          </cell>
        </row>
        <row r="416">
          <cell r="AH416" t="str">
            <v>ET005</v>
          </cell>
          <cell r="AJ416" t="str">
            <v>ET005PE-R6273_01</v>
          </cell>
        </row>
        <row r="417">
          <cell r="AH417" t="str">
            <v>AC378</v>
          </cell>
          <cell r="AJ417" t="str">
            <v>AC378PEASRxxx_01</v>
          </cell>
        </row>
        <row r="418">
          <cell r="AH418" t="str">
            <v>AC055</v>
          </cell>
          <cell r="AJ418" t="str">
            <v>AC055PEASR920_01</v>
          </cell>
        </row>
        <row r="419">
          <cell r="AH419" t="str">
            <v>AC157</v>
          </cell>
          <cell r="AJ419" t="str">
            <v>AC157PE-NE8000_ASR</v>
          </cell>
        </row>
        <row r="420">
          <cell r="AH420" t="str">
            <v>AC153</v>
          </cell>
          <cell r="AJ420" t="str">
            <v>AC153PE-NE8000_ASR</v>
          </cell>
        </row>
        <row r="421">
          <cell r="AH421" t="str">
            <v>AC163</v>
          </cell>
        </row>
        <row r="422">
          <cell r="AH422" t="str">
            <v>AC377</v>
          </cell>
        </row>
        <row r="423">
          <cell r="AH423" t="str">
            <v>AC163</v>
          </cell>
          <cell r="AJ423" t="str">
            <v>AC163PE-NE8000_ASR</v>
          </cell>
        </row>
        <row r="424">
          <cell r="AH424" t="str">
            <v>AC332</v>
          </cell>
          <cell r="AJ424" t="str">
            <v>AC332PE-R6273_01</v>
          </cell>
        </row>
        <row r="425">
          <cell r="AH425" t="str">
            <v>AC014</v>
          </cell>
          <cell r="AJ425" t="str">
            <v>AC014PEASR920_01</v>
          </cell>
        </row>
        <row r="426">
          <cell r="AH426" t="str">
            <v>AC166</v>
          </cell>
          <cell r="AJ426" t="str">
            <v>AC166PER6273_01</v>
          </cell>
        </row>
        <row r="427">
          <cell r="AH427" t="str">
            <v>AC966</v>
          </cell>
          <cell r="AJ427" t="str">
            <v>AC966PE-NE8000_ASR</v>
          </cell>
        </row>
        <row r="428">
          <cell r="AH428" t="str">
            <v>AC195</v>
          </cell>
          <cell r="AJ428" t="str">
            <v>AC195PE-NE8000_ASR</v>
          </cell>
        </row>
        <row r="429">
          <cell r="AH429" t="str">
            <v>AC223</v>
          </cell>
        </row>
        <row r="430">
          <cell r="AH430" t="str">
            <v>AC529</v>
          </cell>
          <cell r="AJ430" t="str">
            <v>AC529PE-NE8000_ASR</v>
          </cell>
        </row>
        <row r="431">
          <cell r="AH431" t="str">
            <v>AC529</v>
          </cell>
          <cell r="AJ431" t="str">
            <v>AC529PE-NE8000_ASR</v>
          </cell>
        </row>
        <row r="432">
          <cell r="AH432" t="str">
            <v>AC027PER6273_01</v>
          </cell>
          <cell r="AJ432" t="str">
            <v>AC027PER6273_01</v>
          </cell>
        </row>
        <row r="433">
          <cell r="AH433" t="str">
            <v>AC004</v>
          </cell>
          <cell r="AJ433" t="str">
            <v>AC004PEASR920_01</v>
          </cell>
        </row>
        <row r="434">
          <cell r="AH434" t="str">
            <v>AC190</v>
          </cell>
          <cell r="AJ434" t="str">
            <v>AC190PE-NE8000_ASR</v>
          </cell>
        </row>
        <row r="435">
          <cell r="AH435" t="str">
            <v>AC370</v>
          </cell>
          <cell r="AJ435" t="str">
            <v>AC370PEASR920_01</v>
          </cell>
        </row>
        <row r="436">
          <cell r="AH436" t="str">
            <v>AC912</v>
          </cell>
          <cell r="AJ436" t="str">
            <v>AC912PEASR920_01</v>
          </cell>
        </row>
        <row r="437">
          <cell r="AH437" t="str">
            <v>AC912</v>
          </cell>
          <cell r="AJ437" t="str">
            <v>AC912PEASR920_01</v>
          </cell>
        </row>
        <row r="438">
          <cell r="AH438" t="str">
            <v>AC684</v>
          </cell>
          <cell r="AJ438" t="str">
            <v>AC684PE-R6273_01</v>
          </cell>
        </row>
        <row r="439">
          <cell r="AH439" t="str">
            <v>AC719</v>
          </cell>
          <cell r="AJ439" t="str">
            <v>AC719PER6273_01</v>
          </cell>
        </row>
        <row r="440">
          <cell r="AH440" t="str">
            <v>AC413</v>
          </cell>
          <cell r="AJ440" t="str">
            <v>AC413PEASR920_01</v>
          </cell>
        </row>
        <row r="441">
          <cell r="AH441" t="str">
            <v>AC086</v>
          </cell>
          <cell r="AJ441" t="str">
            <v>AC086PEASR920_01</v>
          </cell>
        </row>
        <row r="442">
          <cell r="AH442" t="str">
            <v>AC229</v>
          </cell>
          <cell r="AJ442" t="str">
            <v>AC229PE-R6273_01</v>
          </cell>
        </row>
        <row r="443">
          <cell r="AH443" t="str">
            <v>ET495</v>
          </cell>
          <cell r="AJ443" t="str">
            <v>ET495PER6273_01</v>
          </cell>
        </row>
        <row r="444">
          <cell r="AH444" t="str">
            <v>AC171</v>
          </cell>
          <cell r="AJ444" t="str">
            <v>AC171PE-NE8000_ASR</v>
          </cell>
        </row>
        <row r="445">
          <cell r="AH445" t="str">
            <v>AC171</v>
          </cell>
          <cell r="AJ445" t="str">
            <v>AC171PE-NE8000_ASR</v>
          </cell>
        </row>
        <row r="446">
          <cell r="AH446" t="str">
            <v>AC173</v>
          </cell>
          <cell r="AJ446" t="str">
            <v>AC173PE-NE8000_ASR</v>
          </cell>
        </row>
        <row r="447">
          <cell r="AH447" t="str">
            <v>AC192</v>
          </cell>
          <cell r="AJ447" t="str">
            <v>AC192PE-NE8000_ASR</v>
          </cell>
        </row>
        <row r="448">
          <cell r="AH448" t="str">
            <v>AC173</v>
          </cell>
          <cell r="AJ448" t="str">
            <v>AC173PE-NE8000_ASR</v>
          </cell>
        </row>
        <row r="449">
          <cell r="AH449" t="str">
            <v>AC183</v>
          </cell>
          <cell r="AJ449" t="str">
            <v>AC183PE-NE8000_ASR</v>
          </cell>
        </row>
        <row r="450">
          <cell r="AH450" t="str">
            <v>AC281</v>
          </cell>
          <cell r="AJ450" t="str">
            <v>AC281PE-NE8000_ASR</v>
          </cell>
        </row>
        <row r="451">
          <cell r="AH451" t="str">
            <v>AC288</v>
          </cell>
          <cell r="AJ451" t="str">
            <v>AC288PE-NE8000_ASR</v>
          </cell>
        </row>
        <row r="452">
          <cell r="AH452" t="str">
            <v>AC368</v>
          </cell>
        </row>
        <row r="453">
          <cell r="AH453" t="str">
            <v>AC324</v>
          </cell>
          <cell r="AJ453" t="str">
            <v>AC324PEASR920_01</v>
          </cell>
        </row>
        <row r="454">
          <cell r="AH454" t="str">
            <v>AC113</v>
          </cell>
          <cell r="AJ454" t="str">
            <v>AC113PEASR920_01</v>
          </cell>
        </row>
        <row r="455">
          <cell r="AH455" t="str">
            <v>AC313</v>
          </cell>
          <cell r="AJ455" t="str">
            <v>AC313PEASR920_01</v>
          </cell>
        </row>
        <row r="456">
          <cell r="AH456" t="str">
            <v>AC040</v>
          </cell>
          <cell r="AJ456" t="str">
            <v>AC040PEASR920_01</v>
          </cell>
        </row>
        <row r="457">
          <cell r="AH457" t="str">
            <v>AC049PER6273_01</v>
          </cell>
          <cell r="AJ457" t="str">
            <v>AC049PER6273_01</v>
          </cell>
        </row>
        <row r="458">
          <cell r="AH458" t="str">
            <v>AC522</v>
          </cell>
          <cell r="AJ458" t="str">
            <v>AC522PE-NE8000_ASR</v>
          </cell>
        </row>
        <row r="459">
          <cell r="AH459" t="str">
            <v>AC681PER6273_01</v>
          </cell>
          <cell r="AJ459" t="str">
            <v>AC681PER6273_01</v>
          </cell>
        </row>
        <row r="460">
          <cell r="AH460" t="str">
            <v>AC673PEASRxxx_01</v>
          </cell>
          <cell r="AJ460" t="str">
            <v>AC673PEASRxxx_01</v>
          </cell>
        </row>
        <row r="461">
          <cell r="AH461" t="str">
            <v>AC616</v>
          </cell>
          <cell r="AJ461" t="str">
            <v>AC616PEASR920_01</v>
          </cell>
        </row>
        <row r="462">
          <cell r="AH462" t="str">
            <v>AC005PEASRxxx_01</v>
          </cell>
          <cell r="AJ462" t="str">
            <v>AC005PEASR920_01</v>
          </cell>
        </row>
        <row r="463">
          <cell r="AH463" t="str">
            <v>AC171</v>
          </cell>
          <cell r="AJ463" t="str">
            <v>AC171PE-NE8000_ASR</v>
          </cell>
        </row>
        <row r="464">
          <cell r="AH464" t="str">
            <v>AC102</v>
          </cell>
          <cell r="AJ464" t="str">
            <v>AC102PEASR920_01</v>
          </cell>
        </row>
        <row r="465">
          <cell r="AH465" t="str">
            <v>AC081</v>
          </cell>
          <cell r="AJ465" t="str">
            <v>AC081PEASR920_01</v>
          </cell>
        </row>
        <row r="466">
          <cell r="AH466" t="str">
            <v>AC912PEASR920_01--&gt;IM464</v>
          </cell>
          <cell r="AJ466" t="str">
            <v>AC912PEASR920_01</v>
          </cell>
        </row>
        <row r="467">
          <cell r="AH467" t="str">
            <v>AC061</v>
          </cell>
          <cell r="AJ467" t="str">
            <v>AC061PE-R6273_01</v>
          </cell>
        </row>
        <row r="468">
          <cell r="AH468" t="str">
            <v>AC223</v>
          </cell>
          <cell r="AJ468" t="str">
            <v>AC223PE-NE8000_ASR</v>
          </cell>
        </row>
        <row r="469">
          <cell r="AH469" t="str">
            <v>AC974</v>
          </cell>
          <cell r="AJ469" t="str">
            <v>AC974PE-NE8000_ASR</v>
          </cell>
        </row>
        <row r="471">
          <cell r="AH471" t="str">
            <v>AC036PER6273_01</v>
          </cell>
          <cell r="AJ471" t="str">
            <v>AC036PER6273_01</v>
          </cell>
        </row>
        <row r="472">
          <cell r="AH472" t="str">
            <v>AC039</v>
          </cell>
          <cell r="AJ472" t="str">
            <v>AC039PEASR920_01</v>
          </cell>
        </row>
        <row r="473">
          <cell r="AH473" t="str">
            <v>AC108PER6273_01</v>
          </cell>
          <cell r="AJ473" t="str">
            <v>AC108PER6273_01</v>
          </cell>
        </row>
        <row r="474">
          <cell r="AH474" t="str">
            <v>AC630</v>
          </cell>
          <cell r="AJ474" t="str">
            <v>AC630PEASR920_01</v>
          </cell>
        </row>
        <row r="475">
          <cell r="AH475" t="str">
            <v>AC394</v>
          </cell>
          <cell r="AJ475" t="str">
            <v>AC394PER6273_01</v>
          </cell>
        </row>
        <row r="476">
          <cell r="AH476" t="str">
            <v>AC034</v>
          </cell>
          <cell r="AJ476" t="str">
            <v>AC034PE-R6273_01</v>
          </cell>
        </row>
        <row r="477">
          <cell r="AH477" t="str">
            <v>AC666</v>
          </cell>
          <cell r="AJ477" t="str">
            <v>AC666PEASR920_01</v>
          </cell>
        </row>
        <row r="478">
          <cell r="AH478" t="str">
            <v>AC003</v>
          </cell>
          <cell r="AJ478" t="str">
            <v>AC003PEASR920_01</v>
          </cell>
        </row>
        <row r="479">
          <cell r="AH479" t="str">
            <v>ET012</v>
          </cell>
          <cell r="AJ479" t="str">
            <v>ET012PEASR920_01</v>
          </cell>
        </row>
        <row r="480">
          <cell r="AH480" t="str">
            <v>AC004</v>
          </cell>
          <cell r="AJ480" t="str">
            <v>AC004PEASR920_01</v>
          </cell>
        </row>
        <row r="481">
          <cell r="AH481" t="str">
            <v>AC003</v>
          </cell>
          <cell r="AJ481" t="str">
            <v>AC003PEASR920_01</v>
          </cell>
        </row>
        <row r="482">
          <cell r="AH482" t="str">
            <v>AC281</v>
          </cell>
          <cell r="AJ482" t="str">
            <v>AC281PE-NE8000_ASR</v>
          </cell>
        </row>
        <row r="483">
          <cell r="AH483" t="str">
            <v>AC679</v>
          </cell>
          <cell r="AJ483" t="str">
            <v>AC679PE-R6273_01</v>
          </cell>
        </row>
        <row r="484">
          <cell r="AH484" t="str">
            <v>AC912</v>
          </cell>
          <cell r="AJ484" t="str">
            <v>AC912PEASR920_01</v>
          </cell>
        </row>
        <row r="485">
          <cell r="AH485" t="str">
            <v>AC063</v>
          </cell>
          <cell r="AJ485" t="str">
            <v>AC063PEASR920_01</v>
          </cell>
        </row>
        <row r="486">
          <cell r="AH486" t="str">
            <v>ET444</v>
          </cell>
          <cell r="AJ486" t="str">
            <v>ET444PE-NE8000_ASR</v>
          </cell>
        </row>
        <row r="487">
          <cell r="AH487" t="str">
            <v>AC728PER6273_01</v>
          </cell>
          <cell r="AJ487" t="str">
            <v>AC728PER6273_01</v>
          </cell>
        </row>
        <row r="488">
          <cell r="AH488" t="str">
            <v>AC153</v>
          </cell>
          <cell r="AJ488" t="str">
            <v>AC153PE-NE8000_ASR</v>
          </cell>
        </row>
        <row r="489">
          <cell r="AH489" t="str">
            <v>AC161</v>
          </cell>
          <cell r="AJ489" t="str">
            <v>AC161PE-NE8000_ASR</v>
          </cell>
        </row>
        <row r="490">
          <cell r="AH490" t="str">
            <v>AC012/AC417</v>
          </cell>
          <cell r="AJ490" t="str">
            <v>AC012PER6273_01</v>
          </cell>
        </row>
        <row r="491">
          <cell r="AH491" t="str">
            <v>AC027PER6273_01</v>
          </cell>
          <cell r="AJ491" t="str">
            <v>AC027PER6273_01</v>
          </cell>
        </row>
        <row r="492">
          <cell r="AH492" t="str">
            <v>ET079</v>
          </cell>
          <cell r="AJ492" t="str">
            <v>ET079PER6273_01</v>
          </cell>
        </row>
        <row r="493">
          <cell r="AH493" t="str">
            <v>AC171</v>
          </cell>
          <cell r="AJ493" t="str">
            <v>AC171PE-NE8000_ASR</v>
          </cell>
        </row>
        <row r="494">
          <cell r="AH494" t="str">
            <v>AC176</v>
          </cell>
          <cell r="AJ494" t="str">
            <v>AC176_SSR</v>
          </cell>
        </row>
        <row r="495">
          <cell r="AH495" t="str">
            <v>AC716</v>
          </cell>
          <cell r="AJ495" t="str">
            <v>AC716PEASR920_01</v>
          </cell>
        </row>
        <row r="496">
          <cell r="AH496" t="str">
            <v>AC183</v>
          </cell>
          <cell r="AJ496" t="str">
            <v>AC183PE-NE8000_ASR</v>
          </cell>
        </row>
        <row r="497">
          <cell r="AH497" t="str">
            <v>AC357</v>
          </cell>
          <cell r="AJ497" t="str">
            <v>AC357PER6273_01</v>
          </cell>
        </row>
        <row r="498">
          <cell r="AH498" t="str">
            <v>AC346</v>
          </cell>
          <cell r="AJ498" t="str">
            <v>AC346PEASRxxx_01</v>
          </cell>
        </row>
        <row r="499">
          <cell r="AH499" t="str">
            <v>AC966</v>
          </cell>
          <cell r="AJ499" t="str">
            <v>AC966PE-NE8000_ASR</v>
          </cell>
        </row>
        <row r="500">
          <cell r="AH500" t="str">
            <v>AC003</v>
          </cell>
          <cell r="AJ500" t="str">
            <v>AC003PEASR920_01</v>
          </cell>
        </row>
        <row r="501">
          <cell r="AH501" t="str">
            <v>AC114</v>
          </cell>
          <cell r="AJ501" t="str">
            <v>AC114PEASR920_01</v>
          </cell>
        </row>
        <row r="502">
          <cell r="AH502" t="str">
            <v>AC716</v>
          </cell>
          <cell r="AJ502" t="str">
            <v>AC716PEASR920_01</v>
          </cell>
        </row>
        <row r="503">
          <cell r="AH503" t="str">
            <v>AC198</v>
          </cell>
        </row>
        <row r="504">
          <cell r="AH504" t="str">
            <v>AC966</v>
          </cell>
        </row>
        <row r="505">
          <cell r="AH505" t="str">
            <v>AC966</v>
          </cell>
        </row>
        <row r="506">
          <cell r="AH506" t="str">
            <v>AC966</v>
          </cell>
        </row>
        <row r="507">
          <cell r="AH507" t="str">
            <v>AC966</v>
          </cell>
        </row>
        <row r="508">
          <cell r="AH508" t="str">
            <v>AC547</v>
          </cell>
        </row>
        <row r="509">
          <cell r="AH509" t="str">
            <v>AC166</v>
          </cell>
        </row>
        <row r="510">
          <cell r="AH510" t="str">
            <v>AC166</v>
          </cell>
        </row>
        <row r="511">
          <cell r="AH511" t="str">
            <v>AC166</v>
          </cell>
        </row>
        <row r="512">
          <cell r="AH512" t="str">
            <v>AC166</v>
          </cell>
        </row>
        <row r="513">
          <cell r="AH513" t="str">
            <v>AC966</v>
          </cell>
        </row>
        <row r="514">
          <cell r="AH514" t="str">
            <v>AC268</v>
          </cell>
        </row>
        <row r="515">
          <cell r="AH515" t="str">
            <v>AC198</v>
          </cell>
        </row>
        <row r="516">
          <cell r="AH516" t="str">
            <v>AC198</v>
          </cell>
        </row>
        <row r="517">
          <cell r="AH517" t="str">
            <v>AC263</v>
          </cell>
        </row>
        <row r="518">
          <cell r="AH518" t="str">
            <v>AC270</v>
          </cell>
        </row>
        <row r="519">
          <cell r="AH519" t="str">
            <v>AC157</v>
          </cell>
        </row>
        <row r="520">
          <cell r="AH520" t="str">
            <v>AC157</v>
          </cell>
        </row>
        <row r="521">
          <cell r="AH521" t="str">
            <v>AC157</v>
          </cell>
        </row>
        <row r="522">
          <cell r="AH522" t="str">
            <v>AC157</v>
          </cell>
        </row>
        <row r="523">
          <cell r="AH523" t="str">
            <v>AC157</v>
          </cell>
        </row>
        <row r="524">
          <cell r="AH524" t="str">
            <v>AC212</v>
          </cell>
        </row>
        <row r="525">
          <cell r="AH525" t="str">
            <v>AC212</v>
          </cell>
        </row>
        <row r="526">
          <cell r="AH526" t="str">
            <v>AC974</v>
          </cell>
        </row>
        <row r="527">
          <cell r="AH527" t="str">
            <v>AC974</v>
          </cell>
        </row>
        <row r="528">
          <cell r="AH528" t="str">
            <v>AC974</v>
          </cell>
        </row>
        <row r="529">
          <cell r="AH529" t="str">
            <v>AC974</v>
          </cell>
        </row>
        <row r="530">
          <cell r="AH530" t="str">
            <v>AC974</v>
          </cell>
        </row>
        <row r="531">
          <cell r="AH531" t="str">
            <v>AC974</v>
          </cell>
        </row>
        <row r="532">
          <cell r="AH532" t="str">
            <v>AC180</v>
          </cell>
        </row>
        <row r="533">
          <cell r="AH533" t="str">
            <v>AC181</v>
          </cell>
        </row>
        <row r="534">
          <cell r="AH534" t="str">
            <v>AC181</v>
          </cell>
        </row>
        <row r="535">
          <cell r="AH535" t="str">
            <v>AC181</v>
          </cell>
        </row>
        <row r="536">
          <cell r="AH536" t="str">
            <v>AC181</v>
          </cell>
        </row>
        <row r="537">
          <cell r="AH537" t="str">
            <v>AC185</v>
          </cell>
        </row>
        <row r="538">
          <cell r="AH538" t="str">
            <v>AC185</v>
          </cell>
        </row>
        <row r="539">
          <cell r="AH539" t="str">
            <v>AC176</v>
          </cell>
        </row>
        <row r="540">
          <cell r="AH540" t="str">
            <v>AC185</v>
          </cell>
        </row>
        <row r="541">
          <cell r="AH541" t="str">
            <v>AC555</v>
          </cell>
        </row>
        <row r="542">
          <cell r="AH542" t="str">
            <v>AC171</v>
          </cell>
        </row>
        <row r="543">
          <cell r="AH543" t="str">
            <v>AC171</v>
          </cell>
        </row>
        <row r="544">
          <cell r="AH544" t="str">
            <v>AC192</v>
          </cell>
        </row>
        <row r="545">
          <cell r="AH545" t="str">
            <v>AC192</v>
          </cell>
        </row>
        <row r="546">
          <cell r="AH546" t="str">
            <v>AC192</v>
          </cell>
        </row>
        <row r="547">
          <cell r="AH547" t="str">
            <v>AC223</v>
          </cell>
        </row>
        <row r="548">
          <cell r="AH548" t="str">
            <v>AC263</v>
          </cell>
        </row>
        <row r="549">
          <cell r="AH549" t="str">
            <v>AC195</v>
          </cell>
        </row>
        <row r="550">
          <cell r="AH550" t="str">
            <v>AC195</v>
          </cell>
        </row>
        <row r="551">
          <cell r="AH551" t="str">
            <v>AC221</v>
          </cell>
        </row>
        <row r="552">
          <cell r="AH552" t="str">
            <v>AC522</v>
          </cell>
        </row>
        <row r="553">
          <cell r="AH553" t="str">
            <v>AC042</v>
          </cell>
          <cell r="AJ553" t="str">
            <v>AC042PEASR920_01</v>
          </cell>
        </row>
        <row r="554">
          <cell r="AH554" t="str">
            <v>AC225</v>
          </cell>
          <cell r="AJ554" t="str">
            <v>AC225PE-NE8000_ASR</v>
          </cell>
        </row>
        <row r="555">
          <cell r="AH555" t="str">
            <v>AC320PE-R6273_01</v>
          </cell>
          <cell r="AJ555" t="str">
            <v>AC320PE-R6273_01</v>
          </cell>
        </row>
        <row r="556">
          <cell r="AH556" t="str">
            <v>AC320PE-R6273_01</v>
          </cell>
          <cell r="AJ556" t="str">
            <v>AC320PE-R6273_01</v>
          </cell>
        </row>
        <row r="557">
          <cell r="AH557" t="str">
            <v>AC330</v>
          </cell>
          <cell r="AJ557" t="str">
            <v>AC330PE-R6273_01</v>
          </cell>
        </row>
        <row r="564">
          <cell r="AH564" t="str">
            <v>AC153</v>
          </cell>
          <cell r="AJ564" t="str">
            <v>AC153PE-NE8000_ASR</v>
          </cell>
        </row>
        <row r="565">
          <cell r="AH565" t="str">
            <v>AC153</v>
          </cell>
          <cell r="AJ565" t="str">
            <v>AC153PE-NE8000_ASR</v>
          </cell>
        </row>
        <row r="566">
          <cell r="AH566" t="str">
            <v>AC156</v>
          </cell>
          <cell r="AJ566" t="str">
            <v>AC156PE-NE8000_ASR</v>
          </cell>
        </row>
        <row r="567">
          <cell r="AH567" t="str">
            <v>AC058</v>
          </cell>
          <cell r="AJ567" t="str">
            <v>AC058PEASR920_01</v>
          </cell>
        </row>
        <row r="568">
          <cell r="AH568" t="str">
            <v>AC638RR-R6273_01</v>
          </cell>
          <cell r="AJ568" t="str">
            <v>AC638RR-R6273_01</v>
          </cell>
        </row>
        <row r="569">
          <cell r="AH569" t="str">
            <v>AC385PEASR920_01</v>
          </cell>
          <cell r="AJ569" t="str">
            <v>AC385PEASR920_01</v>
          </cell>
        </row>
        <row r="570">
          <cell r="AH570" t="str">
            <v>AC332</v>
          </cell>
          <cell r="AJ570" t="str">
            <v>AC332PE-R6273_01</v>
          </cell>
        </row>
        <row r="571">
          <cell r="AH571" t="str">
            <v>AC013</v>
          </cell>
          <cell r="AJ571" t="str">
            <v>AC013PEASR920_01</v>
          </cell>
        </row>
        <row r="572">
          <cell r="AH572" t="str">
            <v>AC332</v>
          </cell>
          <cell r="AJ572" t="str">
            <v>AC332PE-R6273_01</v>
          </cell>
        </row>
        <row r="573">
          <cell r="AH573" t="str">
            <v>AC417</v>
          </cell>
          <cell r="AJ573" t="str">
            <v>AC417PER6273_01</v>
          </cell>
        </row>
        <row r="574">
          <cell r="AH574" t="str">
            <v>AC405</v>
          </cell>
          <cell r="AJ574" t="str">
            <v>AC405PER6273_01</v>
          </cell>
        </row>
        <row r="575">
          <cell r="AH575" t="str">
            <v>AC002RR-R6273_01</v>
          </cell>
          <cell r="AJ575" t="str">
            <v>AC002RR-R6273_01</v>
          </cell>
        </row>
        <row r="576">
          <cell r="AH576" t="str">
            <v>AC086</v>
          </cell>
          <cell r="AJ576" t="str">
            <v>AC086PEASR920_01</v>
          </cell>
        </row>
        <row r="577">
          <cell r="AH577" t="str">
            <v>AC078PER6273_01</v>
          </cell>
          <cell r="AJ577" t="str">
            <v>AC078PER6273_01</v>
          </cell>
        </row>
        <row r="578">
          <cell r="AH578" t="str">
            <v>AC068PER6273_01</v>
          </cell>
          <cell r="AJ578" t="str">
            <v>AC068PER6273_01</v>
          </cell>
        </row>
        <row r="579">
          <cell r="AH579" t="str">
            <v>AC061</v>
          </cell>
          <cell r="AJ579" t="str">
            <v>AC061PE-R6273_01</v>
          </cell>
        </row>
        <row r="580">
          <cell r="AH580" t="str">
            <v>AC065</v>
          </cell>
          <cell r="AJ580" t="str">
            <v>AC065PEASR920_01</v>
          </cell>
        </row>
        <row r="581">
          <cell r="AH581" t="str">
            <v>AC067</v>
          </cell>
          <cell r="AJ581" t="str">
            <v>AC067PEASR920_01</v>
          </cell>
        </row>
        <row r="582">
          <cell r="AH582" t="str">
            <v>AC068PER6273_01</v>
          </cell>
          <cell r="AJ582" t="str">
            <v>AC068PER6273_01</v>
          </cell>
        </row>
        <row r="583">
          <cell r="AH583" t="str">
            <v>AC075</v>
          </cell>
          <cell r="AJ583" t="str">
            <v>AC075PEASR920_01</v>
          </cell>
        </row>
        <row r="584">
          <cell r="AH584" t="str">
            <v>AC079</v>
          </cell>
          <cell r="AJ584" t="str">
            <v>AC079PER6273_01</v>
          </cell>
        </row>
        <row r="585">
          <cell r="AH585" t="str">
            <v>AC722</v>
          </cell>
          <cell r="AJ585" t="str">
            <v>AC722PER6273_01</v>
          </cell>
        </row>
        <row r="586">
          <cell r="AH586" t="str">
            <v>ET795</v>
          </cell>
          <cell r="AJ586" t="str">
            <v>ET795PEASR920_01</v>
          </cell>
        </row>
        <row r="587">
          <cell r="AH587" t="str">
            <v>AC104</v>
          </cell>
          <cell r="AJ587" t="str">
            <v>AC104PER6273_01</v>
          </cell>
        </row>
        <row r="588">
          <cell r="AH588" t="str">
            <v>AC001</v>
          </cell>
          <cell r="AJ588" t="str">
            <v>AC001PEASR920_01</v>
          </cell>
        </row>
        <row r="589">
          <cell r="AH589" t="str">
            <v>ET079PER6273_01</v>
          </cell>
          <cell r="AJ589" t="str">
            <v>ET079PER6273_01</v>
          </cell>
        </row>
        <row r="592">
          <cell r="AH592" t="str">
            <v>AC918</v>
          </cell>
          <cell r="AJ592" t="str">
            <v>AC918PEASR920_01</v>
          </cell>
        </row>
        <row r="593">
          <cell r="AH593" t="str">
            <v>AC025</v>
          </cell>
          <cell r="AJ593" t="str">
            <v>AC025PEASR920_01</v>
          </cell>
        </row>
        <row r="594">
          <cell r="AH594" t="str">
            <v>AC105</v>
          </cell>
          <cell r="AJ594" t="str">
            <v>AC105PEASR920_01</v>
          </cell>
        </row>
        <row r="595">
          <cell r="AH595" t="str">
            <v>AC394</v>
          </cell>
          <cell r="AJ595" t="str">
            <v>AC394PER6273_01</v>
          </cell>
        </row>
        <row r="596">
          <cell r="AH596" t="str">
            <v>AC198</v>
          </cell>
          <cell r="AJ596" t="str">
            <v>AC198PE-NE8000_ASR</v>
          </cell>
        </row>
        <row r="597">
          <cell r="AH597" t="str">
            <v>AC015PER6273_01</v>
          </cell>
          <cell r="AJ597" t="str">
            <v>AC015PER6273_01</v>
          </cell>
        </row>
        <row r="598">
          <cell r="AH598" t="str">
            <v>AC096PER6273_01</v>
          </cell>
          <cell r="AJ598" t="str">
            <v>AC096PER6273_01</v>
          </cell>
        </row>
        <row r="599">
          <cell r="AH599" t="str">
            <v>AC183</v>
          </cell>
          <cell r="AJ599" t="str">
            <v>AC183PE-NE8000_ASR</v>
          </cell>
        </row>
        <row r="600">
          <cell r="AH600" t="str">
            <v>AC078PER6273_01</v>
          </cell>
          <cell r="AJ600" t="str">
            <v>AC078PER6273_01</v>
          </cell>
        </row>
        <row r="601">
          <cell r="AH601" t="str">
            <v>AC017PER6273_01</v>
          </cell>
          <cell r="AJ601" t="str">
            <v>AC017PER6273_01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1"/>
    </sheetNames>
    <sheetDataSet>
      <sheetData sheetId="0">
        <row r="1">
          <cell r="B1" t="str">
            <v>SITE</v>
          </cell>
          <cell r="C1" t="str">
            <v>SITENAME</v>
          </cell>
          <cell r="D1" t="str">
            <v>LONGITUDE</v>
          </cell>
          <cell r="E1" t="str">
            <v>LATITUDE</v>
          </cell>
          <cell r="F1" t="str">
            <v>TECHNOLOGIE</v>
          </cell>
          <cell r="G1" t="str">
            <v>VENDOR</v>
          </cell>
          <cell r="H1" t="str">
            <v>OWNER</v>
          </cell>
          <cell r="I1" t="str">
            <v>LOCALITE</v>
          </cell>
          <cell r="J1" t="str">
            <v>SOUS-PREFECTURE</v>
          </cell>
          <cell r="K1" t="str">
            <v>DEPARTEMENT</v>
          </cell>
          <cell r="L1" t="str">
            <v>REGION</v>
          </cell>
          <cell r="M1" t="str">
            <v>ZONE_AGENCE</v>
          </cell>
          <cell r="N1" t="str">
            <v>ZONE_LOC</v>
          </cell>
        </row>
        <row r="2">
          <cell r="B2" t="str">
            <v>AC001</v>
          </cell>
          <cell r="C2" t="str">
            <v>CITE_PORT</v>
          </cell>
          <cell r="D2" t="str">
            <v>-4.00509</v>
          </cell>
          <cell r="E2" t="str">
            <v>5.2877</v>
          </cell>
          <cell r="F2" t="str">
            <v>2G/3G/4G</v>
          </cell>
          <cell r="G2" t="str">
            <v>ERICSSON</v>
          </cell>
          <cell r="H2" t="str">
            <v>MOOV</v>
          </cell>
          <cell r="I2" t="str">
            <v>TREICHVILLE</v>
          </cell>
          <cell r="J2" t="str">
            <v>ABIDJAN</v>
          </cell>
          <cell r="K2" t="str">
            <v>ABIDJAN</v>
          </cell>
          <cell r="L2" t="str">
            <v>ABIDJAN</v>
          </cell>
          <cell r="M2" t="str">
            <v>PLATEAU</v>
          </cell>
          <cell r="N2" t="str">
            <v>ABIDJAN</v>
          </cell>
        </row>
        <row r="3">
          <cell r="B3" t="str">
            <v>AC002</v>
          </cell>
          <cell r="C3" t="str">
            <v>MARC_ANADER</v>
          </cell>
          <cell r="D3" t="str">
            <v>-3.99172205</v>
          </cell>
          <cell r="E3" t="str">
            <v>5.29211395</v>
          </cell>
          <cell r="F3" t="str">
            <v>2G/3G/4G</v>
          </cell>
          <cell r="G3" t="str">
            <v>ERICSSON</v>
          </cell>
          <cell r="H3" t="str">
            <v>MOOV</v>
          </cell>
          <cell r="I3" t="str">
            <v>MARCORY</v>
          </cell>
          <cell r="J3" t="str">
            <v>ABIDJAN</v>
          </cell>
          <cell r="K3" t="str">
            <v>ABIDJAN</v>
          </cell>
          <cell r="L3" t="str">
            <v>ABIDJAN</v>
          </cell>
          <cell r="M3" t="str">
            <v>MARCORY</v>
          </cell>
          <cell r="N3" t="str">
            <v>ABIDJAN</v>
          </cell>
        </row>
        <row r="4">
          <cell r="B4" t="str">
            <v>AC003</v>
          </cell>
          <cell r="C4" t="str">
            <v>GALAXY</v>
          </cell>
          <cell r="D4" t="str">
            <v>-4.01021928</v>
          </cell>
          <cell r="E4" t="str">
            <v>5.30806685</v>
          </cell>
          <cell r="F4" t="str">
            <v>2G/3G/4G</v>
          </cell>
          <cell r="G4" t="str">
            <v>ERICSSON</v>
          </cell>
          <cell r="H4" t="str">
            <v>MOOV</v>
          </cell>
          <cell r="I4" t="str">
            <v>TREICHVILLE</v>
          </cell>
          <cell r="J4" t="str">
            <v>ABIDJAN</v>
          </cell>
          <cell r="K4" t="str">
            <v>ABIDJAN</v>
          </cell>
          <cell r="L4" t="str">
            <v>ABIDJAN</v>
          </cell>
          <cell r="M4" t="str">
            <v>PLATEAU</v>
          </cell>
          <cell r="N4" t="str">
            <v>ABIDJAN</v>
          </cell>
        </row>
        <row r="5">
          <cell r="B5" t="str">
            <v>AC004</v>
          </cell>
          <cell r="C5" t="str">
            <v>ARRAS</v>
          </cell>
          <cell r="D5" t="str">
            <v>-4.00185253</v>
          </cell>
          <cell r="E5" t="str">
            <v>5.30143227</v>
          </cell>
          <cell r="F5" t="str">
            <v>2G/3G/4G</v>
          </cell>
          <cell r="G5" t="str">
            <v>ERICSSON</v>
          </cell>
          <cell r="H5" t="str">
            <v>MOOV</v>
          </cell>
          <cell r="I5" t="str">
            <v>TREICHVILLE</v>
          </cell>
          <cell r="J5" t="str">
            <v>ABIDJAN</v>
          </cell>
          <cell r="K5" t="str">
            <v>ABIDJAN</v>
          </cell>
          <cell r="L5" t="str">
            <v>ABIDJAN</v>
          </cell>
          <cell r="M5" t="str">
            <v>PLATEAU</v>
          </cell>
          <cell r="N5" t="str">
            <v>ABIDJAN</v>
          </cell>
        </row>
        <row r="6">
          <cell r="B6" t="str">
            <v>AC005</v>
          </cell>
          <cell r="C6" t="str">
            <v>VRIDI</v>
          </cell>
          <cell r="D6" t="str">
            <v>-4.00480569</v>
          </cell>
          <cell r="E6" t="str">
            <v>5.25809208</v>
          </cell>
          <cell r="F6" t="str">
            <v>2G/3G/4G</v>
          </cell>
          <cell r="G6" t="str">
            <v>ERICSSON</v>
          </cell>
          <cell r="H6" t="str">
            <v>MOOV</v>
          </cell>
          <cell r="I6" t="str">
            <v>TREICHVILLE</v>
          </cell>
          <cell r="J6" t="str">
            <v>ABIDJAN</v>
          </cell>
          <cell r="K6" t="str">
            <v>ABIDJAN</v>
          </cell>
          <cell r="L6" t="str">
            <v>ABIDJAN</v>
          </cell>
          <cell r="M6" t="str">
            <v>MARCORY</v>
          </cell>
          <cell r="N6" t="str">
            <v>ABIDJAN</v>
          </cell>
        </row>
        <row r="7">
          <cell r="B7" t="str">
            <v>AC006</v>
          </cell>
          <cell r="C7" t="str">
            <v>KANO</v>
          </cell>
          <cell r="D7" t="str">
            <v>-4.0092481</v>
          </cell>
          <cell r="E7" t="str">
            <v>5.29904138</v>
          </cell>
          <cell r="F7" t="str">
            <v>2G/3G/4G</v>
          </cell>
          <cell r="G7" t="str">
            <v>ERICSSON</v>
          </cell>
          <cell r="H7" t="str">
            <v>MOOV</v>
          </cell>
          <cell r="I7" t="str">
            <v>TREICHVILLE</v>
          </cell>
          <cell r="J7" t="str">
            <v>ABIDJAN</v>
          </cell>
          <cell r="K7" t="str">
            <v>ABIDJAN</v>
          </cell>
          <cell r="L7" t="str">
            <v>ABIDJAN</v>
          </cell>
          <cell r="M7" t="str">
            <v>PLATEAU</v>
          </cell>
          <cell r="N7" t="str">
            <v>ABIDJAN</v>
          </cell>
        </row>
        <row r="8">
          <cell r="B8" t="str">
            <v>AC007</v>
          </cell>
          <cell r="C8" t="str">
            <v>COMAF</v>
          </cell>
          <cell r="D8" t="str">
            <v>-4.0080843</v>
          </cell>
          <cell r="E8" t="str">
            <v>5.27689168</v>
          </cell>
          <cell r="F8" t="str">
            <v>2G/3G/4G</v>
          </cell>
          <cell r="G8" t="str">
            <v>ERICSSON</v>
          </cell>
          <cell r="H8" t="str">
            <v>IHS</v>
          </cell>
          <cell r="I8" t="str">
            <v>TREICHVILLE</v>
          </cell>
          <cell r="J8" t="str">
            <v>ABIDJAN</v>
          </cell>
          <cell r="K8" t="str">
            <v>ABIDJAN</v>
          </cell>
          <cell r="L8" t="str">
            <v>ABIDJAN</v>
          </cell>
          <cell r="M8" t="str">
            <v>PLATEAU</v>
          </cell>
          <cell r="N8" t="str">
            <v>ABIDJAN</v>
          </cell>
        </row>
        <row r="9">
          <cell r="B9" t="str">
            <v>AC008</v>
          </cell>
          <cell r="C9" t="str">
            <v>STE_BERNADETTE</v>
          </cell>
          <cell r="D9" t="str">
            <v>-3.97244013</v>
          </cell>
          <cell r="E9" t="str">
            <v>5.2989194</v>
          </cell>
          <cell r="F9" t="str">
            <v>2G/3G/4G</v>
          </cell>
          <cell r="G9" t="str">
            <v>ERICSSON</v>
          </cell>
          <cell r="H9" t="str">
            <v>MOOV</v>
          </cell>
          <cell r="I9" t="str">
            <v>MARCORY</v>
          </cell>
          <cell r="J9" t="str">
            <v>ABIDJAN</v>
          </cell>
          <cell r="K9" t="str">
            <v>ABIDJAN</v>
          </cell>
          <cell r="L9" t="str">
            <v>ABIDJAN</v>
          </cell>
          <cell r="M9" t="str">
            <v>MARCORY</v>
          </cell>
          <cell r="N9" t="str">
            <v>ABIDJAN</v>
          </cell>
        </row>
        <row r="10">
          <cell r="B10" t="str">
            <v>AC009</v>
          </cell>
          <cell r="C10" t="str">
            <v>SITARAIL</v>
          </cell>
          <cell r="D10" t="str">
            <v>-4.01325872</v>
          </cell>
          <cell r="E10" t="str">
            <v>5.30156746</v>
          </cell>
          <cell r="F10" t="str">
            <v>2G/3G/4G</v>
          </cell>
          <cell r="G10" t="str">
            <v>ERICSSON</v>
          </cell>
          <cell r="H10" t="str">
            <v>MOOV</v>
          </cell>
          <cell r="I10" t="str">
            <v>TREICHVILLE</v>
          </cell>
          <cell r="J10" t="str">
            <v>ABIDJAN</v>
          </cell>
          <cell r="K10" t="str">
            <v>ABIDJAN</v>
          </cell>
          <cell r="L10" t="str">
            <v>ABIDJAN</v>
          </cell>
          <cell r="M10" t="str">
            <v>PLATEAU</v>
          </cell>
          <cell r="N10" t="str">
            <v>ABIDJAN</v>
          </cell>
        </row>
        <row r="11">
          <cell r="B11" t="str">
            <v>AC010</v>
          </cell>
          <cell r="C11" t="str">
            <v>SAMARITAIN</v>
          </cell>
          <cell r="D11" t="str">
            <v>-3.99217093</v>
          </cell>
          <cell r="E11" t="str">
            <v>5.30763479</v>
          </cell>
          <cell r="F11" t="str">
            <v>2G/3G/4G</v>
          </cell>
          <cell r="G11" t="str">
            <v>ERICSSON</v>
          </cell>
          <cell r="H11" t="str">
            <v>MOOV</v>
          </cell>
          <cell r="I11" t="str">
            <v>MARCORY</v>
          </cell>
          <cell r="J11" t="str">
            <v>ABIDJAN</v>
          </cell>
          <cell r="K11" t="str">
            <v>ABIDJAN</v>
          </cell>
          <cell r="L11" t="str">
            <v>ABIDJAN</v>
          </cell>
          <cell r="M11" t="str">
            <v>MARCORY</v>
          </cell>
          <cell r="N11" t="str">
            <v>ABIDJAN</v>
          </cell>
        </row>
        <row r="12">
          <cell r="B12" t="str">
            <v>AC011</v>
          </cell>
          <cell r="C12" t="str">
            <v>MASSARANA</v>
          </cell>
          <cell r="D12" t="str">
            <v>-3.98508527</v>
          </cell>
          <cell r="E12" t="str">
            <v>5.30072654</v>
          </cell>
          <cell r="F12" t="str">
            <v>2G/3G/4G</v>
          </cell>
          <cell r="G12" t="str">
            <v>ERICSSON</v>
          </cell>
          <cell r="H12" t="str">
            <v>MOOV</v>
          </cell>
          <cell r="I12" t="str">
            <v>MARCORY</v>
          </cell>
          <cell r="J12" t="str">
            <v>ABIDJAN</v>
          </cell>
          <cell r="K12" t="str">
            <v>ABIDJAN</v>
          </cell>
          <cell r="L12" t="str">
            <v>ABIDJAN</v>
          </cell>
          <cell r="M12" t="str">
            <v>MARCORY</v>
          </cell>
          <cell r="N12" t="str">
            <v>ABIDJAN</v>
          </cell>
        </row>
        <row r="13">
          <cell r="B13" t="str">
            <v>AC012</v>
          </cell>
          <cell r="C13" t="str">
            <v>SODIREP</v>
          </cell>
          <cell r="D13" t="str">
            <v>-3.98022165</v>
          </cell>
          <cell r="E13" t="str">
            <v>5.28939155</v>
          </cell>
          <cell r="F13" t="str">
            <v>2G/3G/4G</v>
          </cell>
          <cell r="G13" t="str">
            <v>ERICSSON</v>
          </cell>
          <cell r="H13" t="str">
            <v>MOOV</v>
          </cell>
          <cell r="I13" t="str">
            <v>MARCORY</v>
          </cell>
          <cell r="J13" t="str">
            <v>ABIDJAN</v>
          </cell>
          <cell r="K13" t="str">
            <v>ABIDJAN</v>
          </cell>
          <cell r="L13" t="str">
            <v>ABIDJAN</v>
          </cell>
          <cell r="M13" t="str">
            <v>MARCORY</v>
          </cell>
          <cell r="N13" t="str">
            <v>ABIDJAN</v>
          </cell>
        </row>
        <row r="14">
          <cell r="B14" t="str">
            <v>AC013</v>
          </cell>
          <cell r="C14" t="str">
            <v>BANFORA</v>
          </cell>
          <cell r="D14" t="str">
            <v>-4.02238597</v>
          </cell>
          <cell r="E14" t="str">
            <v>5.34786339</v>
          </cell>
          <cell r="F14" t="str">
            <v>2G/3G/4G</v>
          </cell>
          <cell r="G14" t="str">
            <v>ERICSSON</v>
          </cell>
          <cell r="H14" t="str">
            <v>MOOV</v>
          </cell>
          <cell r="I14" t="str">
            <v>ADJAME</v>
          </cell>
          <cell r="J14" t="str">
            <v>ABIDJAN</v>
          </cell>
          <cell r="K14" t="str">
            <v>ABIDJAN</v>
          </cell>
          <cell r="L14" t="str">
            <v>ABIDJAN</v>
          </cell>
          <cell r="M14" t="str">
            <v>PLATEAU</v>
          </cell>
          <cell r="N14" t="str">
            <v>ABIDJAN</v>
          </cell>
        </row>
        <row r="15">
          <cell r="B15" t="str">
            <v>AC014</v>
          </cell>
          <cell r="C15" t="str">
            <v>ATTECOUBE</v>
          </cell>
          <cell r="D15" t="str">
            <v>-4.0346383</v>
          </cell>
          <cell r="E15" t="str">
            <v>5.35161463</v>
          </cell>
          <cell r="F15" t="str">
            <v>2G/3G/4G</v>
          </cell>
          <cell r="G15" t="str">
            <v>ERICSSON</v>
          </cell>
          <cell r="H15" t="str">
            <v>MOOV</v>
          </cell>
          <cell r="I15" t="str">
            <v>ATTECOUBE</v>
          </cell>
          <cell r="J15" t="str">
            <v>ABIDJAN</v>
          </cell>
          <cell r="K15" t="str">
            <v>ABIDJAN</v>
          </cell>
          <cell r="L15" t="str">
            <v>ABIDJAN</v>
          </cell>
          <cell r="M15" t="str">
            <v>YOPOUGON SABLE</v>
          </cell>
          <cell r="N15" t="str">
            <v>ABIDJAN</v>
          </cell>
        </row>
        <row r="16">
          <cell r="B16" t="str">
            <v>AC015</v>
          </cell>
          <cell r="C16" t="str">
            <v>BINGES</v>
          </cell>
          <cell r="D16" t="str">
            <v>-3.89041804</v>
          </cell>
          <cell r="E16" t="str">
            <v>5.358779</v>
          </cell>
          <cell r="F16" t="str">
            <v>2G/3G/4G</v>
          </cell>
          <cell r="G16" t="str">
            <v>ERICSSON</v>
          </cell>
          <cell r="H16" t="str">
            <v>MOOV</v>
          </cell>
          <cell r="I16" t="str">
            <v>BINGERVILLE</v>
          </cell>
          <cell r="J16" t="str">
            <v>BINGERVILLE</v>
          </cell>
          <cell r="K16" t="str">
            <v>ABIDJAN</v>
          </cell>
          <cell r="L16" t="str">
            <v>ABIDJAN</v>
          </cell>
          <cell r="M16" t="str">
            <v>COCODY LATRILLE</v>
          </cell>
          <cell r="N16" t="str">
            <v>ABIDJAN</v>
          </cell>
        </row>
        <row r="17">
          <cell r="B17" t="str">
            <v>AC016</v>
          </cell>
          <cell r="C17" t="str">
            <v>ACACIAS</v>
          </cell>
          <cell r="D17" t="str">
            <v>-4.02049934</v>
          </cell>
          <cell r="E17" t="str">
            <v>5.32569697</v>
          </cell>
          <cell r="F17" t="str">
            <v>2G/3G/4G</v>
          </cell>
          <cell r="G17" t="str">
            <v>ERICSSON</v>
          </cell>
          <cell r="H17" t="str">
            <v>MOOV</v>
          </cell>
          <cell r="I17" t="str">
            <v>PLATEAU</v>
          </cell>
          <cell r="J17" t="str">
            <v>ABIDJAN</v>
          </cell>
          <cell r="K17" t="str">
            <v>ABIDJAN</v>
          </cell>
          <cell r="L17" t="str">
            <v>ABIDJAN</v>
          </cell>
          <cell r="M17" t="str">
            <v>PLATEAU</v>
          </cell>
          <cell r="N17" t="str">
            <v>ABIDJAN</v>
          </cell>
        </row>
        <row r="18">
          <cell r="B18" t="str">
            <v>AC017</v>
          </cell>
          <cell r="C18" t="str">
            <v>COBACI</v>
          </cell>
          <cell r="D18" t="str">
            <v>-4.01456829</v>
          </cell>
          <cell r="E18" t="str">
            <v>5.31881438</v>
          </cell>
          <cell r="F18" t="str">
            <v>2G/3G/4G</v>
          </cell>
          <cell r="G18" t="str">
            <v>ERICSSON</v>
          </cell>
          <cell r="H18" t="str">
            <v>MOOV</v>
          </cell>
          <cell r="I18" t="str">
            <v>PLATEAU</v>
          </cell>
          <cell r="J18" t="str">
            <v>ABIDJAN</v>
          </cell>
          <cell r="K18" t="str">
            <v>ABIDJAN</v>
          </cell>
          <cell r="L18" t="str">
            <v>ABIDJAN</v>
          </cell>
          <cell r="M18" t="str">
            <v>PLATEAU</v>
          </cell>
          <cell r="N18" t="str">
            <v>ABIDJAN</v>
          </cell>
        </row>
        <row r="19">
          <cell r="B19" t="str">
            <v>AC018</v>
          </cell>
          <cell r="C19" t="str">
            <v>INDENIE</v>
          </cell>
          <cell r="D19" t="str">
            <v>-4.021863</v>
          </cell>
          <cell r="E19" t="str">
            <v>5.338493</v>
          </cell>
          <cell r="F19" t="str">
            <v>2G/3G/4G</v>
          </cell>
          <cell r="G19" t="str">
            <v>ERICSSON</v>
          </cell>
          <cell r="H19" t="str">
            <v>MOOV</v>
          </cell>
          <cell r="I19" t="str">
            <v>PLATEAU</v>
          </cell>
          <cell r="J19" t="str">
            <v>ABIDJAN</v>
          </cell>
          <cell r="K19" t="str">
            <v>ABIDJAN</v>
          </cell>
          <cell r="L19" t="str">
            <v>ABIDJAN</v>
          </cell>
          <cell r="M19" t="str">
            <v>PLATEAU</v>
          </cell>
          <cell r="N19" t="str">
            <v>ABIDJAN</v>
          </cell>
        </row>
        <row r="20">
          <cell r="B20" t="str">
            <v>AC019</v>
          </cell>
          <cell r="C20" t="str">
            <v>VALLY</v>
          </cell>
          <cell r="D20" t="str">
            <v>-3.963837</v>
          </cell>
          <cell r="E20" t="str">
            <v>5.30250574</v>
          </cell>
          <cell r="F20" t="str">
            <v>2G/3G/4G</v>
          </cell>
          <cell r="G20" t="str">
            <v>ERICSSON</v>
          </cell>
          <cell r="H20" t="str">
            <v>MOOV</v>
          </cell>
          <cell r="I20" t="str">
            <v>KOUMASSI</v>
          </cell>
          <cell r="J20" t="str">
            <v>ABIDJAN</v>
          </cell>
          <cell r="K20" t="str">
            <v>ABIDJAN</v>
          </cell>
          <cell r="L20" t="str">
            <v>ABIDJAN</v>
          </cell>
          <cell r="M20" t="str">
            <v>MARCORY</v>
          </cell>
          <cell r="N20" t="str">
            <v>ABIDJAN</v>
          </cell>
        </row>
        <row r="21">
          <cell r="B21" t="str">
            <v>AC020</v>
          </cell>
          <cell r="C21" t="str">
            <v>TENDENCE</v>
          </cell>
          <cell r="D21" t="str">
            <v>-3.97114</v>
          </cell>
          <cell r="E21" t="str">
            <v>5.2916</v>
          </cell>
          <cell r="F21" t="str">
            <v>2G/3G/4G</v>
          </cell>
          <cell r="G21" t="str">
            <v>ERICSSON</v>
          </cell>
          <cell r="H21" t="str">
            <v>MOOV</v>
          </cell>
          <cell r="I21" t="str">
            <v>KOUMASSI</v>
          </cell>
          <cell r="J21" t="str">
            <v>ABIDJAN</v>
          </cell>
          <cell r="K21" t="str">
            <v>ABIDJAN</v>
          </cell>
          <cell r="L21" t="str">
            <v>ABIDJAN</v>
          </cell>
          <cell r="M21" t="str">
            <v>MARCORY</v>
          </cell>
          <cell r="N21" t="str">
            <v>ABIDJAN</v>
          </cell>
        </row>
        <row r="22">
          <cell r="B22" t="str">
            <v>AC021</v>
          </cell>
          <cell r="C22" t="str">
            <v>NIFA</v>
          </cell>
          <cell r="D22" t="str">
            <v>-3.9760585</v>
          </cell>
          <cell r="E22" t="str">
            <v>5.27577598</v>
          </cell>
          <cell r="F22" t="str">
            <v>2G/3G/4G</v>
          </cell>
          <cell r="G22" t="str">
            <v>ERICSSON</v>
          </cell>
          <cell r="H22" t="str">
            <v>MOOV</v>
          </cell>
          <cell r="I22" t="str">
            <v>MARCORY</v>
          </cell>
          <cell r="J22" t="str">
            <v>ABIDJAN</v>
          </cell>
          <cell r="K22" t="str">
            <v>ABIDJAN</v>
          </cell>
          <cell r="L22" t="str">
            <v>ABIDJAN</v>
          </cell>
          <cell r="M22" t="str">
            <v>MARCORY</v>
          </cell>
          <cell r="N22" t="str">
            <v>ABIDJAN</v>
          </cell>
        </row>
        <row r="23">
          <cell r="B23" t="str">
            <v>AC022</v>
          </cell>
          <cell r="C23" t="str">
            <v>PAA</v>
          </cell>
          <cell r="D23" t="str">
            <v>-3.98650897</v>
          </cell>
          <cell r="E23" t="str">
            <v>5.25946903</v>
          </cell>
          <cell r="F23" t="str">
            <v>2G/3G/4G</v>
          </cell>
          <cell r="G23" t="str">
            <v>ERICSSON</v>
          </cell>
          <cell r="H23" t="str">
            <v>MOOV</v>
          </cell>
          <cell r="I23" t="str">
            <v>TREICHVILLE</v>
          </cell>
          <cell r="J23" t="str">
            <v>ABIDJAN</v>
          </cell>
          <cell r="K23" t="str">
            <v>ABIDJAN</v>
          </cell>
          <cell r="L23" t="str">
            <v>ABIDJAN</v>
          </cell>
          <cell r="M23" t="str">
            <v>PLATEAU</v>
          </cell>
          <cell r="N23" t="str">
            <v>ABIDJAN</v>
          </cell>
        </row>
        <row r="24">
          <cell r="B24" t="str">
            <v>AC025</v>
          </cell>
          <cell r="C24" t="str">
            <v>COLOMBE</v>
          </cell>
          <cell r="D24" t="str">
            <v>-3.96503108</v>
          </cell>
          <cell r="E24" t="str">
            <v>5.29858728</v>
          </cell>
          <cell r="F24" t="str">
            <v>2G/3G/4G</v>
          </cell>
          <cell r="G24" t="str">
            <v>ERICSSON</v>
          </cell>
          <cell r="H24" t="str">
            <v>MOOV</v>
          </cell>
          <cell r="I24" t="str">
            <v>KOUMASSI</v>
          </cell>
          <cell r="J24" t="str">
            <v>ABIDJAN</v>
          </cell>
          <cell r="K24" t="str">
            <v>ABIDJAN</v>
          </cell>
          <cell r="L24" t="str">
            <v>ABIDJAN</v>
          </cell>
          <cell r="M24" t="str">
            <v>MARCORY</v>
          </cell>
          <cell r="N24" t="str">
            <v>ABIDJAN</v>
          </cell>
        </row>
        <row r="25">
          <cell r="B25" t="str">
            <v>AC026</v>
          </cell>
          <cell r="C25" t="str">
            <v>KOUM_SICOGI</v>
          </cell>
          <cell r="D25" t="str">
            <v>-3.96553022</v>
          </cell>
          <cell r="E25" t="str">
            <v>5.28294723</v>
          </cell>
          <cell r="F25" t="str">
            <v>2G/3G/4G</v>
          </cell>
          <cell r="G25" t="str">
            <v>ERICSSON</v>
          </cell>
          <cell r="H25" t="str">
            <v>MOOV</v>
          </cell>
          <cell r="I25" t="str">
            <v>KOUMASSI</v>
          </cell>
          <cell r="J25" t="str">
            <v>ABIDJAN</v>
          </cell>
          <cell r="K25" t="str">
            <v>ABIDJAN</v>
          </cell>
          <cell r="L25" t="str">
            <v>ABIDJAN</v>
          </cell>
          <cell r="M25" t="str">
            <v>MARCORY</v>
          </cell>
          <cell r="N25" t="str">
            <v>ABIDJAN</v>
          </cell>
        </row>
        <row r="26">
          <cell r="B26" t="str">
            <v>AC027</v>
          </cell>
          <cell r="C26" t="str">
            <v>PRODOMO</v>
          </cell>
          <cell r="D26" t="str">
            <v>-3.9471921</v>
          </cell>
          <cell r="E26" t="str">
            <v>5.30522696</v>
          </cell>
          <cell r="F26" t="str">
            <v>2G/3G/4G</v>
          </cell>
          <cell r="G26" t="str">
            <v>ERICSSON</v>
          </cell>
          <cell r="H26" t="str">
            <v>MOOV</v>
          </cell>
          <cell r="I26" t="str">
            <v>KOUMASSI</v>
          </cell>
          <cell r="J26" t="str">
            <v>ABIDJAN</v>
          </cell>
          <cell r="K26" t="str">
            <v>ABIDJAN</v>
          </cell>
          <cell r="L26" t="str">
            <v>ABIDJAN</v>
          </cell>
          <cell r="M26" t="str">
            <v>MARCORY</v>
          </cell>
          <cell r="N26" t="str">
            <v>ABIDJAN</v>
          </cell>
        </row>
        <row r="27">
          <cell r="B27" t="str">
            <v>AC028</v>
          </cell>
          <cell r="C27" t="str">
            <v>PBOUET</v>
          </cell>
          <cell r="D27" t="str">
            <v>-3.96564596</v>
          </cell>
          <cell r="E27" t="str">
            <v>5.25857003</v>
          </cell>
          <cell r="F27" t="str">
            <v>2G/3G/4G</v>
          </cell>
          <cell r="G27" t="str">
            <v>HUAWEI</v>
          </cell>
          <cell r="H27" t="str">
            <v>MOOV</v>
          </cell>
          <cell r="I27" t="str">
            <v>PORT-BOUET</v>
          </cell>
          <cell r="J27" t="str">
            <v>ABIDJAN</v>
          </cell>
          <cell r="K27" t="str">
            <v>ABIDJAN</v>
          </cell>
          <cell r="L27" t="str">
            <v>ABIDJAN</v>
          </cell>
          <cell r="M27" t="str">
            <v>MARCORY</v>
          </cell>
          <cell r="N27" t="str">
            <v>ABIDJAN</v>
          </cell>
        </row>
        <row r="28">
          <cell r="B28" t="str">
            <v>AC029</v>
          </cell>
          <cell r="C28" t="str">
            <v>ASECNA</v>
          </cell>
          <cell r="D28" t="str">
            <v>-3.93597273</v>
          </cell>
          <cell r="E28" t="str">
            <v>5.25535895</v>
          </cell>
          <cell r="F28" t="str">
            <v>2G/3G/4G/5G</v>
          </cell>
          <cell r="G28" t="str">
            <v>HUAWEI</v>
          </cell>
          <cell r="H28" t="str">
            <v>MOOV</v>
          </cell>
          <cell r="I28" t="str">
            <v>PORT-BOUET</v>
          </cell>
          <cell r="J28" t="str">
            <v>ABIDJAN</v>
          </cell>
          <cell r="K28" t="str">
            <v>ABIDJAN</v>
          </cell>
          <cell r="L28" t="str">
            <v>ABIDJAN</v>
          </cell>
          <cell r="M28" t="str">
            <v>MARCORY</v>
          </cell>
          <cell r="N28" t="str">
            <v>ABIDJAN</v>
          </cell>
        </row>
        <row r="29">
          <cell r="B29" t="str">
            <v>AC030</v>
          </cell>
          <cell r="C29" t="str">
            <v>ADJOUFOU</v>
          </cell>
          <cell r="D29" t="str">
            <v>-3.91836035</v>
          </cell>
          <cell r="E29" t="str">
            <v>5.2437256</v>
          </cell>
          <cell r="F29" t="str">
            <v>2G/3G/4G</v>
          </cell>
          <cell r="G29" t="str">
            <v>HUAWEI</v>
          </cell>
          <cell r="H29" t="str">
            <v>MOOV</v>
          </cell>
          <cell r="I29" t="str">
            <v>PORT-BOUET</v>
          </cell>
          <cell r="J29" t="str">
            <v>ABIDJAN</v>
          </cell>
          <cell r="K29" t="str">
            <v>ABIDJAN</v>
          </cell>
          <cell r="L29" t="str">
            <v>ABIDJAN</v>
          </cell>
          <cell r="M29" t="str">
            <v>MARCORY</v>
          </cell>
          <cell r="N29" t="str">
            <v>ABIDJAN</v>
          </cell>
        </row>
        <row r="30">
          <cell r="B30" t="str">
            <v>AC031</v>
          </cell>
          <cell r="C30" t="str">
            <v>GONZAG</v>
          </cell>
          <cell r="D30" t="str">
            <v>-3.8988588</v>
          </cell>
          <cell r="E30" t="str">
            <v>5.24194484</v>
          </cell>
          <cell r="F30" t="str">
            <v>2G/3G/4G</v>
          </cell>
          <cell r="G30" t="str">
            <v>HUAWEI</v>
          </cell>
          <cell r="H30" t="str">
            <v>MOOV</v>
          </cell>
          <cell r="I30" t="str">
            <v>PORT-BOUET</v>
          </cell>
          <cell r="J30" t="str">
            <v>ABIDJAN</v>
          </cell>
          <cell r="K30" t="str">
            <v>ABIDJAN</v>
          </cell>
          <cell r="L30" t="str">
            <v>ABIDJAN</v>
          </cell>
          <cell r="M30" t="str">
            <v>MARCORY</v>
          </cell>
          <cell r="N30" t="str">
            <v>ABIDJAN</v>
          </cell>
        </row>
        <row r="31">
          <cell r="B31" t="str">
            <v>AC032</v>
          </cell>
          <cell r="C31" t="str">
            <v>SIRENE</v>
          </cell>
          <cell r="D31" t="str">
            <v>-3.94348868</v>
          </cell>
          <cell r="E31" t="str">
            <v>5.25509436</v>
          </cell>
          <cell r="F31" t="str">
            <v>2G/3G/4G</v>
          </cell>
          <cell r="G31" t="str">
            <v>HUAWEI</v>
          </cell>
          <cell r="H31" t="str">
            <v>MOOV</v>
          </cell>
          <cell r="I31" t="str">
            <v>PORT-BOUET</v>
          </cell>
          <cell r="J31" t="str">
            <v>ABIDJAN</v>
          </cell>
          <cell r="K31" t="str">
            <v>ABIDJAN</v>
          </cell>
          <cell r="L31" t="str">
            <v>ABIDJAN</v>
          </cell>
          <cell r="M31" t="str">
            <v>MARCORY</v>
          </cell>
          <cell r="N31" t="str">
            <v>ABIDJAN</v>
          </cell>
        </row>
        <row r="32">
          <cell r="B32" t="str">
            <v>AC033</v>
          </cell>
          <cell r="C32" t="str">
            <v>JERUSALEM</v>
          </cell>
          <cell r="D32" t="str">
            <v>-4.04380719</v>
          </cell>
          <cell r="E32" t="str">
            <v>5.31967008</v>
          </cell>
          <cell r="F32" t="str">
            <v>2G/3G/4G</v>
          </cell>
          <cell r="G32" t="str">
            <v>ERICSSON</v>
          </cell>
          <cell r="H32" t="str">
            <v>MOOV</v>
          </cell>
          <cell r="I32" t="str">
            <v>YOPOUGON</v>
          </cell>
          <cell r="J32" t="str">
            <v>ABIDJAN</v>
          </cell>
          <cell r="K32" t="str">
            <v>ABIDJAN</v>
          </cell>
          <cell r="L32" t="str">
            <v>ABIDJAN</v>
          </cell>
          <cell r="M32" t="str">
            <v>YOPOUGON SABLE</v>
          </cell>
          <cell r="N32" t="str">
            <v>ABIDJAN</v>
          </cell>
        </row>
        <row r="33">
          <cell r="B33" t="str">
            <v>AC034</v>
          </cell>
          <cell r="C33" t="str">
            <v>LOCODJRO</v>
          </cell>
          <cell r="D33" t="str">
            <v>-4.03591459</v>
          </cell>
          <cell r="E33" t="str">
            <v>5.31624627</v>
          </cell>
          <cell r="F33" t="str">
            <v>2G/3G/4G</v>
          </cell>
          <cell r="G33" t="str">
            <v>ERICSSON</v>
          </cell>
          <cell r="H33" t="str">
            <v>MOOV</v>
          </cell>
          <cell r="I33" t="str">
            <v>YOPOUGON</v>
          </cell>
          <cell r="J33" t="str">
            <v>ABIDJAN</v>
          </cell>
          <cell r="K33" t="str">
            <v>ABIDJAN</v>
          </cell>
          <cell r="L33" t="str">
            <v>ABIDJAN</v>
          </cell>
          <cell r="M33" t="str">
            <v>YOPOUGON SABLE</v>
          </cell>
          <cell r="N33" t="str">
            <v>ABIDJAN</v>
          </cell>
        </row>
        <row r="34">
          <cell r="B34" t="str">
            <v>AC035</v>
          </cell>
          <cell r="C34" t="str">
            <v>SINGA</v>
          </cell>
          <cell r="D34" t="str">
            <v>-4.06028035</v>
          </cell>
          <cell r="E34" t="str">
            <v>5.32236451</v>
          </cell>
          <cell r="F34" t="str">
            <v>2G/3G/4G</v>
          </cell>
          <cell r="G34" t="str">
            <v>ERICSSON</v>
          </cell>
          <cell r="H34" t="str">
            <v>MOOV</v>
          </cell>
          <cell r="I34" t="str">
            <v>YOPOUGON</v>
          </cell>
          <cell r="J34" t="str">
            <v>ABIDJAN</v>
          </cell>
          <cell r="K34" t="str">
            <v>ABIDJAN</v>
          </cell>
          <cell r="L34" t="str">
            <v>ABIDJAN</v>
          </cell>
          <cell r="M34" t="str">
            <v>YOPOUGON SABLE</v>
          </cell>
          <cell r="N34" t="str">
            <v>ABIDJAN</v>
          </cell>
        </row>
        <row r="35">
          <cell r="B35" t="str">
            <v>AC036</v>
          </cell>
          <cell r="C35" t="str">
            <v>TT_ROUGE</v>
          </cell>
          <cell r="D35" t="str">
            <v>-4.049387</v>
          </cell>
          <cell r="E35" t="str">
            <v>5.33210657</v>
          </cell>
          <cell r="F35" t="str">
            <v>2G/3G/4G</v>
          </cell>
          <cell r="G35" t="str">
            <v>ERICSSON</v>
          </cell>
          <cell r="H35" t="str">
            <v>MOOV</v>
          </cell>
          <cell r="I35" t="str">
            <v>YOPOUGON</v>
          </cell>
          <cell r="J35" t="str">
            <v>ABIDJAN</v>
          </cell>
          <cell r="K35" t="str">
            <v>ABIDJAN</v>
          </cell>
          <cell r="L35" t="str">
            <v>ABIDJAN</v>
          </cell>
          <cell r="M35" t="str">
            <v>YOPOUGON SABLE</v>
          </cell>
          <cell r="N35" t="str">
            <v>ABIDJAN</v>
          </cell>
        </row>
        <row r="36">
          <cell r="B36" t="str">
            <v>AC037</v>
          </cell>
          <cell r="C36" t="str">
            <v>MILLIONAIRE</v>
          </cell>
          <cell r="D36" t="str">
            <v>-4.05260867</v>
          </cell>
          <cell r="E36" t="str">
            <v>5.34802934</v>
          </cell>
          <cell r="F36" t="str">
            <v>2G/3G/4G</v>
          </cell>
          <cell r="G36" t="str">
            <v>ERICSSON</v>
          </cell>
          <cell r="H36" t="str">
            <v>MOOV</v>
          </cell>
          <cell r="I36" t="str">
            <v>YOPOUGON</v>
          </cell>
          <cell r="J36" t="str">
            <v>ABIDJAN</v>
          </cell>
          <cell r="K36" t="str">
            <v>ABIDJAN</v>
          </cell>
          <cell r="L36" t="str">
            <v>ABIDJAN</v>
          </cell>
          <cell r="M36" t="str">
            <v>YOPOUGON SABLE</v>
          </cell>
          <cell r="N36" t="str">
            <v>ABIDJAN</v>
          </cell>
        </row>
        <row r="37">
          <cell r="B37" t="str">
            <v>AC038</v>
          </cell>
          <cell r="C37" t="str">
            <v>SELMER</v>
          </cell>
          <cell r="D37" t="str">
            <v>-4.0634679</v>
          </cell>
          <cell r="E37" t="str">
            <v>5.33933646</v>
          </cell>
          <cell r="F37" t="str">
            <v>2G/3G/4G</v>
          </cell>
          <cell r="G37" t="str">
            <v>ERICSSON</v>
          </cell>
          <cell r="H37" t="str">
            <v>MOOV</v>
          </cell>
          <cell r="I37" t="str">
            <v>YOPOUGON</v>
          </cell>
          <cell r="J37" t="str">
            <v>ABIDJAN</v>
          </cell>
          <cell r="K37" t="str">
            <v>ABIDJAN</v>
          </cell>
          <cell r="L37" t="str">
            <v>ABIDJAN</v>
          </cell>
          <cell r="M37" t="str">
            <v>YOPOUGON SABLE</v>
          </cell>
          <cell r="N37" t="str">
            <v>ABIDJAN</v>
          </cell>
        </row>
        <row r="38">
          <cell r="B38" t="str">
            <v>AC039</v>
          </cell>
          <cell r="C38" t="str">
            <v>CARNOT</v>
          </cell>
          <cell r="D38" t="str">
            <v>-4.10455793</v>
          </cell>
          <cell r="E38" t="str">
            <v>5.3211109</v>
          </cell>
          <cell r="F38" t="str">
            <v>2G/3G/4G</v>
          </cell>
          <cell r="G38" t="str">
            <v>ERICSSON</v>
          </cell>
          <cell r="H38" t="str">
            <v>MOOV</v>
          </cell>
          <cell r="I38" t="str">
            <v>YOPOUGON</v>
          </cell>
          <cell r="J38" t="str">
            <v>ABIDJAN</v>
          </cell>
          <cell r="K38" t="str">
            <v>ABIDJAN</v>
          </cell>
          <cell r="L38" t="str">
            <v>ABIDJAN</v>
          </cell>
          <cell r="M38" t="str">
            <v>YOPOUGON FICGAYO</v>
          </cell>
          <cell r="N38" t="str">
            <v>ABIDJAN</v>
          </cell>
        </row>
        <row r="39">
          <cell r="B39" t="str">
            <v>AC040</v>
          </cell>
          <cell r="C39" t="str">
            <v>GAKOUKA</v>
          </cell>
          <cell r="D39" t="str">
            <v>-4.07475185</v>
          </cell>
          <cell r="E39" t="str">
            <v>5.33116732</v>
          </cell>
          <cell r="F39" t="str">
            <v>2G/3G/4G</v>
          </cell>
          <cell r="G39" t="str">
            <v>ERICSSON</v>
          </cell>
          <cell r="H39" t="str">
            <v>MOOV</v>
          </cell>
          <cell r="I39" t="str">
            <v>YOPOUGON</v>
          </cell>
          <cell r="J39" t="str">
            <v>ABIDJAN</v>
          </cell>
          <cell r="K39" t="str">
            <v>ABIDJAN</v>
          </cell>
          <cell r="L39" t="str">
            <v>ABIDJAN</v>
          </cell>
          <cell r="M39" t="str">
            <v>YOPOUGON SABLE</v>
          </cell>
          <cell r="N39" t="str">
            <v>ABIDJAN</v>
          </cell>
        </row>
        <row r="40">
          <cell r="B40" t="str">
            <v>AC041</v>
          </cell>
          <cell r="C40" t="str">
            <v>AKANE</v>
          </cell>
          <cell r="D40" t="str">
            <v>-4.08825143</v>
          </cell>
          <cell r="E40" t="str">
            <v>5.34127389</v>
          </cell>
          <cell r="F40" t="str">
            <v>2G/3G/4G</v>
          </cell>
          <cell r="G40" t="str">
            <v>ERICSSON</v>
          </cell>
          <cell r="H40" t="str">
            <v>MOOV</v>
          </cell>
          <cell r="I40" t="str">
            <v>YOPOUGON</v>
          </cell>
          <cell r="J40" t="str">
            <v>ABIDJAN</v>
          </cell>
          <cell r="K40" t="str">
            <v>ABIDJAN</v>
          </cell>
          <cell r="L40" t="str">
            <v>ABIDJAN</v>
          </cell>
          <cell r="M40" t="str">
            <v>YOPOUGON FICGAYO</v>
          </cell>
          <cell r="N40" t="str">
            <v>ABIDJAN</v>
          </cell>
        </row>
        <row r="41">
          <cell r="B41" t="str">
            <v>AC042</v>
          </cell>
          <cell r="C41" t="str">
            <v>MAROC</v>
          </cell>
          <cell r="D41" t="str">
            <v>-4.10033771</v>
          </cell>
          <cell r="E41" t="str">
            <v>5.34805409</v>
          </cell>
          <cell r="F41" t="str">
            <v>2G/3G/4G</v>
          </cell>
          <cell r="G41" t="str">
            <v>ERICSSON</v>
          </cell>
          <cell r="H41" t="str">
            <v>MOOV</v>
          </cell>
          <cell r="I41" t="str">
            <v>YOPOUGON</v>
          </cell>
          <cell r="J41" t="str">
            <v>ABIDJAN</v>
          </cell>
          <cell r="K41" t="str">
            <v>ABIDJAN</v>
          </cell>
          <cell r="L41" t="str">
            <v>ABIDJAN</v>
          </cell>
          <cell r="M41" t="str">
            <v>YOPOUGON FICGAYO</v>
          </cell>
          <cell r="N41" t="str">
            <v>ABIDJAN</v>
          </cell>
        </row>
        <row r="42">
          <cell r="B42" t="str">
            <v>AC043</v>
          </cell>
          <cell r="C42" t="str">
            <v>UNIWAX</v>
          </cell>
          <cell r="D42" t="str">
            <v>-4.080449</v>
          </cell>
          <cell r="E42" t="str">
            <v>5.363903</v>
          </cell>
          <cell r="F42" t="str">
            <v>2G/3G/4G</v>
          </cell>
          <cell r="G42" t="str">
            <v>ERICSSON</v>
          </cell>
          <cell r="H42" t="str">
            <v>MOOV</v>
          </cell>
          <cell r="I42" t="str">
            <v>YOPOUGON</v>
          </cell>
          <cell r="J42" t="str">
            <v>ABIDJAN</v>
          </cell>
          <cell r="K42" t="str">
            <v>ABIDJAN</v>
          </cell>
          <cell r="L42" t="str">
            <v>ABIDJAN</v>
          </cell>
          <cell r="M42" t="str">
            <v>YOPOUGON SABLE</v>
          </cell>
          <cell r="N42" t="str">
            <v>ABIDJAN</v>
          </cell>
        </row>
        <row r="43">
          <cell r="B43" t="str">
            <v>AC044</v>
          </cell>
          <cell r="C43" t="str">
            <v>OASIS</v>
          </cell>
          <cell r="D43" t="str">
            <v>-4.09889077</v>
          </cell>
          <cell r="E43" t="str">
            <v>5.35644129</v>
          </cell>
          <cell r="F43" t="str">
            <v>2G/3G/4G</v>
          </cell>
          <cell r="G43" t="str">
            <v>ERICSSON</v>
          </cell>
          <cell r="H43" t="str">
            <v>MOOV</v>
          </cell>
          <cell r="I43" t="str">
            <v>YOPOUGON</v>
          </cell>
          <cell r="J43" t="str">
            <v>ABIDJAN</v>
          </cell>
          <cell r="K43" t="str">
            <v>ABIDJAN</v>
          </cell>
          <cell r="L43" t="str">
            <v>ABIDJAN</v>
          </cell>
          <cell r="M43" t="str">
            <v>YOPOUGON FICGAYO</v>
          </cell>
          <cell r="N43" t="str">
            <v>ABIDJAN</v>
          </cell>
        </row>
        <row r="44">
          <cell r="B44" t="str">
            <v>AC045</v>
          </cell>
          <cell r="C44" t="str">
            <v>BIC</v>
          </cell>
          <cell r="D44" t="str">
            <v>-4.08932887</v>
          </cell>
          <cell r="E44" t="str">
            <v>5.36877753</v>
          </cell>
          <cell r="F44" t="str">
            <v>2G/3G/4G</v>
          </cell>
          <cell r="G44" t="str">
            <v>ERICSSON</v>
          </cell>
          <cell r="H44" t="str">
            <v>MOOV</v>
          </cell>
          <cell r="I44" t="str">
            <v>YOPOUGON</v>
          </cell>
          <cell r="J44" t="str">
            <v>ABIDJAN</v>
          </cell>
          <cell r="K44" t="str">
            <v>ABIDJAN</v>
          </cell>
          <cell r="L44" t="str">
            <v>ABIDJAN</v>
          </cell>
          <cell r="M44" t="str">
            <v>YOPOUGON SABLE</v>
          </cell>
          <cell r="N44" t="str">
            <v>ABIDJAN</v>
          </cell>
        </row>
        <row r="45">
          <cell r="B45" t="str">
            <v>AC046</v>
          </cell>
          <cell r="C45" t="str">
            <v>SONITRA</v>
          </cell>
          <cell r="D45" t="str">
            <v>-4.08778</v>
          </cell>
          <cell r="E45" t="str">
            <v>5.38222</v>
          </cell>
          <cell r="F45" t="str">
            <v>2G/3G/4G</v>
          </cell>
          <cell r="G45" t="str">
            <v>ERICSSON</v>
          </cell>
          <cell r="H45" t="str">
            <v>IHS</v>
          </cell>
          <cell r="I45" t="str">
            <v>YOPOUGON</v>
          </cell>
          <cell r="J45" t="str">
            <v>ABIDJAN</v>
          </cell>
          <cell r="K45" t="str">
            <v>ABIDJAN</v>
          </cell>
          <cell r="L45" t="str">
            <v>ABIDJAN</v>
          </cell>
          <cell r="M45" t="str">
            <v>YOPOUGON SABLE</v>
          </cell>
          <cell r="N45" t="str">
            <v>ABIDJAN</v>
          </cell>
        </row>
        <row r="46">
          <cell r="B46" t="str">
            <v>AC047</v>
          </cell>
          <cell r="C46" t="str">
            <v>YOP_TEXACO</v>
          </cell>
          <cell r="D46" t="str">
            <v>-4.0919084</v>
          </cell>
          <cell r="E46" t="str">
            <v>5.32722066</v>
          </cell>
          <cell r="F46" t="str">
            <v>2G/3G/4G</v>
          </cell>
          <cell r="G46" t="str">
            <v>ERICSSON</v>
          </cell>
          <cell r="H46" t="str">
            <v>MOOV</v>
          </cell>
          <cell r="I46" t="str">
            <v>YOPOUGON</v>
          </cell>
          <cell r="J46" t="str">
            <v>ABIDJAN</v>
          </cell>
          <cell r="K46" t="str">
            <v>ABIDJAN</v>
          </cell>
          <cell r="L46" t="str">
            <v>ABIDJAN</v>
          </cell>
          <cell r="M46" t="str">
            <v>YOPOUGON FICGAYO</v>
          </cell>
          <cell r="N46" t="str">
            <v>ABIDJAN</v>
          </cell>
        </row>
        <row r="47">
          <cell r="B47" t="str">
            <v>AC048</v>
          </cell>
          <cell r="C47" t="str">
            <v>LUBAF</v>
          </cell>
          <cell r="D47" t="str">
            <v>-4.10494652</v>
          </cell>
          <cell r="E47" t="str">
            <v>5.33152989</v>
          </cell>
          <cell r="F47" t="str">
            <v>2G/3G/4G</v>
          </cell>
          <cell r="G47" t="str">
            <v>ERICSSON</v>
          </cell>
          <cell r="H47" t="str">
            <v>MOOV</v>
          </cell>
          <cell r="I47" t="str">
            <v>YOPOUGON</v>
          </cell>
          <cell r="J47" t="str">
            <v>ABIDJAN</v>
          </cell>
          <cell r="K47" t="str">
            <v>ABIDJAN</v>
          </cell>
          <cell r="L47" t="str">
            <v>ABIDJAN</v>
          </cell>
          <cell r="M47" t="str">
            <v>YOPOUGON FICGAYO</v>
          </cell>
          <cell r="N47" t="str">
            <v>ABIDJAN</v>
          </cell>
        </row>
        <row r="48">
          <cell r="B48" t="str">
            <v>AC049</v>
          </cell>
          <cell r="C48" t="str">
            <v>ORNELLA</v>
          </cell>
          <cell r="D48" t="str">
            <v>-4.09128147</v>
          </cell>
          <cell r="E48" t="str">
            <v>5.31966928</v>
          </cell>
          <cell r="F48" t="str">
            <v>2G/3G/4G</v>
          </cell>
          <cell r="G48" t="str">
            <v>ERICSSON</v>
          </cell>
          <cell r="H48" t="str">
            <v>MOOV</v>
          </cell>
          <cell r="I48" t="str">
            <v>YOPOUGON</v>
          </cell>
          <cell r="J48" t="str">
            <v>ABIDJAN</v>
          </cell>
          <cell r="K48" t="str">
            <v>ABIDJAN</v>
          </cell>
          <cell r="L48" t="str">
            <v>ABIDJAN</v>
          </cell>
          <cell r="M48" t="str">
            <v>YOPOUGON FICGAYO</v>
          </cell>
          <cell r="N48" t="str">
            <v>ABIDJAN</v>
          </cell>
        </row>
        <row r="49">
          <cell r="B49" t="str">
            <v>AC050</v>
          </cell>
          <cell r="C49" t="str">
            <v>UNICAFE</v>
          </cell>
          <cell r="D49" t="str">
            <v>-4.05477755</v>
          </cell>
          <cell r="E49" t="str">
            <v>5.46450701</v>
          </cell>
          <cell r="F49" t="str">
            <v>2G/3G/4G</v>
          </cell>
          <cell r="G49" t="str">
            <v>ERICSSON</v>
          </cell>
          <cell r="H49" t="str">
            <v>MOOV</v>
          </cell>
          <cell r="I49" t="str">
            <v>ANYAMA</v>
          </cell>
          <cell r="J49" t="str">
            <v>ANYAMA</v>
          </cell>
          <cell r="K49" t="str">
            <v>ABIDJAN</v>
          </cell>
          <cell r="L49" t="str">
            <v>ABIDJAN</v>
          </cell>
          <cell r="M49" t="str">
            <v>ABOBO</v>
          </cell>
          <cell r="N49" t="str">
            <v>ABIDJAN</v>
          </cell>
        </row>
        <row r="50">
          <cell r="B50" t="str">
            <v>AC051</v>
          </cell>
          <cell r="C50" t="str">
            <v>SAGBE</v>
          </cell>
          <cell r="D50" t="str">
            <v>-4.03088828</v>
          </cell>
          <cell r="E50" t="str">
            <v>5.41833735</v>
          </cell>
          <cell r="F50" t="str">
            <v>2G/3G/4G</v>
          </cell>
          <cell r="G50" t="str">
            <v>ERICSSON</v>
          </cell>
          <cell r="H50" t="str">
            <v>MOOV</v>
          </cell>
          <cell r="I50" t="str">
            <v>ABOBO</v>
          </cell>
          <cell r="J50" t="str">
            <v>ABIDJAN</v>
          </cell>
          <cell r="K50" t="str">
            <v>ABIDJAN</v>
          </cell>
          <cell r="L50" t="str">
            <v>ABIDJAN</v>
          </cell>
          <cell r="M50" t="str">
            <v>ABOBO</v>
          </cell>
          <cell r="N50" t="str">
            <v>ABIDJAN</v>
          </cell>
        </row>
        <row r="51">
          <cell r="B51" t="str">
            <v>AC052</v>
          </cell>
          <cell r="C51" t="str">
            <v>DEPOT</v>
          </cell>
          <cell r="D51" t="str">
            <v>-4.03351261</v>
          </cell>
          <cell r="E51" t="str">
            <v>5.43833147</v>
          </cell>
          <cell r="F51" t="str">
            <v>2G/3G/4G</v>
          </cell>
          <cell r="G51" t="str">
            <v>ERICSSON</v>
          </cell>
          <cell r="H51" t="str">
            <v>MOOV</v>
          </cell>
          <cell r="I51" t="str">
            <v>ABOBO</v>
          </cell>
          <cell r="J51" t="str">
            <v>ABIDJAN</v>
          </cell>
          <cell r="K51" t="str">
            <v>ABIDJAN</v>
          </cell>
          <cell r="L51" t="str">
            <v>ABIDJAN</v>
          </cell>
          <cell r="M51" t="str">
            <v>ABOBO</v>
          </cell>
          <cell r="N51" t="str">
            <v>ABIDJAN</v>
          </cell>
        </row>
        <row r="52">
          <cell r="B52" t="str">
            <v>AC053</v>
          </cell>
          <cell r="C52" t="str">
            <v>STE_FOI</v>
          </cell>
          <cell r="D52" t="str">
            <v>-4.02236246</v>
          </cell>
          <cell r="E52" t="str">
            <v>5.44697947</v>
          </cell>
          <cell r="F52" t="str">
            <v>2G/3G/4G</v>
          </cell>
          <cell r="G52" t="str">
            <v>ERICSSON</v>
          </cell>
          <cell r="H52" t="str">
            <v>MOOV</v>
          </cell>
          <cell r="I52" t="str">
            <v>ABOBO</v>
          </cell>
          <cell r="J52" t="str">
            <v>ABIDJAN</v>
          </cell>
          <cell r="K52" t="str">
            <v>ABIDJAN</v>
          </cell>
          <cell r="L52" t="str">
            <v>ABIDJAN</v>
          </cell>
          <cell r="M52" t="str">
            <v>ABOBO</v>
          </cell>
          <cell r="N52" t="str">
            <v>ABIDJAN</v>
          </cell>
        </row>
        <row r="53">
          <cell r="B53" t="str">
            <v>AC054</v>
          </cell>
          <cell r="C53" t="str">
            <v>ETOILE</v>
          </cell>
          <cell r="D53" t="str">
            <v>-4.02183538</v>
          </cell>
          <cell r="E53" t="str">
            <v>5.4341635</v>
          </cell>
          <cell r="F53" t="str">
            <v>2G/3G/4G</v>
          </cell>
          <cell r="G53" t="str">
            <v>ERICSSON</v>
          </cell>
          <cell r="H53" t="str">
            <v>MOOV</v>
          </cell>
          <cell r="I53" t="str">
            <v>ABOBO</v>
          </cell>
          <cell r="J53" t="str">
            <v>ABIDJAN</v>
          </cell>
          <cell r="K53" t="str">
            <v>ABIDJAN</v>
          </cell>
          <cell r="L53" t="str">
            <v>ABIDJAN</v>
          </cell>
          <cell r="M53" t="str">
            <v>ABOBO</v>
          </cell>
          <cell r="N53" t="str">
            <v>ABIDJAN</v>
          </cell>
        </row>
        <row r="54">
          <cell r="B54" t="str">
            <v>AC056</v>
          </cell>
          <cell r="C54" t="str">
            <v>AMAKEBOU</v>
          </cell>
          <cell r="D54" t="str">
            <v>-4.01510852</v>
          </cell>
          <cell r="E54" t="str">
            <v>5.42171975</v>
          </cell>
          <cell r="F54" t="str">
            <v>2G/3G/4G</v>
          </cell>
          <cell r="G54" t="str">
            <v>ERICSSON</v>
          </cell>
          <cell r="H54" t="str">
            <v>MOOV</v>
          </cell>
          <cell r="I54" t="str">
            <v>ABOBO</v>
          </cell>
          <cell r="J54" t="str">
            <v>ABIDJAN</v>
          </cell>
          <cell r="K54" t="str">
            <v>ABIDJAN</v>
          </cell>
          <cell r="L54" t="str">
            <v>ABIDJAN</v>
          </cell>
          <cell r="M54" t="str">
            <v>ABOBO</v>
          </cell>
          <cell r="N54" t="str">
            <v>ABIDJAN</v>
          </cell>
        </row>
        <row r="55">
          <cell r="B55" t="str">
            <v>AC057</v>
          </cell>
          <cell r="C55" t="str">
            <v>ABOBOTE</v>
          </cell>
          <cell r="D55" t="str">
            <v>-4.00465728</v>
          </cell>
          <cell r="E55" t="str">
            <v>5.41094636</v>
          </cell>
          <cell r="F55" t="str">
            <v>2G/3G/4G</v>
          </cell>
          <cell r="G55" t="str">
            <v>ERICSSON</v>
          </cell>
          <cell r="H55" t="str">
            <v>MOOV</v>
          </cell>
          <cell r="I55" t="str">
            <v>ABOBO</v>
          </cell>
          <cell r="J55" t="str">
            <v>ABIDJAN</v>
          </cell>
          <cell r="K55" t="str">
            <v>ABIDJAN</v>
          </cell>
          <cell r="L55" t="str">
            <v>ABIDJAN</v>
          </cell>
          <cell r="M55" t="str">
            <v>ABOBO</v>
          </cell>
          <cell r="N55" t="str">
            <v>ABIDJAN</v>
          </cell>
        </row>
        <row r="56">
          <cell r="B56" t="str">
            <v>AC058</v>
          </cell>
          <cell r="C56" t="str">
            <v>ANADOR</v>
          </cell>
          <cell r="D56" t="str">
            <v>-4.01724895</v>
          </cell>
          <cell r="E56" t="str">
            <v>5.41175751</v>
          </cell>
          <cell r="F56" t="str">
            <v>2G/3G/4G</v>
          </cell>
          <cell r="G56" t="str">
            <v>ERICSSON</v>
          </cell>
          <cell r="H56" t="str">
            <v>MOOV</v>
          </cell>
          <cell r="I56" t="str">
            <v>ABOBO</v>
          </cell>
          <cell r="J56" t="str">
            <v>ABIDJAN</v>
          </cell>
          <cell r="K56" t="str">
            <v>ABIDJAN</v>
          </cell>
          <cell r="L56" t="str">
            <v>ABIDJAN</v>
          </cell>
          <cell r="M56" t="str">
            <v>ABOBO</v>
          </cell>
          <cell r="N56" t="str">
            <v>ABIDJAN</v>
          </cell>
        </row>
        <row r="57">
          <cell r="B57" t="str">
            <v>AC059</v>
          </cell>
          <cell r="C57" t="str">
            <v>FILTISAC</v>
          </cell>
          <cell r="D57" t="str">
            <v>-4.02004644</v>
          </cell>
          <cell r="E57" t="str">
            <v>5.3953631</v>
          </cell>
          <cell r="F57" t="str">
            <v>2G/3G/4G</v>
          </cell>
          <cell r="G57" t="str">
            <v>ERICSSON</v>
          </cell>
          <cell r="H57" t="str">
            <v>IHS (MTN)</v>
          </cell>
          <cell r="I57" t="str">
            <v>ADJAME</v>
          </cell>
          <cell r="J57" t="str">
            <v>ABIDJAN</v>
          </cell>
          <cell r="K57" t="str">
            <v>ABIDJAN</v>
          </cell>
          <cell r="L57" t="str">
            <v>ABIDJAN</v>
          </cell>
          <cell r="M57" t="str">
            <v>ABOBO</v>
          </cell>
          <cell r="N57" t="str">
            <v>ABIDJAN</v>
          </cell>
        </row>
        <row r="58">
          <cell r="B58" t="str">
            <v>AC060</v>
          </cell>
          <cell r="C58" t="str">
            <v>MACACI</v>
          </cell>
          <cell r="D58" t="str">
            <v>-4.02467699</v>
          </cell>
          <cell r="E58" t="str">
            <v>5.374226</v>
          </cell>
          <cell r="F58" t="str">
            <v>2G/3G/4G</v>
          </cell>
          <cell r="G58" t="str">
            <v>ERICSSON</v>
          </cell>
          <cell r="H58" t="str">
            <v>MOOV</v>
          </cell>
          <cell r="I58" t="str">
            <v>ADJAME</v>
          </cell>
          <cell r="J58" t="str">
            <v>ABIDJAN</v>
          </cell>
          <cell r="K58" t="str">
            <v>ABIDJAN</v>
          </cell>
          <cell r="L58" t="str">
            <v>ABIDJAN</v>
          </cell>
          <cell r="M58" t="str">
            <v>PLATEAU</v>
          </cell>
          <cell r="N58" t="str">
            <v>ABIDJAN</v>
          </cell>
        </row>
        <row r="59">
          <cell r="B59" t="str">
            <v>AC061</v>
          </cell>
          <cell r="C59" t="str">
            <v>DJIBI</v>
          </cell>
          <cell r="D59" t="str">
            <v>-3.97862288</v>
          </cell>
          <cell r="E59" t="str">
            <v>5.40206133</v>
          </cell>
          <cell r="F59" t="str">
            <v>2G/3G/4G</v>
          </cell>
          <cell r="G59" t="str">
            <v>ERICSSON</v>
          </cell>
          <cell r="H59" t="str">
            <v>MOOV</v>
          </cell>
          <cell r="I59" t="str">
            <v>COCODY</v>
          </cell>
          <cell r="J59" t="str">
            <v>ABIDJAN</v>
          </cell>
          <cell r="K59" t="str">
            <v>ABIDJAN</v>
          </cell>
          <cell r="L59" t="str">
            <v>ABIDJAN</v>
          </cell>
          <cell r="M59" t="str">
            <v>COCODY LATRILLE</v>
          </cell>
          <cell r="N59" t="str">
            <v>ABIDJAN</v>
          </cell>
        </row>
        <row r="60">
          <cell r="B60" t="str">
            <v>AC062</v>
          </cell>
          <cell r="C60" t="str">
            <v>ROSIER</v>
          </cell>
          <cell r="D60" t="str">
            <v>-3.96716647</v>
          </cell>
          <cell r="E60" t="str">
            <v>5.38285856</v>
          </cell>
          <cell r="F60" t="str">
            <v>2G/3G/4G</v>
          </cell>
          <cell r="G60" t="str">
            <v>ERICSSON</v>
          </cell>
          <cell r="H60" t="str">
            <v>MOOV</v>
          </cell>
          <cell r="I60" t="str">
            <v>COCODY</v>
          </cell>
          <cell r="J60" t="str">
            <v>ABIDJAN</v>
          </cell>
          <cell r="K60" t="str">
            <v>ABIDJAN</v>
          </cell>
          <cell r="L60" t="str">
            <v>ABIDJAN</v>
          </cell>
          <cell r="M60" t="str">
            <v>COCODY LATRILLE</v>
          </cell>
          <cell r="N60" t="str">
            <v>ABIDJAN</v>
          </cell>
        </row>
        <row r="61">
          <cell r="B61" t="str">
            <v>AC063</v>
          </cell>
          <cell r="C61" t="str">
            <v>FAYA</v>
          </cell>
          <cell r="D61" t="str">
            <v>-3.9365256</v>
          </cell>
          <cell r="E61" t="str">
            <v>5.37052338</v>
          </cell>
          <cell r="F61" t="str">
            <v>2G/3G/4G</v>
          </cell>
          <cell r="G61" t="str">
            <v>ERICSSON</v>
          </cell>
          <cell r="H61" t="str">
            <v>MOOV</v>
          </cell>
          <cell r="I61" t="str">
            <v>COCODY</v>
          </cell>
          <cell r="J61" t="str">
            <v>ABIDJAN</v>
          </cell>
          <cell r="K61" t="str">
            <v>ABIDJAN</v>
          </cell>
          <cell r="L61" t="str">
            <v>ABIDJAN</v>
          </cell>
          <cell r="M61" t="str">
            <v>COCODY LATRILLE</v>
          </cell>
          <cell r="N61" t="str">
            <v>ABIDJAN</v>
          </cell>
        </row>
        <row r="62">
          <cell r="B62" t="str">
            <v>AC064</v>
          </cell>
          <cell r="C62" t="str">
            <v>ARDOISE</v>
          </cell>
          <cell r="D62" t="str">
            <v>-3.95496904</v>
          </cell>
          <cell r="E62" t="str">
            <v>5.35088465</v>
          </cell>
          <cell r="F62" t="str">
            <v>2G/3G/4G</v>
          </cell>
          <cell r="G62" t="str">
            <v>ERICSSON</v>
          </cell>
          <cell r="H62" t="str">
            <v>MOOV</v>
          </cell>
          <cell r="I62" t="str">
            <v>COCODY</v>
          </cell>
          <cell r="J62" t="str">
            <v>ABIDJAN</v>
          </cell>
          <cell r="K62" t="str">
            <v>ABIDJAN</v>
          </cell>
          <cell r="L62" t="str">
            <v>ABIDJAN</v>
          </cell>
          <cell r="M62" t="str">
            <v>COCODY CENTRE</v>
          </cell>
          <cell r="N62" t="str">
            <v>ABIDJAN</v>
          </cell>
        </row>
        <row r="63">
          <cell r="B63" t="str">
            <v>AC065</v>
          </cell>
          <cell r="C63" t="str">
            <v>BEVERLY</v>
          </cell>
          <cell r="D63" t="str">
            <v>-3.94508474</v>
          </cell>
          <cell r="E63" t="str">
            <v>5.33166965</v>
          </cell>
          <cell r="F63" t="str">
            <v>2G/3G/4G</v>
          </cell>
          <cell r="G63" t="str">
            <v>ERICSSON</v>
          </cell>
          <cell r="H63" t="str">
            <v>MOOV</v>
          </cell>
          <cell r="I63" t="str">
            <v>COCODY</v>
          </cell>
          <cell r="J63" t="str">
            <v>ABIDJAN</v>
          </cell>
          <cell r="K63" t="str">
            <v>ABIDJAN</v>
          </cell>
          <cell r="L63" t="str">
            <v>ABIDJAN</v>
          </cell>
          <cell r="M63" t="str">
            <v>COCODY CENTRE</v>
          </cell>
          <cell r="N63" t="str">
            <v>ABIDJAN</v>
          </cell>
        </row>
        <row r="64">
          <cell r="B64" t="str">
            <v>AC066</v>
          </cell>
          <cell r="C64" t="str">
            <v>BEDE</v>
          </cell>
          <cell r="D64" t="str">
            <v>-3.9792161</v>
          </cell>
          <cell r="E64" t="str">
            <v>5.33832781</v>
          </cell>
          <cell r="F64" t="str">
            <v>2G/3G/4G</v>
          </cell>
          <cell r="G64" t="str">
            <v>ERICSSON</v>
          </cell>
          <cell r="H64" t="str">
            <v>MOOV</v>
          </cell>
          <cell r="I64" t="str">
            <v>COCODY</v>
          </cell>
          <cell r="J64" t="str">
            <v>ABIDJAN</v>
          </cell>
          <cell r="K64" t="str">
            <v>ABIDJAN</v>
          </cell>
          <cell r="L64" t="str">
            <v>ABIDJAN</v>
          </cell>
          <cell r="M64" t="str">
            <v>COCODY CENTRE</v>
          </cell>
          <cell r="N64" t="str">
            <v>ABIDJAN</v>
          </cell>
        </row>
        <row r="65">
          <cell r="B65" t="str">
            <v>AC067</v>
          </cell>
          <cell r="C65" t="str">
            <v>ANONO</v>
          </cell>
          <cell r="D65" t="str">
            <v>-3.97627271</v>
          </cell>
          <cell r="E65" t="str">
            <v>5.34880687</v>
          </cell>
          <cell r="F65" t="str">
            <v>2G/3G/4G</v>
          </cell>
          <cell r="G65" t="str">
            <v>ERICSSON</v>
          </cell>
          <cell r="H65" t="str">
            <v>MOOV</v>
          </cell>
          <cell r="I65" t="str">
            <v>COCODY</v>
          </cell>
          <cell r="J65" t="str">
            <v>ABIDJAN</v>
          </cell>
          <cell r="K65" t="str">
            <v>ABIDJAN</v>
          </cell>
          <cell r="L65" t="str">
            <v>ABIDJAN</v>
          </cell>
          <cell r="M65" t="str">
            <v>COCODY CENTRE</v>
          </cell>
          <cell r="N65" t="str">
            <v>ABIDJAN</v>
          </cell>
        </row>
        <row r="66">
          <cell r="B66" t="str">
            <v>AC068</v>
          </cell>
          <cell r="C66" t="str">
            <v>POLICE</v>
          </cell>
          <cell r="D66" t="str">
            <v>-3.99061398</v>
          </cell>
          <cell r="E66" t="str">
            <v>5.35527831</v>
          </cell>
          <cell r="F66" t="str">
            <v>2G/3G/4G</v>
          </cell>
          <cell r="G66" t="str">
            <v>ERICSSON</v>
          </cell>
          <cell r="H66" t="str">
            <v>MOOV</v>
          </cell>
          <cell r="I66" t="str">
            <v>COCODY</v>
          </cell>
          <cell r="J66" t="str">
            <v>ABIDJAN</v>
          </cell>
          <cell r="K66" t="str">
            <v>ABIDJAN</v>
          </cell>
          <cell r="L66" t="str">
            <v>ABIDJAN</v>
          </cell>
          <cell r="M66" t="str">
            <v>COCODY CENTRE</v>
          </cell>
          <cell r="N66" t="str">
            <v>ABIDJAN</v>
          </cell>
        </row>
        <row r="67">
          <cell r="B67" t="str">
            <v>AC069</v>
          </cell>
          <cell r="C67" t="str">
            <v>SIROCCO</v>
          </cell>
          <cell r="D67" t="str">
            <v>-4.01639291</v>
          </cell>
          <cell r="E67" t="str">
            <v>5.35279389</v>
          </cell>
          <cell r="F67" t="str">
            <v>2G/3G/4G</v>
          </cell>
          <cell r="G67" t="str">
            <v>ERICSSON</v>
          </cell>
          <cell r="H67" t="str">
            <v>MOOV</v>
          </cell>
          <cell r="I67" t="str">
            <v>ADJAME</v>
          </cell>
          <cell r="J67" t="str">
            <v>ABIDJAN</v>
          </cell>
          <cell r="K67" t="str">
            <v>ABIDJAN</v>
          </cell>
          <cell r="L67" t="str">
            <v>ABIDJAN</v>
          </cell>
          <cell r="M67" t="str">
            <v>PLATEAU</v>
          </cell>
          <cell r="N67" t="str">
            <v>ABIDJAN</v>
          </cell>
        </row>
        <row r="68">
          <cell r="B68" t="str">
            <v>AC070</v>
          </cell>
          <cell r="C68" t="str">
            <v>VALLON</v>
          </cell>
          <cell r="D68" t="str">
            <v>-3.991415</v>
          </cell>
          <cell r="E68" t="str">
            <v>5.361986</v>
          </cell>
          <cell r="F68" t="str">
            <v>2G/3G/4G</v>
          </cell>
          <cell r="G68" t="str">
            <v>ERICSSON</v>
          </cell>
          <cell r="H68" t="str">
            <v>IHS</v>
          </cell>
          <cell r="I68" t="str">
            <v>COCODY</v>
          </cell>
          <cell r="J68" t="str">
            <v>ABIDJAN</v>
          </cell>
          <cell r="K68" t="str">
            <v>ABIDJAN</v>
          </cell>
          <cell r="L68" t="str">
            <v>ABIDJAN</v>
          </cell>
          <cell r="M68" t="str">
            <v>COCODY LATRILLE</v>
          </cell>
          <cell r="N68" t="str">
            <v>ABIDJAN</v>
          </cell>
        </row>
        <row r="69">
          <cell r="B69" t="str">
            <v>AC071</v>
          </cell>
          <cell r="C69" t="str">
            <v>CHALET</v>
          </cell>
          <cell r="D69" t="str">
            <v>-3.98330181</v>
          </cell>
          <cell r="E69" t="str">
            <v>5.38763573</v>
          </cell>
          <cell r="F69" t="str">
            <v>2G/3G/4G</v>
          </cell>
          <cell r="G69" t="str">
            <v>ERICSSON</v>
          </cell>
          <cell r="H69" t="str">
            <v>MOOV</v>
          </cell>
          <cell r="I69" t="str">
            <v>COCODY</v>
          </cell>
          <cell r="J69" t="str">
            <v>ABIDJAN</v>
          </cell>
          <cell r="K69" t="str">
            <v>ABIDJAN</v>
          </cell>
          <cell r="L69" t="str">
            <v>ABIDJAN</v>
          </cell>
          <cell r="M69" t="str">
            <v>COCODY LATRILLE</v>
          </cell>
          <cell r="N69" t="str">
            <v>ABIDJAN</v>
          </cell>
        </row>
        <row r="70">
          <cell r="B70" t="str">
            <v>AC072</v>
          </cell>
          <cell r="C70" t="str">
            <v>ADJIN</v>
          </cell>
          <cell r="D70" t="str">
            <v>-3.99815286</v>
          </cell>
          <cell r="E70" t="str">
            <v>5.38509701</v>
          </cell>
          <cell r="F70" t="str">
            <v>2G/3G/4G</v>
          </cell>
          <cell r="G70" t="str">
            <v>ERICSSON</v>
          </cell>
          <cell r="H70" t="str">
            <v>MOOV</v>
          </cell>
          <cell r="I70" t="str">
            <v>COCODY</v>
          </cell>
          <cell r="J70" t="str">
            <v>ABIDJAN</v>
          </cell>
          <cell r="K70" t="str">
            <v>ABIDJAN</v>
          </cell>
          <cell r="L70" t="str">
            <v>ABIDJAN</v>
          </cell>
          <cell r="M70" t="str">
            <v>COCODY LATRILLE</v>
          </cell>
          <cell r="N70" t="str">
            <v>ABIDJAN</v>
          </cell>
        </row>
        <row r="71">
          <cell r="B71" t="str">
            <v>AC073</v>
          </cell>
          <cell r="C71" t="str">
            <v>GOBELET</v>
          </cell>
          <cell r="D71" t="str">
            <v>-3.98539006</v>
          </cell>
          <cell r="E71" t="str">
            <v>5.37296105</v>
          </cell>
          <cell r="F71" t="str">
            <v>2G/3G/4G</v>
          </cell>
          <cell r="G71" t="str">
            <v>ERICSSON</v>
          </cell>
          <cell r="H71" t="str">
            <v>MOOV</v>
          </cell>
          <cell r="I71" t="str">
            <v>COCODY</v>
          </cell>
          <cell r="J71" t="str">
            <v>ABIDJAN</v>
          </cell>
          <cell r="K71" t="str">
            <v>ABIDJAN</v>
          </cell>
          <cell r="L71" t="str">
            <v>ABIDJAN</v>
          </cell>
          <cell r="M71" t="str">
            <v>COCODY LATRILLE</v>
          </cell>
          <cell r="N71" t="str">
            <v>ABIDJAN</v>
          </cell>
        </row>
        <row r="72">
          <cell r="B72" t="str">
            <v>AC074</v>
          </cell>
          <cell r="C72" t="str">
            <v>PALMERAIE</v>
          </cell>
          <cell r="D72" t="str">
            <v>-3.95195439</v>
          </cell>
          <cell r="E72" t="str">
            <v>5.36808443</v>
          </cell>
          <cell r="F72" t="str">
            <v>2G/3G/4G</v>
          </cell>
          <cell r="G72" t="str">
            <v>ERICSSON</v>
          </cell>
          <cell r="H72" t="str">
            <v>GREEN</v>
          </cell>
          <cell r="I72" t="str">
            <v>COCODY</v>
          </cell>
          <cell r="J72" t="str">
            <v>ABIDJAN</v>
          </cell>
          <cell r="K72" t="str">
            <v>ABIDJAN</v>
          </cell>
          <cell r="L72" t="str">
            <v>ABIDJAN</v>
          </cell>
          <cell r="M72" t="str">
            <v>COCODY LATRILLE</v>
          </cell>
          <cell r="N72" t="str">
            <v>ABIDJAN</v>
          </cell>
        </row>
        <row r="73">
          <cell r="B73" t="str">
            <v>AC075</v>
          </cell>
          <cell r="C73" t="str">
            <v>SOCOCE</v>
          </cell>
          <cell r="D73" t="str">
            <v>-3.99728257</v>
          </cell>
          <cell r="E73" t="str">
            <v>5.37162115</v>
          </cell>
          <cell r="F73" t="str">
            <v>2G/3G/4G</v>
          </cell>
          <cell r="G73" t="str">
            <v>ERICSSON</v>
          </cell>
          <cell r="H73" t="str">
            <v>MOOV</v>
          </cell>
          <cell r="I73" t="str">
            <v>COCODY</v>
          </cell>
          <cell r="J73" t="str">
            <v>ABIDJAN</v>
          </cell>
          <cell r="K73" t="str">
            <v>ABIDJAN</v>
          </cell>
          <cell r="L73" t="str">
            <v>ABIDJAN</v>
          </cell>
          <cell r="M73" t="str">
            <v>COCODY LATRILLE</v>
          </cell>
          <cell r="N73" t="str">
            <v>ABIDJAN</v>
          </cell>
        </row>
        <row r="74">
          <cell r="B74" t="str">
            <v>AC076</v>
          </cell>
          <cell r="C74" t="str">
            <v>GRACES</v>
          </cell>
          <cell r="D74" t="str">
            <v>-4.00676</v>
          </cell>
          <cell r="E74" t="str">
            <v>5.36905</v>
          </cell>
          <cell r="F74" t="str">
            <v>2G/3G/4G</v>
          </cell>
          <cell r="G74" t="str">
            <v>ERICSSON</v>
          </cell>
          <cell r="H74" t="str">
            <v>MOOV</v>
          </cell>
          <cell r="I74" t="str">
            <v>COCODY</v>
          </cell>
          <cell r="J74" t="str">
            <v>ABIDJAN</v>
          </cell>
          <cell r="K74" t="str">
            <v>ABIDJAN</v>
          </cell>
          <cell r="L74" t="str">
            <v>ABIDJAN</v>
          </cell>
          <cell r="M74" t="str">
            <v>COCODY LATRILLE</v>
          </cell>
          <cell r="N74" t="str">
            <v>ABIDJAN</v>
          </cell>
        </row>
        <row r="75">
          <cell r="B75" t="str">
            <v>AC077</v>
          </cell>
          <cell r="C75" t="str">
            <v>STE_MARIE</v>
          </cell>
          <cell r="D75" t="str">
            <v>-3.99699841</v>
          </cell>
          <cell r="E75" t="str">
            <v>5.33548616</v>
          </cell>
          <cell r="F75" t="str">
            <v>2G/3G/4G</v>
          </cell>
          <cell r="G75" t="str">
            <v>ERICSSON</v>
          </cell>
          <cell r="H75" t="str">
            <v>MOOV</v>
          </cell>
          <cell r="I75" t="str">
            <v>COCODY</v>
          </cell>
          <cell r="J75" t="str">
            <v>ABIDJAN</v>
          </cell>
          <cell r="K75" t="str">
            <v>ABIDJAN</v>
          </cell>
          <cell r="L75" t="str">
            <v>ABIDJAN</v>
          </cell>
          <cell r="M75" t="str">
            <v>COCODY CENTRE</v>
          </cell>
          <cell r="N75" t="str">
            <v>ABIDJAN</v>
          </cell>
        </row>
        <row r="76">
          <cell r="B76" t="str">
            <v>AC078</v>
          </cell>
          <cell r="C76" t="str">
            <v>ST_JEAN</v>
          </cell>
          <cell r="D76" t="str">
            <v>-4.00470828</v>
          </cell>
          <cell r="E76" t="str">
            <v>5.33743641</v>
          </cell>
          <cell r="F76" t="str">
            <v>2G/3G/4G</v>
          </cell>
          <cell r="G76" t="str">
            <v>ERICSSON</v>
          </cell>
          <cell r="H76" t="str">
            <v>MOOV</v>
          </cell>
          <cell r="I76" t="str">
            <v>COCODY</v>
          </cell>
          <cell r="J76" t="str">
            <v>ABIDJAN</v>
          </cell>
          <cell r="K76" t="str">
            <v>ABIDJAN</v>
          </cell>
          <cell r="L76" t="str">
            <v>ABIDJAN</v>
          </cell>
          <cell r="M76" t="str">
            <v>COCODY CENTRE</v>
          </cell>
          <cell r="N76" t="str">
            <v>ABIDJAN</v>
          </cell>
        </row>
        <row r="77">
          <cell r="B77" t="str">
            <v>AC079</v>
          </cell>
          <cell r="C77" t="str">
            <v>LEPIC</v>
          </cell>
          <cell r="D77" t="str">
            <v>-4.01067587</v>
          </cell>
          <cell r="E77" t="str">
            <v>5.34450896</v>
          </cell>
          <cell r="F77" t="str">
            <v>2G/3G/4G</v>
          </cell>
          <cell r="G77" t="str">
            <v>ERICSSON</v>
          </cell>
          <cell r="H77" t="str">
            <v>MOOV</v>
          </cell>
          <cell r="I77" t="str">
            <v>COCODY</v>
          </cell>
          <cell r="J77" t="str">
            <v>ABIDJAN</v>
          </cell>
          <cell r="K77" t="str">
            <v>ABIDJAN</v>
          </cell>
          <cell r="L77" t="str">
            <v>ABIDJAN</v>
          </cell>
          <cell r="M77" t="str">
            <v>COCODY CENTRE</v>
          </cell>
          <cell r="N77" t="str">
            <v>ABIDJAN</v>
          </cell>
        </row>
        <row r="78">
          <cell r="B78" t="str">
            <v>AC080</v>
          </cell>
          <cell r="C78" t="str">
            <v>SABLE</v>
          </cell>
          <cell r="D78" t="str">
            <v>-4.0648</v>
          </cell>
          <cell r="E78" t="str">
            <v>5.35466</v>
          </cell>
          <cell r="F78" t="str">
            <v>2G/3G/4G</v>
          </cell>
          <cell r="G78" t="str">
            <v>ERICSSON</v>
          </cell>
          <cell r="H78" t="str">
            <v>MOOV</v>
          </cell>
          <cell r="I78" t="str">
            <v>YOPOUGON</v>
          </cell>
          <cell r="J78" t="str">
            <v>ABIDJAN</v>
          </cell>
          <cell r="K78" t="str">
            <v>ABIDJAN</v>
          </cell>
          <cell r="L78" t="str">
            <v>ABIDJAN</v>
          </cell>
          <cell r="M78" t="str">
            <v>YOPOUGON SABLE</v>
          </cell>
          <cell r="N78" t="str">
            <v>ABIDJAN</v>
          </cell>
        </row>
        <row r="79">
          <cell r="B79" t="str">
            <v>AC081</v>
          </cell>
          <cell r="C79" t="str">
            <v>ATTOBAN</v>
          </cell>
          <cell r="D79" t="str">
            <v>-3.97829</v>
          </cell>
          <cell r="E79" t="str">
            <v>5.36289</v>
          </cell>
          <cell r="F79" t="str">
            <v>2G/3G/4G</v>
          </cell>
          <cell r="G79" t="str">
            <v>ERICSSON</v>
          </cell>
          <cell r="H79" t="str">
            <v>MOOV</v>
          </cell>
          <cell r="I79" t="str">
            <v>COCODY</v>
          </cell>
          <cell r="J79" t="str">
            <v>ABIDJAN</v>
          </cell>
          <cell r="K79" t="str">
            <v>ABIDJAN</v>
          </cell>
          <cell r="L79" t="str">
            <v>ABIDJAN</v>
          </cell>
          <cell r="M79" t="str">
            <v>COCODY LATRILLE</v>
          </cell>
          <cell r="N79" t="str">
            <v>ABIDJAN</v>
          </cell>
        </row>
        <row r="80">
          <cell r="B80" t="str">
            <v>AC082</v>
          </cell>
          <cell r="C80" t="str">
            <v>MIRADOR</v>
          </cell>
          <cell r="D80" t="str">
            <v>-4.02532</v>
          </cell>
          <cell r="E80" t="str">
            <v>5.35653</v>
          </cell>
          <cell r="F80" t="str">
            <v>2G/3G/4G</v>
          </cell>
          <cell r="G80" t="str">
            <v>ERICSSON</v>
          </cell>
          <cell r="H80" t="str">
            <v>MOOV</v>
          </cell>
          <cell r="I80" t="str">
            <v>ADJAME</v>
          </cell>
          <cell r="J80" t="str">
            <v>ABIDJAN</v>
          </cell>
          <cell r="K80" t="str">
            <v>ABIDJAN</v>
          </cell>
          <cell r="L80" t="str">
            <v>ABIDJAN</v>
          </cell>
          <cell r="M80" t="str">
            <v>PLATEAU</v>
          </cell>
          <cell r="N80" t="str">
            <v>ABIDJAN</v>
          </cell>
        </row>
        <row r="81">
          <cell r="B81" t="str">
            <v>AC083</v>
          </cell>
          <cell r="C81" t="str">
            <v>ANGRE</v>
          </cell>
          <cell r="D81" t="str">
            <v>-3.9922355</v>
          </cell>
          <cell r="E81" t="str">
            <v>5.39807745</v>
          </cell>
          <cell r="F81" t="str">
            <v>2G/3G/4G</v>
          </cell>
          <cell r="G81" t="str">
            <v>ERICSSON</v>
          </cell>
          <cell r="H81" t="str">
            <v>MOOV</v>
          </cell>
          <cell r="I81" t="str">
            <v>COCODY</v>
          </cell>
          <cell r="J81" t="str">
            <v>ABIDJAN</v>
          </cell>
          <cell r="K81" t="str">
            <v>ABIDJAN</v>
          </cell>
          <cell r="L81" t="str">
            <v>ABIDJAN</v>
          </cell>
          <cell r="M81" t="str">
            <v>COCODY LATRILLE</v>
          </cell>
          <cell r="N81" t="str">
            <v>ABIDJAN</v>
          </cell>
        </row>
        <row r="82">
          <cell r="B82" t="str">
            <v>AC084</v>
          </cell>
          <cell r="C82" t="str">
            <v>ANOKOI</v>
          </cell>
          <cell r="D82" t="str">
            <v>-4.05326398</v>
          </cell>
          <cell r="E82" t="str">
            <v>5.44022389</v>
          </cell>
          <cell r="F82" t="str">
            <v>2G/3G/4G</v>
          </cell>
          <cell r="G82" t="str">
            <v>ERICSSON</v>
          </cell>
          <cell r="H82" t="str">
            <v>MOOV</v>
          </cell>
          <cell r="I82" t="str">
            <v>ABOBO</v>
          </cell>
          <cell r="J82" t="str">
            <v>ABIDJAN</v>
          </cell>
          <cell r="K82" t="str">
            <v>ABIDJAN</v>
          </cell>
          <cell r="L82" t="str">
            <v>ABIDJAN</v>
          </cell>
          <cell r="M82" t="str">
            <v>ABOBO</v>
          </cell>
          <cell r="N82" t="str">
            <v>ABIDJAN</v>
          </cell>
        </row>
        <row r="83">
          <cell r="B83" t="str">
            <v>AC085</v>
          </cell>
          <cell r="C83" t="str">
            <v>ANYAMA</v>
          </cell>
          <cell r="D83" t="str">
            <v>-4.05481445</v>
          </cell>
          <cell r="E83" t="str">
            <v>5.47527046</v>
          </cell>
          <cell r="F83" t="str">
            <v>2G/3G/4G</v>
          </cell>
          <cell r="G83" t="str">
            <v>ERICSSON</v>
          </cell>
          <cell r="H83" t="str">
            <v>MOOV</v>
          </cell>
          <cell r="I83" t="str">
            <v>ANYAMA</v>
          </cell>
          <cell r="J83" t="str">
            <v>ANYAMA</v>
          </cell>
          <cell r="K83" t="str">
            <v>ABIDJAN</v>
          </cell>
          <cell r="L83" t="str">
            <v>ABIDJAN</v>
          </cell>
          <cell r="M83" t="str">
            <v>ABOBO</v>
          </cell>
          <cell r="N83" t="str">
            <v>ABIDJAN</v>
          </cell>
        </row>
        <row r="84">
          <cell r="B84" t="str">
            <v>AC086</v>
          </cell>
          <cell r="C84" t="str">
            <v>EGLISE</v>
          </cell>
          <cell r="D84" t="str">
            <v>-4.050389°</v>
          </cell>
          <cell r="E84" t="str">
            <v>5.499419°</v>
          </cell>
          <cell r="F84" t="str">
            <v>2G/3G/4G</v>
          </cell>
          <cell r="G84" t="str">
            <v>ERICSSON</v>
          </cell>
          <cell r="H84" t="str">
            <v>MOOV</v>
          </cell>
          <cell r="I84" t="str">
            <v>ANYAMA</v>
          </cell>
          <cell r="J84" t="str">
            <v>ANYAMA</v>
          </cell>
          <cell r="K84" t="str">
            <v>ABIDJAN</v>
          </cell>
          <cell r="L84" t="str">
            <v>ABIDJAN</v>
          </cell>
          <cell r="M84" t="str">
            <v>ABOBO</v>
          </cell>
          <cell r="N84" t="str">
            <v>ABIDJAN</v>
          </cell>
        </row>
        <row r="85">
          <cell r="B85" t="str">
            <v>AC087</v>
          </cell>
          <cell r="C85" t="str">
            <v>ODDOS</v>
          </cell>
          <cell r="D85" t="str">
            <v>-3.73714757</v>
          </cell>
          <cell r="E85" t="str">
            <v>5.20743846</v>
          </cell>
          <cell r="F85" t="str">
            <v>2G/3G/4G</v>
          </cell>
          <cell r="G85" t="str">
            <v>HUAWEI</v>
          </cell>
          <cell r="H85" t="str">
            <v>MOOV</v>
          </cell>
          <cell r="I85" t="str">
            <v>GRAND-BASSAM</v>
          </cell>
          <cell r="J85" t="str">
            <v>GRAND-BASSAM</v>
          </cell>
          <cell r="K85" t="str">
            <v>GRAND-BASSAM</v>
          </cell>
          <cell r="L85" t="str">
            <v>SUD-COMOE</v>
          </cell>
          <cell r="M85" t="str">
            <v>MARCORY</v>
          </cell>
          <cell r="N85" t="str">
            <v>UPCOUNTRY</v>
          </cell>
        </row>
        <row r="86">
          <cell r="B86" t="str">
            <v>AC088</v>
          </cell>
          <cell r="C86" t="str">
            <v>CAFOP</v>
          </cell>
          <cell r="D86" t="str">
            <v>-3.74203148</v>
          </cell>
          <cell r="E86" t="str">
            <v>5.21722934</v>
          </cell>
          <cell r="F86" t="str">
            <v>2G/3G/4G</v>
          </cell>
          <cell r="G86" t="str">
            <v>HUAWEI</v>
          </cell>
          <cell r="H86" t="str">
            <v>MOOV</v>
          </cell>
          <cell r="I86" t="str">
            <v>GRAND-BASSAM</v>
          </cell>
          <cell r="J86" t="str">
            <v>GRAND-BASSAM</v>
          </cell>
          <cell r="K86" t="str">
            <v>GRAND-BASSAM</v>
          </cell>
          <cell r="L86" t="str">
            <v>SUD-COMOE</v>
          </cell>
          <cell r="M86" t="str">
            <v>MARCORY</v>
          </cell>
          <cell r="N86" t="str">
            <v>UPCOUNTRY</v>
          </cell>
        </row>
        <row r="87">
          <cell r="B87" t="str">
            <v>AC089</v>
          </cell>
          <cell r="C87" t="str">
            <v>MSC</v>
          </cell>
          <cell r="D87" t="str">
            <v>-3.955807</v>
          </cell>
          <cell r="E87" t="str">
            <v>5.342143</v>
          </cell>
          <cell r="F87" t="str">
            <v>2G/3G/4G/5G</v>
          </cell>
          <cell r="G87" t="str">
            <v>ERICSSON</v>
          </cell>
          <cell r="H87" t="str">
            <v>MOOV</v>
          </cell>
          <cell r="I87" t="str">
            <v>COCODY</v>
          </cell>
          <cell r="J87" t="str">
            <v>ABIDJAN</v>
          </cell>
          <cell r="K87" t="str">
            <v>ABIDJAN</v>
          </cell>
          <cell r="L87" t="str">
            <v>ABIDJAN</v>
          </cell>
          <cell r="M87" t="str">
            <v>COCODY CENTRE</v>
          </cell>
          <cell r="N87" t="str">
            <v>ABIDJAN</v>
          </cell>
        </row>
        <row r="88">
          <cell r="B88" t="str">
            <v>AC090</v>
          </cell>
          <cell r="C88" t="str">
            <v>ECOBANK</v>
          </cell>
          <cell r="D88" t="str">
            <v>-4.01779891</v>
          </cell>
          <cell r="E88" t="str">
            <v>5.32433563</v>
          </cell>
          <cell r="F88" t="str">
            <v>2G/3G/4G/5G</v>
          </cell>
          <cell r="G88" t="str">
            <v>ERICSSON</v>
          </cell>
          <cell r="H88" t="str">
            <v>MOOV</v>
          </cell>
          <cell r="I88" t="str">
            <v>PLATEAU</v>
          </cell>
          <cell r="J88" t="str">
            <v>ABIDJAN</v>
          </cell>
          <cell r="K88" t="str">
            <v>ABIDJAN</v>
          </cell>
          <cell r="L88" t="str">
            <v>ABIDJAN</v>
          </cell>
          <cell r="M88" t="str">
            <v>PLATEAU</v>
          </cell>
          <cell r="N88" t="str">
            <v>ABIDJAN</v>
          </cell>
        </row>
        <row r="89">
          <cell r="B89" t="str">
            <v>AC091</v>
          </cell>
          <cell r="C89" t="str">
            <v>VERDIER</v>
          </cell>
          <cell r="D89" t="str">
            <v>-4.01797835</v>
          </cell>
          <cell r="E89" t="str">
            <v>5.31821178</v>
          </cell>
          <cell r="F89" t="str">
            <v>2G/3G/4G</v>
          </cell>
          <cell r="G89" t="str">
            <v>ERICSSON</v>
          </cell>
          <cell r="H89" t="str">
            <v>MOOV</v>
          </cell>
          <cell r="I89" t="str">
            <v>PLATEAU</v>
          </cell>
          <cell r="J89" t="str">
            <v>ABIDJAN</v>
          </cell>
          <cell r="K89" t="str">
            <v>ABIDJAN</v>
          </cell>
          <cell r="L89" t="str">
            <v>ABIDJAN</v>
          </cell>
          <cell r="M89" t="str">
            <v>PLATEAU</v>
          </cell>
          <cell r="N89" t="str">
            <v>ABIDJAN</v>
          </cell>
        </row>
        <row r="90">
          <cell r="B90" t="str">
            <v>AC092</v>
          </cell>
          <cell r="C90" t="str">
            <v>VIATEUR</v>
          </cell>
          <cell r="D90" t="str">
            <v>-3.95936172</v>
          </cell>
          <cell r="E90" t="str">
            <v>5.37831208</v>
          </cell>
          <cell r="F90" t="str">
            <v>2G/3G/4G</v>
          </cell>
          <cell r="G90" t="str">
            <v>ERICSSON</v>
          </cell>
          <cell r="H90" t="str">
            <v>MOOV</v>
          </cell>
          <cell r="I90" t="str">
            <v>COCODY</v>
          </cell>
          <cell r="J90" t="str">
            <v>ABIDJAN</v>
          </cell>
          <cell r="K90" t="str">
            <v>ABIDJAN</v>
          </cell>
          <cell r="L90" t="str">
            <v>ABIDJAN</v>
          </cell>
          <cell r="M90" t="str">
            <v>COCODY LATRILLE</v>
          </cell>
          <cell r="N90" t="str">
            <v>ABIDJAN</v>
          </cell>
        </row>
        <row r="91">
          <cell r="B91" t="str">
            <v>AC093</v>
          </cell>
          <cell r="C91" t="str">
            <v>ARAFAT</v>
          </cell>
          <cell r="D91" t="str">
            <v>-3.96570368</v>
          </cell>
          <cell r="E91" t="str">
            <v>5.37093924</v>
          </cell>
          <cell r="F91" t="str">
            <v>2G/3G/4G</v>
          </cell>
          <cell r="G91" t="str">
            <v>ERICSSON</v>
          </cell>
          <cell r="H91" t="str">
            <v>MOOV</v>
          </cell>
          <cell r="I91" t="str">
            <v>COCODY</v>
          </cell>
          <cell r="J91" t="str">
            <v>ABIDJAN</v>
          </cell>
          <cell r="K91" t="str">
            <v>ABIDJAN</v>
          </cell>
          <cell r="L91" t="str">
            <v>ABIDJAN</v>
          </cell>
          <cell r="M91" t="str">
            <v>COCODY LATRILLE</v>
          </cell>
          <cell r="N91" t="str">
            <v>ABIDJAN</v>
          </cell>
        </row>
        <row r="92">
          <cell r="B92" t="str">
            <v>AC094</v>
          </cell>
          <cell r="C92" t="str">
            <v>GESTOCI</v>
          </cell>
          <cell r="D92" t="str">
            <v>-3.99853565</v>
          </cell>
          <cell r="E92" t="str">
            <v>5.26438856</v>
          </cell>
          <cell r="F92" t="str">
            <v>2G/3G/4G</v>
          </cell>
          <cell r="G92" t="str">
            <v>ERICSSON</v>
          </cell>
          <cell r="H92" t="str">
            <v>MOOV</v>
          </cell>
          <cell r="I92" t="str">
            <v>TREICHVILLE</v>
          </cell>
          <cell r="J92" t="str">
            <v>ABIDJAN</v>
          </cell>
          <cell r="K92" t="str">
            <v>ABIDJAN</v>
          </cell>
          <cell r="L92" t="str">
            <v>ABIDJAN</v>
          </cell>
          <cell r="M92" t="str">
            <v>MARCORY</v>
          </cell>
          <cell r="N92" t="str">
            <v>ABIDJAN</v>
          </cell>
        </row>
        <row r="93">
          <cell r="B93" t="str">
            <v>AC095</v>
          </cell>
          <cell r="C93" t="str">
            <v>INSP</v>
          </cell>
          <cell r="D93" t="str">
            <v>-4.02820232</v>
          </cell>
          <cell r="E93" t="str">
            <v>5.33983972</v>
          </cell>
          <cell r="F93" t="str">
            <v>2G/3G/4G</v>
          </cell>
          <cell r="G93" t="str">
            <v>ERICSSON</v>
          </cell>
          <cell r="H93" t="str">
            <v>MOOV</v>
          </cell>
          <cell r="I93" t="str">
            <v>ADJAME</v>
          </cell>
          <cell r="J93" t="str">
            <v>ABIDJAN</v>
          </cell>
          <cell r="K93" t="str">
            <v>ABIDJAN</v>
          </cell>
          <cell r="L93" t="str">
            <v>ABIDJAN</v>
          </cell>
          <cell r="M93" t="str">
            <v>PLATEAU</v>
          </cell>
          <cell r="N93" t="str">
            <v>ABIDJAN</v>
          </cell>
        </row>
        <row r="94">
          <cell r="B94" t="str">
            <v>AC096</v>
          </cell>
          <cell r="C94" t="str">
            <v>FEKESSE</v>
          </cell>
          <cell r="D94" t="str">
            <v>-3.91050252</v>
          </cell>
          <cell r="E94" t="str">
            <v>5.37380098</v>
          </cell>
          <cell r="F94" t="str">
            <v>2G/3G/4G</v>
          </cell>
          <cell r="G94" t="str">
            <v>ERICSSON</v>
          </cell>
          <cell r="H94" t="str">
            <v>MOOV</v>
          </cell>
          <cell r="I94" t="str">
            <v>BINGERVILLE</v>
          </cell>
          <cell r="J94" t="str">
            <v>BINGERVILLE</v>
          </cell>
          <cell r="K94" t="str">
            <v>ABIDJAN</v>
          </cell>
          <cell r="L94" t="str">
            <v>ABIDJAN</v>
          </cell>
          <cell r="M94" t="str">
            <v>COCODY LATRILLE</v>
          </cell>
          <cell r="N94" t="str">
            <v>ABIDJAN</v>
          </cell>
        </row>
        <row r="95">
          <cell r="B95" t="str">
            <v>AC097</v>
          </cell>
          <cell r="C95" t="str">
            <v>PHOENIX</v>
          </cell>
          <cell r="D95" t="str">
            <v>-4.07589116</v>
          </cell>
          <cell r="E95" t="str">
            <v>5.34800702</v>
          </cell>
          <cell r="F95" t="str">
            <v>2G/3G/4G</v>
          </cell>
          <cell r="G95" t="str">
            <v>ERICSSON</v>
          </cell>
          <cell r="H95" t="str">
            <v>MOOV</v>
          </cell>
          <cell r="I95" t="str">
            <v>YOPOUGON</v>
          </cell>
          <cell r="J95" t="str">
            <v>ABIDJAN</v>
          </cell>
          <cell r="K95" t="str">
            <v>ABIDJAN</v>
          </cell>
          <cell r="L95" t="str">
            <v>ABIDJAN</v>
          </cell>
          <cell r="M95" t="str">
            <v>YOPOUGON FICGAYO</v>
          </cell>
          <cell r="N95" t="str">
            <v>ABIDJAN</v>
          </cell>
        </row>
        <row r="96">
          <cell r="B96" t="str">
            <v>AC098</v>
          </cell>
          <cell r="C96" t="str">
            <v>KM4</v>
          </cell>
          <cell r="D96" t="str">
            <v>-3.99896773</v>
          </cell>
          <cell r="E96" t="str">
            <v>5.2919395</v>
          </cell>
          <cell r="F96" t="str">
            <v>2G/3G/4G</v>
          </cell>
          <cell r="G96" t="str">
            <v>ERICSSON</v>
          </cell>
          <cell r="H96" t="str">
            <v>CIT</v>
          </cell>
          <cell r="I96" t="str">
            <v>TREICHVILLE</v>
          </cell>
          <cell r="J96" t="str">
            <v>ABIDJAN</v>
          </cell>
          <cell r="K96" t="str">
            <v>ABIDJAN</v>
          </cell>
          <cell r="L96" t="str">
            <v>ABIDJAN</v>
          </cell>
          <cell r="M96" t="str">
            <v>PLATEAU</v>
          </cell>
          <cell r="N96" t="str">
            <v>ABIDJAN</v>
          </cell>
        </row>
        <row r="97">
          <cell r="B97" t="str">
            <v>AC099</v>
          </cell>
          <cell r="C97" t="str">
            <v>LTA</v>
          </cell>
          <cell r="D97" t="str">
            <v>-4.00481823</v>
          </cell>
          <cell r="E97" t="str">
            <v>5.35505618</v>
          </cell>
          <cell r="F97" t="str">
            <v>2G/3G/4G</v>
          </cell>
          <cell r="G97" t="str">
            <v>ERICSSON</v>
          </cell>
          <cell r="H97" t="str">
            <v>MOOV</v>
          </cell>
          <cell r="I97" t="str">
            <v>COCODY</v>
          </cell>
          <cell r="J97" t="str">
            <v>ABIDJAN</v>
          </cell>
          <cell r="K97" t="str">
            <v>ABIDJAN</v>
          </cell>
          <cell r="L97" t="str">
            <v>ABIDJAN</v>
          </cell>
          <cell r="M97" t="str">
            <v>COCODY CENTRE</v>
          </cell>
          <cell r="N97" t="str">
            <v>ABIDJAN</v>
          </cell>
        </row>
        <row r="98">
          <cell r="B98" t="str">
            <v>AC100</v>
          </cell>
          <cell r="C98" t="str">
            <v>DJOMI</v>
          </cell>
          <cell r="D98" t="str">
            <v>-3.99889935</v>
          </cell>
          <cell r="E98" t="str">
            <v>5.39456606</v>
          </cell>
          <cell r="F98" t="str">
            <v>2G/3G/4G</v>
          </cell>
          <cell r="G98" t="str">
            <v>ERICSSON</v>
          </cell>
          <cell r="H98" t="str">
            <v>MOOV</v>
          </cell>
          <cell r="I98" t="str">
            <v>COCODY</v>
          </cell>
          <cell r="J98" t="str">
            <v>ABIDJAN</v>
          </cell>
          <cell r="K98" t="str">
            <v>ABIDJAN</v>
          </cell>
          <cell r="L98" t="str">
            <v>ABIDJAN</v>
          </cell>
          <cell r="M98" t="str">
            <v>ABOBO</v>
          </cell>
          <cell r="N98" t="str">
            <v>ABIDJAN</v>
          </cell>
        </row>
        <row r="99">
          <cell r="B99" t="str">
            <v>AC101</v>
          </cell>
          <cell r="C99" t="str">
            <v>BBTHEQUE</v>
          </cell>
          <cell r="D99" t="str">
            <v>-4.024056</v>
          </cell>
          <cell r="E99" t="str">
            <v>5.335197</v>
          </cell>
          <cell r="F99" t="str">
            <v>2G/3G/4G</v>
          </cell>
          <cell r="G99" t="str">
            <v>ERICSSON</v>
          </cell>
          <cell r="H99" t="str">
            <v>MOOV</v>
          </cell>
          <cell r="I99" t="str">
            <v>PLATEAU</v>
          </cell>
          <cell r="J99" t="str">
            <v>ABIDJAN</v>
          </cell>
          <cell r="K99" t="str">
            <v>ABIDJAN</v>
          </cell>
          <cell r="L99" t="str">
            <v>ABIDJAN</v>
          </cell>
          <cell r="M99" t="str">
            <v>PLATEAU</v>
          </cell>
          <cell r="N99" t="str">
            <v>ABIDJAN</v>
          </cell>
        </row>
        <row r="100">
          <cell r="B100" t="str">
            <v>AC102</v>
          </cell>
          <cell r="C100" t="str">
            <v>CAMPUS</v>
          </cell>
          <cell r="D100" t="str">
            <v>-3.98837195</v>
          </cell>
          <cell r="E100" t="str">
            <v>5.34156942</v>
          </cell>
          <cell r="F100" t="str">
            <v>2G/3G/4G/5G</v>
          </cell>
          <cell r="G100" t="str">
            <v>ERICSSON</v>
          </cell>
          <cell r="H100" t="str">
            <v>IHS (OCI)</v>
          </cell>
          <cell r="I100" t="str">
            <v>COCODY</v>
          </cell>
          <cell r="J100" t="str">
            <v>ABIDJAN</v>
          </cell>
          <cell r="K100" t="str">
            <v>ABIDJAN</v>
          </cell>
          <cell r="L100" t="str">
            <v>ABIDJAN</v>
          </cell>
          <cell r="M100" t="str">
            <v>COCODY CENTRE</v>
          </cell>
          <cell r="N100" t="str">
            <v>ABIDJAN</v>
          </cell>
        </row>
        <row r="101">
          <cell r="B101" t="str">
            <v>AC103</v>
          </cell>
          <cell r="C101" t="str">
            <v>RTI</v>
          </cell>
          <cell r="D101" t="str">
            <v>-4.00074864</v>
          </cell>
          <cell r="E101" t="str">
            <v>5.34423579</v>
          </cell>
          <cell r="F101" t="str">
            <v>2G/3G/4G</v>
          </cell>
          <cell r="G101" t="str">
            <v>ERICSSON</v>
          </cell>
          <cell r="H101" t="str">
            <v>MOOV</v>
          </cell>
          <cell r="I101" t="str">
            <v>COCODY</v>
          </cell>
          <cell r="J101" t="str">
            <v>ABIDJAN</v>
          </cell>
          <cell r="K101" t="str">
            <v>ABIDJAN</v>
          </cell>
          <cell r="L101" t="str">
            <v>ABIDJAN</v>
          </cell>
          <cell r="M101" t="str">
            <v>COCODY CENTRE</v>
          </cell>
          <cell r="N101" t="str">
            <v>ABIDJAN</v>
          </cell>
        </row>
        <row r="102">
          <cell r="B102" t="str">
            <v>AC104</v>
          </cell>
          <cell r="C102" t="str">
            <v>KM</v>
          </cell>
          <cell r="D102" t="str">
            <v>-4.01794707</v>
          </cell>
          <cell r="E102" t="str">
            <v>5.32114245</v>
          </cell>
          <cell r="F102" t="str">
            <v>2G/3G/4G</v>
          </cell>
          <cell r="G102" t="str">
            <v>ERICSSON</v>
          </cell>
          <cell r="H102" t="str">
            <v>IHS</v>
          </cell>
          <cell r="I102" t="str">
            <v>PLATEAU</v>
          </cell>
          <cell r="J102" t="str">
            <v>ABIDJAN</v>
          </cell>
          <cell r="K102" t="str">
            <v>ABIDJAN</v>
          </cell>
          <cell r="L102" t="str">
            <v>ABIDJAN</v>
          </cell>
          <cell r="M102" t="str">
            <v>PLATEAU</v>
          </cell>
          <cell r="N102" t="str">
            <v>ABIDJAN</v>
          </cell>
        </row>
        <row r="103">
          <cell r="B103" t="str">
            <v>AC105</v>
          </cell>
          <cell r="C103" t="str">
            <v>DHL</v>
          </cell>
          <cell r="D103" t="str">
            <v>-3.97881369</v>
          </cell>
          <cell r="E103" t="str">
            <v>5.29495659</v>
          </cell>
          <cell r="F103" t="str">
            <v>2G/3G/4G</v>
          </cell>
          <cell r="G103" t="str">
            <v>ERICSSON</v>
          </cell>
          <cell r="H103" t="str">
            <v>MOOV</v>
          </cell>
          <cell r="I103" t="str">
            <v>MARCORY</v>
          </cell>
          <cell r="J103" t="str">
            <v>ABIDJAN</v>
          </cell>
          <cell r="K103" t="str">
            <v>ABIDJAN</v>
          </cell>
          <cell r="L103" t="str">
            <v>ABIDJAN</v>
          </cell>
          <cell r="M103" t="str">
            <v>MARCORY</v>
          </cell>
          <cell r="N103" t="str">
            <v>ABIDJAN</v>
          </cell>
        </row>
        <row r="104">
          <cell r="B104" t="str">
            <v>AC106</v>
          </cell>
          <cell r="C104" t="str">
            <v>ESCALE</v>
          </cell>
          <cell r="D104" t="str">
            <v>-3.84317958</v>
          </cell>
          <cell r="E104" t="str">
            <v>5.22394929</v>
          </cell>
          <cell r="F104" t="str">
            <v>2G/3G/4G</v>
          </cell>
          <cell r="G104" t="str">
            <v>HUAWEI</v>
          </cell>
          <cell r="H104" t="str">
            <v>MOOV</v>
          </cell>
          <cell r="I104" t="str">
            <v>GRAND-BASSAM</v>
          </cell>
          <cell r="J104" t="str">
            <v>GRAND-BASSAM</v>
          </cell>
          <cell r="K104" t="str">
            <v>GRAND-BASSAM</v>
          </cell>
          <cell r="L104" t="str">
            <v>SUD-COMOE</v>
          </cell>
          <cell r="M104" t="str">
            <v>MARCORY</v>
          </cell>
          <cell r="N104" t="str">
            <v>UPCOUNTRY</v>
          </cell>
        </row>
        <row r="105">
          <cell r="B105" t="str">
            <v>AC107</v>
          </cell>
          <cell r="C105" t="str">
            <v>DOKUI</v>
          </cell>
          <cell r="D105" t="str">
            <v>-4.007128</v>
          </cell>
          <cell r="E105" t="str">
            <v>5.400198</v>
          </cell>
          <cell r="F105" t="str">
            <v>2G/3G/4G</v>
          </cell>
          <cell r="G105" t="str">
            <v>ERICSSON</v>
          </cell>
          <cell r="H105" t="str">
            <v>MOOV</v>
          </cell>
          <cell r="I105" t="str">
            <v>ABOBO</v>
          </cell>
          <cell r="J105" t="str">
            <v>ABIDJAN</v>
          </cell>
          <cell r="K105" t="str">
            <v>ABIDJAN</v>
          </cell>
          <cell r="L105" t="str">
            <v>ABIDJAN</v>
          </cell>
          <cell r="M105" t="str">
            <v>ABOBO</v>
          </cell>
          <cell r="N105" t="str">
            <v>ABIDJAN</v>
          </cell>
        </row>
        <row r="106">
          <cell r="B106" t="str">
            <v>AC108</v>
          </cell>
          <cell r="C106" t="str">
            <v>BAD</v>
          </cell>
          <cell r="D106" t="str">
            <v>-4.02328624</v>
          </cell>
          <cell r="E106" t="str">
            <v>5.42746769</v>
          </cell>
          <cell r="F106" t="str">
            <v>2G/3G/4G</v>
          </cell>
          <cell r="G106" t="str">
            <v>ERICSSON</v>
          </cell>
          <cell r="H106" t="str">
            <v>MOOV</v>
          </cell>
          <cell r="I106" t="str">
            <v>ABOBO</v>
          </cell>
          <cell r="J106" t="str">
            <v>ABIDJAN</v>
          </cell>
          <cell r="K106" t="str">
            <v>ABIDJAN</v>
          </cell>
          <cell r="L106" t="str">
            <v>ABIDJAN</v>
          </cell>
          <cell r="M106" t="str">
            <v>ABOBO</v>
          </cell>
          <cell r="N106" t="str">
            <v>ABIDJAN</v>
          </cell>
        </row>
        <row r="107">
          <cell r="B107" t="str">
            <v>AC109</v>
          </cell>
          <cell r="C107" t="str">
            <v>COLATIER</v>
          </cell>
          <cell r="D107" t="str">
            <v>-4.01320941</v>
          </cell>
          <cell r="E107" t="str">
            <v>5.44107945</v>
          </cell>
          <cell r="F107" t="str">
            <v>2G/3G/4G</v>
          </cell>
          <cell r="G107" t="str">
            <v>ERICSSON</v>
          </cell>
          <cell r="H107" t="str">
            <v>IHS</v>
          </cell>
          <cell r="I107" t="str">
            <v>ABOBO</v>
          </cell>
          <cell r="J107" t="str">
            <v>ABIDJAN</v>
          </cell>
          <cell r="K107" t="str">
            <v>ABIDJAN</v>
          </cell>
          <cell r="L107" t="str">
            <v>ABIDJAN</v>
          </cell>
          <cell r="M107" t="str">
            <v>ABOBO</v>
          </cell>
          <cell r="N107" t="str">
            <v>ABIDJAN</v>
          </cell>
        </row>
        <row r="108">
          <cell r="B108" t="str">
            <v>AC110</v>
          </cell>
          <cell r="C108" t="str">
            <v>BATIM2</v>
          </cell>
          <cell r="D108" t="str">
            <v>-4.09055074</v>
          </cell>
          <cell r="E108" t="str">
            <v>5.3606259</v>
          </cell>
          <cell r="F108" t="str">
            <v>2G/3G/4G</v>
          </cell>
          <cell r="G108" t="str">
            <v>ERICSSON</v>
          </cell>
          <cell r="H108" t="str">
            <v>MOOV</v>
          </cell>
          <cell r="I108" t="str">
            <v>YOPOUGON</v>
          </cell>
          <cell r="J108" t="str">
            <v>ABIDJAN</v>
          </cell>
          <cell r="K108" t="str">
            <v>ABIDJAN</v>
          </cell>
          <cell r="L108" t="str">
            <v>ABIDJAN</v>
          </cell>
          <cell r="M108" t="str">
            <v>YOPOUGON FICGAYO</v>
          </cell>
          <cell r="N108" t="str">
            <v>ABIDJAN</v>
          </cell>
        </row>
        <row r="109">
          <cell r="B109" t="str">
            <v>AC111</v>
          </cell>
          <cell r="C109" t="str">
            <v>BILAL</v>
          </cell>
          <cell r="D109" t="str">
            <v>-4.08752231</v>
          </cell>
          <cell r="E109" t="str">
            <v>5.34742572</v>
          </cell>
          <cell r="F109" t="str">
            <v>2G/3G/4G</v>
          </cell>
          <cell r="G109" t="str">
            <v>ERICSSON</v>
          </cell>
          <cell r="H109" t="str">
            <v>MOOV</v>
          </cell>
          <cell r="I109" t="str">
            <v>YOPOUGON</v>
          </cell>
          <cell r="J109" t="str">
            <v>ABIDJAN</v>
          </cell>
          <cell r="K109" t="str">
            <v>ABIDJAN</v>
          </cell>
          <cell r="L109" t="str">
            <v>ABIDJAN</v>
          </cell>
          <cell r="M109" t="str">
            <v>YOPOUGON FICGAYO</v>
          </cell>
          <cell r="N109" t="str">
            <v>ABIDJAN</v>
          </cell>
        </row>
        <row r="110">
          <cell r="B110" t="str">
            <v>AC112</v>
          </cell>
          <cell r="C110" t="str">
            <v>PENTECOTE</v>
          </cell>
          <cell r="D110" t="str">
            <v>-4.09699314</v>
          </cell>
          <cell r="E110" t="str">
            <v>5.33981115</v>
          </cell>
          <cell r="F110" t="str">
            <v>2G/3G/4G</v>
          </cell>
          <cell r="G110" t="str">
            <v>ERICSSON</v>
          </cell>
          <cell r="H110" t="str">
            <v>MOOV</v>
          </cell>
          <cell r="I110" t="str">
            <v>YOPOUGON</v>
          </cell>
          <cell r="J110" t="str">
            <v>ABIDJAN</v>
          </cell>
          <cell r="K110" t="str">
            <v>ABIDJAN</v>
          </cell>
          <cell r="L110" t="str">
            <v>ABIDJAN</v>
          </cell>
          <cell r="M110" t="str">
            <v>YOPOUGON FICGAYO</v>
          </cell>
          <cell r="N110" t="str">
            <v>ABIDJAN</v>
          </cell>
        </row>
        <row r="111">
          <cell r="B111" t="str">
            <v>AC113</v>
          </cell>
          <cell r="C111" t="str">
            <v>ACADJOBA</v>
          </cell>
          <cell r="D111" t="str">
            <v>-4.08112826</v>
          </cell>
          <cell r="E111" t="str">
            <v>5.32399256</v>
          </cell>
          <cell r="F111" t="str">
            <v>2G/3G/4G</v>
          </cell>
          <cell r="G111" t="str">
            <v>ERICSSON</v>
          </cell>
          <cell r="H111" t="str">
            <v>MOOV</v>
          </cell>
          <cell r="I111" t="str">
            <v>YOPOUGON</v>
          </cell>
          <cell r="J111" t="str">
            <v>ABIDJAN</v>
          </cell>
          <cell r="K111" t="str">
            <v>ABIDJAN</v>
          </cell>
          <cell r="L111" t="str">
            <v>ABIDJAN</v>
          </cell>
          <cell r="M111" t="str">
            <v>YOPOUGON FICGAYO</v>
          </cell>
          <cell r="N111" t="str">
            <v>ABIDJAN</v>
          </cell>
        </row>
        <row r="112">
          <cell r="B112" t="str">
            <v>AC114</v>
          </cell>
          <cell r="C112" t="str">
            <v>BONOUMIN</v>
          </cell>
          <cell r="D112" t="str">
            <v>-3.96631606</v>
          </cell>
          <cell r="E112" t="str">
            <v>5.35863674</v>
          </cell>
          <cell r="F112" t="str">
            <v>2G/3G/4G</v>
          </cell>
          <cell r="G112" t="str">
            <v>ERICSSON</v>
          </cell>
          <cell r="H112" t="str">
            <v>MOOV</v>
          </cell>
          <cell r="I112" t="str">
            <v>COCODY</v>
          </cell>
          <cell r="J112" t="str">
            <v>ABIDJAN</v>
          </cell>
          <cell r="K112" t="str">
            <v>ABIDJAN</v>
          </cell>
          <cell r="L112" t="str">
            <v>ABIDJAN</v>
          </cell>
          <cell r="M112" t="str">
            <v>COCODY LATRILLE</v>
          </cell>
          <cell r="N112" t="str">
            <v>ABIDJAN</v>
          </cell>
        </row>
        <row r="113">
          <cell r="B113" t="str">
            <v>AC115</v>
          </cell>
          <cell r="C113" t="str">
            <v>TOUMODI</v>
          </cell>
          <cell r="D113" t="str">
            <v>-5.019111</v>
          </cell>
          <cell r="E113" t="str">
            <v>6.558521</v>
          </cell>
          <cell r="F113" t="str">
            <v>2G/3G/4G</v>
          </cell>
          <cell r="G113" t="str">
            <v>HUAWEI</v>
          </cell>
          <cell r="H113" t="str">
            <v>MOOV</v>
          </cell>
          <cell r="I113" t="str">
            <v>TOUMODI</v>
          </cell>
          <cell r="J113" t="str">
            <v>TOUMODI</v>
          </cell>
          <cell r="K113" t="str">
            <v>TOUMODI</v>
          </cell>
          <cell r="L113" t="str">
            <v>BELIER</v>
          </cell>
          <cell r="M113" t="str">
            <v>YAMOUSSOUKRO</v>
          </cell>
          <cell r="N113" t="str">
            <v>UPCOUNTRY</v>
          </cell>
        </row>
        <row r="114">
          <cell r="B114" t="str">
            <v>AC116</v>
          </cell>
          <cell r="C114" t="str">
            <v>YAM_ASSABOU</v>
          </cell>
          <cell r="D114" t="str">
            <v>-5.2591</v>
          </cell>
          <cell r="E114" t="str">
            <v>6.8422</v>
          </cell>
          <cell r="F114" t="str">
            <v>2G/3G/4G</v>
          </cell>
          <cell r="G114" t="str">
            <v>HUAWEI</v>
          </cell>
          <cell r="H114" t="str">
            <v>CIT</v>
          </cell>
          <cell r="I114" t="str">
            <v>YAMOUSSOUKRO</v>
          </cell>
          <cell r="J114" t="str">
            <v>YAMOUSSOUKRO</v>
          </cell>
          <cell r="K114" t="str">
            <v>YAMOUSSOUKRO</v>
          </cell>
          <cell r="L114" t="str">
            <v>YAMOUSSOUKRO</v>
          </cell>
          <cell r="M114" t="str">
            <v>YAMOUSSOUKRO</v>
          </cell>
          <cell r="N114" t="str">
            <v>UPCOUNTRY</v>
          </cell>
        </row>
        <row r="115">
          <cell r="B115" t="str">
            <v>AC117</v>
          </cell>
          <cell r="C115" t="str">
            <v>YAM_ENSTP</v>
          </cell>
          <cell r="D115" t="str">
            <v>-5.2397</v>
          </cell>
          <cell r="E115" t="str">
            <v>6.8701</v>
          </cell>
          <cell r="F115" t="str">
            <v>2G/3G/4G</v>
          </cell>
          <cell r="G115" t="str">
            <v>HUAWEI</v>
          </cell>
          <cell r="H115" t="str">
            <v>MOOV</v>
          </cell>
          <cell r="I115" t="str">
            <v>YAMOUSSOUKRO</v>
          </cell>
          <cell r="J115" t="str">
            <v>YAMOUSSOUKRO</v>
          </cell>
          <cell r="K115" t="str">
            <v>YAMOUSSOUKRO</v>
          </cell>
          <cell r="L115" t="str">
            <v>YAMOUSSOUKRO</v>
          </cell>
          <cell r="M115" t="str">
            <v>YAMOUSSOUKRO</v>
          </cell>
          <cell r="N115" t="str">
            <v>UPCOUNTRY</v>
          </cell>
        </row>
        <row r="116">
          <cell r="B116" t="str">
            <v>AC118</v>
          </cell>
          <cell r="C116" t="str">
            <v>YAM_INSET</v>
          </cell>
          <cell r="D116" t="str">
            <v>-5.2268</v>
          </cell>
          <cell r="E116" t="str">
            <v>6.8823</v>
          </cell>
          <cell r="F116" t="str">
            <v>2G/3G/4G</v>
          </cell>
          <cell r="G116" t="str">
            <v>HUAWEI</v>
          </cell>
          <cell r="H116" t="str">
            <v>MOOV</v>
          </cell>
          <cell r="I116" t="str">
            <v>YAMOUSSOUKRO</v>
          </cell>
          <cell r="J116" t="str">
            <v>YAMOUSSOUKRO</v>
          </cell>
          <cell r="K116" t="str">
            <v>YAMOUSSOUKRO</v>
          </cell>
          <cell r="L116" t="str">
            <v>YAMOUSSOUKRO</v>
          </cell>
          <cell r="M116" t="str">
            <v>YAMOUSSOUKRO</v>
          </cell>
          <cell r="N116" t="str">
            <v>UPCOUNTRY</v>
          </cell>
        </row>
        <row r="117">
          <cell r="B117" t="str">
            <v>AC119</v>
          </cell>
          <cell r="C117" t="str">
            <v>YAM_SINZIBO</v>
          </cell>
          <cell r="D117" t="str">
            <v>-5.2503</v>
          </cell>
          <cell r="E117" t="str">
            <v>6.8532</v>
          </cell>
          <cell r="F117" t="str">
            <v>2G/3G/4G</v>
          </cell>
          <cell r="G117" t="str">
            <v>HUAWEI</v>
          </cell>
          <cell r="H117" t="str">
            <v>MOOV</v>
          </cell>
          <cell r="I117" t="str">
            <v>YAMOUSSOUKRO</v>
          </cell>
          <cell r="J117" t="str">
            <v>YAMOUSSOUKRO</v>
          </cell>
          <cell r="K117" t="str">
            <v>YAMOUSSOUKRO</v>
          </cell>
          <cell r="L117" t="str">
            <v>YAMOUSSOUKRO</v>
          </cell>
          <cell r="M117" t="str">
            <v>YAMOUSSOUKRO</v>
          </cell>
          <cell r="N117" t="str">
            <v>UPCOUNTRY</v>
          </cell>
        </row>
        <row r="118">
          <cell r="B118" t="str">
            <v>AC120</v>
          </cell>
          <cell r="C118" t="str">
            <v>YAM_MOROFE</v>
          </cell>
          <cell r="D118" t="str">
            <v>-5.288558</v>
          </cell>
          <cell r="E118" t="str">
            <v>6.847494</v>
          </cell>
          <cell r="F118" t="str">
            <v>2G/3G/4G</v>
          </cell>
          <cell r="G118" t="str">
            <v>HUAWEI</v>
          </cell>
          <cell r="H118" t="str">
            <v>MOOV</v>
          </cell>
          <cell r="I118" t="str">
            <v>YAMOUSSOUKRO</v>
          </cell>
          <cell r="J118" t="str">
            <v>YAMOUSSOUKRO</v>
          </cell>
          <cell r="K118" t="str">
            <v>YAMOUSSOUKRO</v>
          </cell>
          <cell r="L118" t="str">
            <v>YAMOUSSOUKRO</v>
          </cell>
          <cell r="M118" t="str">
            <v>YAMOUSSOUKRO</v>
          </cell>
          <cell r="N118" t="str">
            <v>UPCOUNTRY</v>
          </cell>
        </row>
        <row r="119">
          <cell r="B119" t="str">
            <v>AC121</v>
          </cell>
          <cell r="C119" t="str">
            <v>YAM_MAMI_ADJOUA</v>
          </cell>
          <cell r="D119" t="str">
            <v>-5.27207</v>
          </cell>
          <cell r="E119" t="str">
            <v>6.831993</v>
          </cell>
          <cell r="F119" t="str">
            <v>2G/3G/4G</v>
          </cell>
          <cell r="G119" t="str">
            <v>HUAWEI</v>
          </cell>
          <cell r="H119" t="str">
            <v>MOOV</v>
          </cell>
          <cell r="I119" t="str">
            <v>YAMOUSSOUKRO</v>
          </cell>
          <cell r="J119" t="str">
            <v>YAMOUSSOUKRO</v>
          </cell>
          <cell r="K119" t="str">
            <v>YAMOUSSOUKRO</v>
          </cell>
          <cell r="L119" t="str">
            <v>YAMOUSSOUKRO</v>
          </cell>
          <cell r="M119" t="str">
            <v>YAMOUSSOUKRO</v>
          </cell>
          <cell r="N119" t="str">
            <v>UPCOUNTRY</v>
          </cell>
        </row>
        <row r="120">
          <cell r="B120" t="str">
            <v>AC122</v>
          </cell>
          <cell r="C120" t="str">
            <v>YAM_DAUPHIN</v>
          </cell>
          <cell r="D120" t="str">
            <v>-5.276</v>
          </cell>
          <cell r="E120" t="str">
            <v>6.8201</v>
          </cell>
          <cell r="F120" t="str">
            <v>2G/3G/4G</v>
          </cell>
          <cell r="G120" t="str">
            <v>HUAWEI</v>
          </cell>
          <cell r="H120" t="str">
            <v>MOOV</v>
          </cell>
          <cell r="I120" t="str">
            <v>YAMOUSSOUKRO</v>
          </cell>
          <cell r="J120" t="str">
            <v>YAMOUSSOUKRO</v>
          </cell>
          <cell r="K120" t="str">
            <v>YAMOUSSOUKRO</v>
          </cell>
          <cell r="L120" t="str">
            <v>YAMOUSSOUKRO</v>
          </cell>
          <cell r="M120" t="str">
            <v>YAMOUSSOUKRO</v>
          </cell>
          <cell r="N120" t="str">
            <v>UPCOUNTRY</v>
          </cell>
        </row>
        <row r="121">
          <cell r="B121" t="str">
            <v>AC123</v>
          </cell>
          <cell r="C121" t="str">
            <v>YAM_BASILIQUE</v>
          </cell>
          <cell r="D121" t="str">
            <v>-5.2913</v>
          </cell>
          <cell r="E121" t="str">
            <v>6.8185</v>
          </cell>
          <cell r="F121" t="str">
            <v>2G/3G/4G</v>
          </cell>
          <cell r="G121" t="str">
            <v>HUAWEI</v>
          </cell>
          <cell r="H121" t="str">
            <v>MOOV</v>
          </cell>
          <cell r="I121" t="str">
            <v>YAMOUSSOUKRO</v>
          </cell>
          <cell r="J121" t="str">
            <v>YAMOUSSOUKRO</v>
          </cell>
          <cell r="K121" t="str">
            <v>YAMOUSSOUKRO</v>
          </cell>
          <cell r="L121" t="str">
            <v>YAMOUSSOUKRO</v>
          </cell>
          <cell r="M121" t="str">
            <v>YAMOUSSOUKRO</v>
          </cell>
          <cell r="N121" t="str">
            <v>UPCOUNTRY</v>
          </cell>
        </row>
        <row r="122">
          <cell r="B122" t="str">
            <v>AC124</v>
          </cell>
          <cell r="C122" t="str">
            <v>YAM_DIOULAKRO</v>
          </cell>
          <cell r="D122" t="str">
            <v>-5.2744</v>
          </cell>
          <cell r="E122" t="str">
            <v>6.8022</v>
          </cell>
          <cell r="F122" t="str">
            <v>2G/3G/4G</v>
          </cell>
          <cell r="G122" t="str">
            <v>HUAWEI</v>
          </cell>
          <cell r="H122" t="str">
            <v>MOOV</v>
          </cell>
          <cell r="I122" t="str">
            <v>YAMOUSSOUKRO</v>
          </cell>
          <cell r="J122" t="str">
            <v>YAMOUSSOUKRO</v>
          </cell>
          <cell r="K122" t="str">
            <v>YAMOUSSOUKRO</v>
          </cell>
          <cell r="L122" t="str">
            <v>YAMOUSSOUKRO</v>
          </cell>
          <cell r="M122" t="str">
            <v>YAMOUSSOUKRO</v>
          </cell>
          <cell r="N122" t="str">
            <v>UPCOUNTRY</v>
          </cell>
        </row>
        <row r="123">
          <cell r="B123" t="str">
            <v>AC125</v>
          </cell>
          <cell r="C123" t="str">
            <v>YAM_KOKRENOU</v>
          </cell>
          <cell r="D123" t="str">
            <v>-5.2762</v>
          </cell>
          <cell r="E123" t="str">
            <v>6.7842</v>
          </cell>
          <cell r="F123" t="str">
            <v>2G/3G/4G</v>
          </cell>
          <cell r="G123" t="str">
            <v>HUAWEI</v>
          </cell>
          <cell r="H123" t="str">
            <v>MOOV</v>
          </cell>
          <cell r="I123" t="str">
            <v>YAMOUSSOUKRO</v>
          </cell>
          <cell r="J123" t="str">
            <v>YAMOUSSOUKRO</v>
          </cell>
          <cell r="K123" t="str">
            <v>YAMOUSSOUKRO</v>
          </cell>
          <cell r="L123" t="str">
            <v>YAMOUSSOUKRO</v>
          </cell>
          <cell r="M123" t="str">
            <v>YAMOUSSOUKRO</v>
          </cell>
          <cell r="N123" t="str">
            <v>UPCOUNTRY</v>
          </cell>
        </row>
        <row r="124">
          <cell r="B124" t="str">
            <v>AC126</v>
          </cell>
          <cell r="C124" t="str">
            <v>YAM_FONDATION</v>
          </cell>
          <cell r="D124" t="str">
            <v>-5.2616</v>
          </cell>
          <cell r="E124" t="str">
            <v>6.7921</v>
          </cell>
          <cell r="F124" t="str">
            <v>2G/3G/4G</v>
          </cell>
          <cell r="G124" t="str">
            <v>HUAWEI</v>
          </cell>
          <cell r="H124" t="str">
            <v>MOOV</v>
          </cell>
          <cell r="I124" t="str">
            <v>YAMOUSSOUKRO</v>
          </cell>
          <cell r="J124" t="str">
            <v>YAMOUSSOUKRO</v>
          </cell>
          <cell r="K124" t="str">
            <v>YAMOUSSOUKRO</v>
          </cell>
          <cell r="L124" t="str">
            <v>YAMOUSSOUKRO</v>
          </cell>
          <cell r="M124" t="str">
            <v>YAMOUSSOUKRO</v>
          </cell>
          <cell r="N124" t="str">
            <v>UPCOUNTRY</v>
          </cell>
        </row>
        <row r="125">
          <cell r="B125" t="str">
            <v>AC128</v>
          </cell>
          <cell r="C125" t="str">
            <v>YAM_MOFAITAI</v>
          </cell>
          <cell r="D125" t="str">
            <v>-5.266</v>
          </cell>
          <cell r="E125" t="str">
            <v>6.8111</v>
          </cell>
          <cell r="F125" t="str">
            <v>2G/3G/4G</v>
          </cell>
          <cell r="G125" t="str">
            <v>HUAWEI</v>
          </cell>
          <cell r="H125" t="str">
            <v>MOOV</v>
          </cell>
          <cell r="I125" t="str">
            <v>YAMOUSSOUKRO</v>
          </cell>
          <cell r="J125" t="str">
            <v>YAMOUSSOUKRO</v>
          </cell>
          <cell r="K125" t="str">
            <v>YAMOUSSOUKRO</v>
          </cell>
          <cell r="L125" t="str">
            <v>YAMOUSSOUKRO</v>
          </cell>
          <cell r="M125" t="str">
            <v>YAMOUSSOUKRO</v>
          </cell>
          <cell r="N125" t="str">
            <v>UPCOUNTRY</v>
          </cell>
        </row>
        <row r="126">
          <cell r="B126" t="str">
            <v>AC129</v>
          </cell>
          <cell r="C126" t="str">
            <v>YAM_220_LGTS</v>
          </cell>
          <cell r="D126" t="str">
            <v>-5.2554</v>
          </cell>
          <cell r="E126" t="str">
            <v>6.8208</v>
          </cell>
          <cell r="F126" t="str">
            <v>2G/3G/4G</v>
          </cell>
          <cell r="G126" t="str">
            <v>HUAWEI</v>
          </cell>
          <cell r="H126" t="str">
            <v>MOOV</v>
          </cell>
          <cell r="I126" t="str">
            <v>YAMOUSSOUKRO</v>
          </cell>
          <cell r="J126" t="str">
            <v>YAMOUSSOUKRO</v>
          </cell>
          <cell r="K126" t="str">
            <v>YAMOUSSOUKRO</v>
          </cell>
          <cell r="L126" t="str">
            <v>YAMOUSSOUKRO</v>
          </cell>
          <cell r="M126" t="str">
            <v>YAMOUSSOUKRO</v>
          </cell>
          <cell r="N126" t="str">
            <v>UPCOUNTRY</v>
          </cell>
        </row>
        <row r="127">
          <cell r="B127" t="str">
            <v>AC130</v>
          </cell>
          <cell r="C127" t="str">
            <v>YAM_ATTOUNGBLAN</v>
          </cell>
          <cell r="D127" t="str">
            <v>-5.2473</v>
          </cell>
          <cell r="E127" t="str">
            <v>6.8047</v>
          </cell>
          <cell r="F127" t="str">
            <v>2G/3G/4G</v>
          </cell>
          <cell r="G127" t="str">
            <v>HUAWEI</v>
          </cell>
          <cell r="H127" t="str">
            <v>MOOV</v>
          </cell>
          <cell r="I127" t="str">
            <v>YAMOUSSOUKRO</v>
          </cell>
          <cell r="J127" t="str">
            <v>YAMOUSSOUKRO</v>
          </cell>
          <cell r="K127" t="str">
            <v>YAMOUSSOUKRO</v>
          </cell>
          <cell r="L127" t="str">
            <v>YAMOUSSOUKRO</v>
          </cell>
          <cell r="M127" t="str">
            <v>YAMOUSSOUKRO</v>
          </cell>
          <cell r="N127" t="str">
            <v>UPCOUNTRY</v>
          </cell>
        </row>
        <row r="128">
          <cell r="B128" t="str">
            <v>AC131</v>
          </cell>
          <cell r="C128" t="str">
            <v>BOUAFLE</v>
          </cell>
          <cell r="D128" t="str">
            <v>-5.7488</v>
          </cell>
          <cell r="E128" t="str">
            <v>6.9882</v>
          </cell>
          <cell r="F128" t="str">
            <v>2G/3G/4G</v>
          </cell>
          <cell r="G128" t="str">
            <v>HUAWEI</v>
          </cell>
          <cell r="H128" t="str">
            <v>MOOV</v>
          </cell>
          <cell r="I128" t="str">
            <v>BOUAFLE</v>
          </cell>
          <cell r="J128" t="str">
            <v>BOUAFLE</v>
          </cell>
          <cell r="K128" t="str">
            <v>BOUAFLE</v>
          </cell>
          <cell r="L128" t="str">
            <v>MARAHOUE</v>
          </cell>
          <cell r="M128" t="str">
            <v>YAMOUSSOUKRO</v>
          </cell>
          <cell r="N128" t="str">
            <v>UPCOUNTRY</v>
          </cell>
        </row>
        <row r="129">
          <cell r="B129" t="str">
            <v>AC132</v>
          </cell>
          <cell r="C129" t="str">
            <v>BONON</v>
          </cell>
          <cell r="D129" t="str">
            <v>-6.052539</v>
          </cell>
          <cell r="E129" t="str">
            <v>6.926284</v>
          </cell>
          <cell r="F129" t="str">
            <v>2G/3G/4G</v>
          </cell>
          <cell r="G129" t="str">
            <v>HUAWEI</v>
          </cell>
          <cell r="H129" t="str">
            <v>MOOV</v>
          </cell>
          <cell r="I129" t="str">
            <v>BONON</v>
          </cell>
          <cell r="J129" t="str">
            <v>BONON</v>
          </cell>
          <cell r="K129" t="str">
            <v>BOUAFLE</v>
          </cell>
          <cell r="L129" t="str">
            <v>MARAHOUE</v>
          </cell>
          <cell r="M129" t="str">
            <v>DALOA</v>
          </cell>
          <cell r="N129" t="str">
            <v>UPCOUNTRY</v>
          </cell>
        </row>
        <row r="130">
          <cell r="B130" t="str">
            <v>AC133</v>
          </cell>
          <cell r="C130" t="str">
            <v>DAL_CIT</v>
          </cell>
          <cell r="D130" t="str">
            <v>-6.4505</v>
          </cell>
          <cell r="E130" t="str">
            <v>6.8862</v>
          </cell>
          <cell r="F130" t="str">
            <v>2G/3G/4G</v>
          </cell>
          <cell r="G130" t="str">
            <v>HUAWEI</v>
          </cell>
          <cell r="H130" t="str">
            <v>CIT</v>
          </cell>
          <cell r="I130" t="str">
            <v>DALOA</v>
          </cell>
          <cell r="J130" t="str">
            <v>DALOA</v>
          </cell>
          <cell r="K130" t="str">
            <v>DALOA</v>
          </cell>
          <cell r="L130" t="str">
            <v>HAUT-SASSANDRA</v>
          </cell>
          <cell r="M130" t="str">
            <v>DALOA</v>
          </cell>
          <cell r="N130" t="str">
            <v>UPCOUNTRY</v>
          </cell>
        </row>
        <row r="131">
          <cell r="B131" t="str">
            <v>AC134</v>
          </cell>
          <cell r="C131" t="str">
            <v>DAL_KENEDY</v>
          </cell>
          <cell r="D131" t="str">
            <v>-6.4711</v>
          </cell>
          <cell r="E131" t="str">
            <v>6.8886</v>
          </cell>
          <cell r="F131" t="str">
            <v>2G/3G/4G</v>
          </cell>
          <cell r="G131" t="str">
            <v>HUAWEI</v>
          </cell>
          <cell r="H131" t="str">
            <v>MOOV</v>
          </cell>
          <cell r="I131" t="str">
            <v>DALOA</v>
          </cell>
          <cell r="J131" t="str">
            <v>DALOA</v>
          </cell>
          <cell r="K131" t="str">
            <v>DALOA</v>
          </cell>
          <cell r="L131" t="str">
            <v>HAUT-SASSANDRA</v>
          </cell>
          <cell r="M131" t="str">
            <v>DALOA</v>
          </cell>
          <cell r="N131" t="str">
            <v>UPCOUNTRY</v>
          </cell>
        </row>
        <row r="132">
          <cell r="B132" t="str">
            <v>AC135</v>
          </cell>
          <cell r="C132" t="str">
            <v>DAL_BRIGADE</v>
          </cell>
          <cell r="D132" t="str">
            <v>-6.4313</v>
          </cell>
          <cell r="E132" t="str">
            <v>6.8924</v>
          </cell>
          <cell r="F132" t="str">
            <v>2G/3G/4G</v>
          </cell>
          <cell r="G132" t="str">
            <v>HUAWEI</v>
          </cell>
          <cell r="H132" t="str">
            <v>MOOV</v>
          </cell>
          <cell r="I132" t="str">
            <v>DALOA</v>
          </cell>
          <cell r="J132" t="str">
            <v>DALOA</v>
          </cell>
          <cell r="K132" t="str">
            <v>DALOA</v>
          </cell>
          <cell r="L132" t="str">
            <v>HAUT-SASSANDRA</v>
          </cell>
          <cell r="M132" t="str">
            <v>DALOA</v>
          </cell>
          <cell r="N132" t="str">
            <v>UPCOUNTRY</v>
          </cell>
        </row>
        <row r="133">
          <cell r="B133" t="str">
            <v>AC136</v>
          </cell>
          <cell r="C133" t="str">
            <v>DAL_BAPTISTE</v>
          </cell>
          <cell r="D133" t="str">
            <v>-6.4371</v>
          </cell>
          <cell r="E133" t="str">
            <v>6.8705</v>
          </cell>
          <cell r="F133" t="str">
            <v>2G/3G/4G</v>
          </cell>
          <cell r="G133" t="str">
            <v>HUAWEI</v>
          </cell>
          <cell r="H133" t="str">
            <v>MOOV</v>
          </cell>
          <cell r="I133" t="str">
            <v>DALOA</v>
          </cell>
          <cell r="J133" t="str">
            <v>DALOA</v>
          </cell>
          <cell r="K133" t="str">
            <v>DALOA</v>
          </cell>
          <cell r="L133" t="str">
            <v>HAUT-SASSANDRA</v>
          </cell>
          <cell r="M133" t="str">
            <v>DALOA</v>
          </cell>
          <cell r="N133" t="str">
            <v>UPCOUNTRY</v>
          </cell>
        </row>
        <row r="134">
          <cell r="B134" t="str">
            <v>AC137</v>
          </cell>
          <cell r="C134" t="str">
            <v>DAL_ESCADRON</v>
          </cell>
          <cell r="D134" t="str">
            <v>-6.446633</v>
          </cell>
          <cell r="E134" t="str">
            <v>6.852069</v>
          </cell>
          <cell r="F134" t="str">
            <v>2G/3G/4G</v>
          </cell>
          <cell r="G134" t="str">
            <v>HUAWEI</v>
          </cell>
          <cell r="H134" t="str">
            <v>MOOV</v>
          </cell>
          <cell r="I134" t="str">
            <v>DALOA</v>
          </cell>
          <cell r="J134" t="str">
            <v>DALOA</v>
          </cell>
          <cell r="K134" t="str">
            <v>DALOA</v>
          </cell>
          <cell r="L134" t="str">
            <v>HAUT-SASSANDRA</v>
          </cell>
          <cell r="M134" t="str">
            <v>DALOA</v>
          </cell>
          <cell r="N134" t="str">
            <v>UPCOUNTRY</v>
          </cell>
        </row>
        <row r="135">
          <cell r="B135" t="str">
            <v>AC138</v>
          </cell>
          <cell r="C135" t="str">
            <v>DAL_KHALIL</v>
          </cell>
          <cell r="D135" t="str">
            <v>-6.4529</v>
          </cell>
          <cell r="E135" t="str">
            <v>6.9056</v>
          </cell>
          <cell r="F135" t="str">
            <v>2G/3G/4G</v>
          </cell>
          <cell r="G135" t="str">
            <v>HUAWEI</v>
          </cell>
          <cell r="H135" t="str">
            <v>MOOV</v>
          </cell>
          <cell r="I135" t="str">
            <v>DALOA</v>
          </cell>
          <cell r="J135" t="str">
            <v>DALOA</v>
          </cell>
          <cell r="K135" t="str">
            <v>DALOA</v>
          </cell>
          <cell r="L135" t="str">
            <v>HAUT-SASSANDRA</v>
          </cell>
          <cell r="M135" t="str">
            <v>DALOA</v>
          </cell>
          <cell r="N135" t="str">
            <v>UPCOUNTRY</v>
          </cell>
        </row>
        <row r="136">
          <cell r="B136" t="str">
            <v>AC139</v>
          </cell>
          <cell r="C136" t="str">
            <v>DAL_ORLY</v>
          </cell>
          <cell r="D136" t="str">
            <v>-6.458</v>
          </cell>
          <cell r="E136" t="str">
            <v>6.8686</v>
          </cell>
          <cell r="F136" t="str">
            <v>2G/3G/4G</v>
          </cell>
          <cell r="G136" t="str">
            <v>HUAWEI</v>
          </cell>
          <cell r="H136" t="str">
            <v>MOOV</v>
          </cell>
          <cell r="I136" t="str">
            <v>DALOA</v>
          </cell>
          <cell r="J136" t="str">
            <v>DALOA</v>
          </cell>
          <cell r="K136" t="str">
            <v>DALOA</v>
          </cell>
          <cell r="L136" t="str">
            <v>HAUT-SASSANDRA</v>
          </cell>
          <cell r="M136" t="str">
            <v>DALOA</v>
          </cell>
          <cell r="N136" t="str">
            <v>UPCOUNTRY</v>
          </cell>
        </row>
        <row r="137">
          <cell r="B137" t="str">
            <v>AC140</v>
          </cell>
          <cell r="C137" t="str">
            <v>ISSIA</v>
          </cell>
          <cell r="D137" t="str">
            <v>-6.588953</v>
          </cell>
          <cell r="E137" t="str">
            <v>6.489668</v>
          </cell>
          <cell r="F137" t="str">
            <v>2G/3G/4G</v>
          </cell>
          <cell r="G137" t="str">
            <v>HUAWEI</v>
          </cell>
          <cell r="H137" t="str">
            <v>MOOV</v>
          </cell>
          <cell r="I137" t="str">
            <v>ISSIA</v>
          </cell>
          <cell r="J137" t="str">
            <v>ISSIA</v>
          </cell>
          <cell r="K137" t="str">
            <v>ISSIA</v>
          </cell>
          <cell r="L137" t="str">
            <v>HAUT-SASSANDRA</v>
          </cell>
          <cell r="M137" t="str">
            <v>DALOA</v>
          </cell>
          <cell r="N137" t="str">
            <v>UPCOUNTRY</v>
          </cell>
        </row>
        <row r="138">
          <cell r="B138" t="str">
            <v>AC141</v>
          </cell>
          <cell r="C138" t="str">
            <v>GUIBEROUA</v>
          </cell>
          <cell r="D138" t="str">
            <v>-6.1733</v>
          </cell>
          <cell r="E138" t="str">
            <v>6.2392</v>
          </cell>
          <cell r="F138" t="str">
            <v>2G/3G/4G</v>
          </cell>
          <cell r="G138" t="str">
            <v>HUAWEI</v>
          </cell>
          <cell r="H138" t="str">
            <v>MOOV</v>
          </cell>
          <cell r="I138" t="str">
            <v>GUIBEROUA</v>
          </cell>
          <cell r="J138" t="str">
            <v>GUIBEROUA</v>
          </cell>
          <cell r="K138" t="str">
            <v>GAGNOA</v>
          </cell>
          <cell r="L138" t="str">
            <v>GOH</v>
          </cell>
          <cell r="M138" t="str">
            <v>GAGNOA</v>
          </cell>
          <cell r="N138" t="str">
            <v>UPCOUNTRY</v>
          </cell>
        </row>
        <row r="139">
          <cell r="B139" t="str">
            <v>AC142</v>
          </cell>
          <cell r="C139" t="str">
            <v>GAGNOA_CIB</v>
          </cell>
          <cell r="D139" t="str">
            <v>-5.9864</v>
          </cell>
          <cell r="E139" t="str">
            <v>6.1149</v>
          </cell>
          <cell r="F139" t="str">
            <v>2G/3G/4G</v>
          </cell>
          <cell r="G139" t="str">
            <v>HUAWEI</v>
          </cell>
          <cell r="H139" t="str">
            <v>MOOV</v>
          </cell>
          <cell r="I139" t="str">
            <v>GAGNOA</v>
          </cell>
          <cell r="J139" t="str">
            <v>GAGNOA</v>
          </cell>
          <cell r="K139" t="str">
            <v>GAGNOA</v>
          </cell>
          <cell r="L139" t="str">
            <v>GOH</v>
          </cell>
          <cell r="M139" t="str">
            <v>GAGNOA</v>
          </cell>
          <cell r="N139" t="str">
            <v>UPCOUNTRY</v>
          </cell>
        </row>
        <row r="140">
          <cell r="B140" t="str">
            <v>AC143</v>
          </cell>
          <cell r="C140" t="str">
            <v>GAGNOA_GARAGE</v>
          </cell>
          <cell r="D140" t="str">
            <v>-5.963</v>
          </cell>
          <cell r="E140" t="str">
            <v>6.1279</v>
          </cell>
          <cell r="F140" t="str">
            <v>2G/3G/4G</v>
          </cell>
          <cell r="G140" t="str">
            <v>HUAWEI</v>
          </cell>
          <cell r="H140" t="str">
            <v>MOOV</v>
          </cell>
          <cell r="I140" t="str">
            <v>GAGNOA</v>
          </cell>
          <cell r="J140" t="str">
            <v>GAGNOA</v>
          </cell>
          <cell r="K140" t="str">
            <v>GAGNOA</v>
          </cell>
          <cell r="L140" t="str">
            <v>GOH</v>
          </cell>
          <cell r="M140" t="str">
            <v>GAGNOA</v>
          </cell>
          <cell r="N140" t="str">
            <v>UPCOUNTRY</v>
          </cell>
        </row>
        <row r="141">
          <cell r="B141" t="str">
            <v>AC144</v>
          </cell>
          <cell r="C141" t="str">
            <v>GAGNOA_CIT</v>
          </cell>
          <cell r="D141" t="str">
            <v>-5.943</v>
          </cell>
          <cell r="E141" t="str">
            <v>6.1297</v>
          </cell>
          <cell r="F141" t="str">
            <v>2G/3G/4G</v>
          </cell>
          <cell r="G141" t="str">
            <v>HUAWEI</v>
          </cell>
          <cell r="H141" t="str">
            <v>IHS (CIT)</v>
          </cell>
          <cell r="I141" t="str">
            <v>GAGNOA</v>
          </cell>
          <cell r="J141" t="str">
            <v>GAGNOA</v>
          </cell>
          <cell r="K141" t="str">
            <v>GAGNOA</v>
          </cell>
          <cell r="L141" t="str">
            <v>GOH</v>
          </cell>
          <cell r="M141" t="str">
            <v>GAGNOA</v>
          </cell>
          <cell r="N141" t="str">
            <v>UPCOUNTRY</v>
          </cell>
        </row>
        <row r="142">
          <cell r="B142" t="str">
            <v>AC145</v>
          </cell>
          <cell r="C142" t="str">
            <v>GAGNOA_GARAHIO</v>
          </cell>
          <cell r="D142" t="str">
            <v>-5.9297</v>
          </cell>
          <cell r="E142" t="str">
            <v>6.1116</v>
          </cell>
          <cell r="F142" t="str">
            <v>2G/3G/4G</v>
          </cell>
          <cell r="G142" t="str">
            <v>HUAWEI</v>
          </cell>
          <cell r="H142" t="str">
            <v>MOOV</v>
          </cell>
          <cell r="I142" t="str">
            <v>GAGNOA</v>
          </cell>
          <cell r="J142" t="str">
            <v>GAGNOA</v>
          </cell>
          <cell r="K142" t="str">
            <v>GAGNOA</v>
          </cell>
          <cell r="L142" t="str">
            <v>GOH</v>
          </cell>
          <cell r="M142" t="str">
            <v>GAGNOA</v>
          </cell>
          <cell r="N142" t="str">
            <v>UPCOUNTRY</v>
          </cell>
        </row>
        <row r="143">
          <cell r="B143" t="str">
            <v>AC146</v>
          </cell>
          <cell r="C143" t="str">
            <v>GAGNOA_NV_QUARTIER</v>
          </cell>
          <cell r="D143" t="str">
            <v>-5.946</v>
          </cell>
          <cell r="E143" t="str">
            <v>6.154</v>
          </cell>
          <cell r="F143" t="str">
            <v>2G/3G/4G</v>
          </cell>
          <cell r="G143" t="str">
            <v>HUAWEI</v>
          </cell>
          <cell r="H143" t="str">
            <v>MOOV</v>
          </cell>
          <cell r="I143" t="str">
            <v>GAGNOA</v>
          </cell>
          <cell r="J143" t="str">
            <v>GAGNOA</v>
          </cell>
          <cell r="K143" t="str">
            <v>GAGNOA</v>
          </cell>
          <cell r="L143" t="str">
            <v>GOH</v>
          </cell>
          <cell r="M143" t="str">
            <v>GAGNOA</v>
          </cell>
          <cell r="N143" t="str">
            <v>UPCOUNTRY</v>
          </cell>
        </row>
        <row r="144">
          <cell r="B144" t="str">
            <v>AC147</v>
          </cell>
          <cell r="C144" t="str">
            <v>GAGNOA_SOKOURADJAN</v>
          </cell>
          <cell r="D144" t="str">
            <v>-5.9642</v>
          </cell>
          <cell r="E144" t="str">
            <v>6.1466</v>
          </cell>
          <cell r="F144" t="str">
            <v>2G/3G/4G</v>
          </cell>
          <cell r="G144" t="str">
            <v>HUAWEI</v>
          </cell>
          <cell r="H144" t="str">
            <v>MOOV</v>
          </cell>
          <cell r="I144" t="str">
            <v>GAGNOA</v>
          </cell>
          <cell r="J144" t="str">
            <v>GAGNOA</v>
          </cell>
          <cell r="K144" t="str">
            <v>GAGNOA</v>
          </cell>
          <cell r="L144" t="str">
            <v>GOH</v>
          </cell>
          <cell r="M144" t="str">
            <v>GAGNOA</v>
          </cell>
          <cell r="N144" t="str">
            <v>UPCOUNTRY</v>
          </cell>
        </row>
        <row r="145">
          <cell r="B145" t="str">
            <v>AC148</v>
          </cell>
          <cell r="C145" t="str">
            <v>YABAYO</v>
          </cell>
          <cell r="D145" t="str">
            <v>-6.600469</v>
          </cell>
          <cell r="E145" t="str">
            <v>5.952343</v>
          </cell>
          <cell r="F145" t="str">
            <v>2G/3G/4G</v>
          </cell>
          <cell r="G145" t="str">
            <v>HUAWEI</v>
          </cell>
          <cell r="H145" t="str">
            <v>IHS (CIT)</v>
          </cell>
          <cell r="I145" t="str">
            <v>YABAYO</v>
          </cell>
          <cell r="J145" t="str">
            <v>SOUBRE</v>
          </cell>
          <cell r="K145" t="str">
            <v>SOUBRE</v>
          </cell>
          <cell r="L145" t="str">
            <v>NAWA</v>
          </cell>
          <cell r="M145" t="str">
            <v>SOUBRE</v>
          </cell>
          <cell r="N145" t="str">
            <v>UPCOUNTRY</v>
          </cell>
        </row>
        <row r="146">
          <cell r="B146" t="str">
            <v>AC149</v>
          </cell>
          <cell r="C146" t="str">
            <v>SOUBRE</v>
          </cell>
          <cell r="D146" t="str">
            <v>-6.5955</v>
          </cell>
          <cell r="E146" t="str">
            <v>5.7844</v>
          </cell>
          <cell r="F146" t="str">
            <v>2G/3G/4G</v>
          </cell>
          <cell r="G146" t="str">
            <v>HUAWEI</v>
          </cell>
          <cell r="H146" t="str">
            <v>IHS (CIT)</v>
          </cell>
          <cell r="I146" t="str">
            <v>SOUBRE</v>
          </cell>
          <cell r="J146" t="str">
            <v>SOUBRE</v>
          </cell>
          <cell r="K146" t="str">
            <v>SOUBRE</v>
          </cell>
          <cell r="L146" t="str">
            <v>NAWA</v>
          </cell>
          <cell r="M146" t="str">
            <v>SOUBRE</v>
          </cell>
          <cell r="N146" t="str">
            <v>UPCOUNTRY</v>
          </cell>
        </row>
        <row r="147">
          <cell r="B147" t="str">
            <v>AC150</v>
          </cell>
          <cell r="C147" t="str">
            <v>MEAGUI</v>
          </cell>
          <cell r="D147" t="str">
            <v>-6.553623</v>
          </cell>
          <cell r="E147" t="str">
            <v>5.39895</v>
          </cell>
          <cell r="F147" t="str">
            <v>2G/3G/4G</v>
          </cell>
          <cell r="G147" t="str">
            <v>HUAWEI</v>
          </cell>
          <cell r="H147" t="str">
            <v>IHS OCI</v>
          </cell>
          <cell r="I147" t="str">
            <v>MEAGUI</v>
          </cell>
          <cell r="J147" t="str">
            <v>MEAGUI</v>
          </cell>
          <cell r="K147" t="str">
            <v>MEAGUI</v>
          </cell>
          <cell r="L147" t="str">
            <v>NAWA</v>
          </cell>
          <cell r="M147" t="str">
            <v>SOUBRE</v>
          </cell>
          <cell r="N147" t="str">
            <v>UPCOUNTRY</v>
          </cell>
        </row>
        <row r="148">
          <cell r="B148" t="str">
            <v>AC151</v>
          </cell>
          <cell r="C148" t="str">
            <v>MEAGUI_WAWA</v>
          </cell>
          <cell r="D148" t="str">
            <v>-6.5618</v>
          </cell>
          <cell r="E148" t="str">
            <v>5.4155</v>
          </cell>
          <cell r="F148" t="str">
            <v>2G/3G/4G</v>
          </cell>
          <cell r="G148" t="str">
            <v>HUAWEI</v>
          </cell>
          <cell r="H148" t="str">
            <v>MOOV</v>
          </cell>
          <cell r="I148" t="str">
            <v>MEAGUI</v>
          </cell>
          <cell r="J148" t="str">
            <v>MEAGUI</v>
          </cell>
          <cell r="K148" t="str">
            <v>MEAGUI</v>
          </cell>
          <cell r="L148" t="str">
            <v>NAWA</v>
          </cell>
          <cell r="M148" t="str">
            <v>SOUBRE</v>
          </cell>
          <cell r="N148" t="str">
            <v>UPCOUNTRY</v>
          </cell>
        </row>
        <row r="149">
          <cell r="B149" t="str">
            <v>AC152</v>
          </cell>
          <cell r="C149" t="str">
            <v>SOTREF</v>
          </cell>
          <cell r="D149" t="str">
            <v>-6.6489</v>
          </cell>
          <cell r="E149" t="str">
            <v>4.7846</v>
          </cell>
          <cell r="F149" t="str">
            <v>2G/3G/4G</v>
          </cell>
          <cell r="G149" t="str">
            <v>ERICSSON</v>
          </cell>
          <cell r="H149" t="str">
            <v>MOOV</v>
          </cell>
          <cell r="I149" t="str">
            <v>SAN-PEDRO</v>
          </cell>
          <cell r="J149" t="str">
            <v>SAN-PEDRO</v>
          </cell>
          <cell r="K149" t="str">
            <v>SAN-PEDRO</v>
          </cell>
          <cell r="L149" t="str">
            <v>SAN-PEDRO</v>
          </cell>
          <cell r="M149" t="str">
            <v>SAN-PEDRO</v>
          </cell>
          <cell r="N149" t="str">
            <v>UPCOUNTRY</v>
          </cell>
        </row>
        <row r="150">
          <cell r="B150" t="str">
            <v>AC153</v>
          </cell>
          <cell r="C150" t="str">
            <v>SEWEKE</v>
          </cell>
          <cell r="D150" t="str">
            <v>-6.6456</v>
          </cell>
          <cell r="E150" t="str">
            <v>4.7625</v>
          </cell>
          <cell r="F150" t="str">
            <v>2G/3G/4G</v>
          </cell>
          <cell r="G150" t="str">
            <v>ERICSSON</v>
          </cell>
          <cell r="H150" t="str">
            <v>MOOV</v>
          </cell>
          <cell r="I150" t="str">
            <v>SAN-PEDRO</v>
          </cell>
          <cell r="J150" t="str">
            <v>SAN-PEDRO</v>
          </cell>
          <cell r="K150" t="str">
            <v>SAN-PEDRO</v>
          </cell>
          <cell r="L150" t="str">
            <v>SAN-PEDRO</v>
          </cell>
          <cell r="M150" t="str">
            <v>SAN-PEDRO</v>
          </cell>
          <cell r="N150" t="str">
            <v>UPCOUNTRY</v>
          </cell>
        </row>
        <row r="151">
          <cell r="B151" t="str">
            <v>AC154</v>
          </cell>
          <cell r="C151" t="str">
            <v>SAN_PEDRO_CIT</v>
          </cell>
          <cell r="D151" t="str">
            <v>-6.62337381</v>
          </cell>
          <cell r="E151" t="str">
            <v>4.7387082</v>
          </cell>
          <cell r="F151" t="str">
            <v>2G/3G/4G</v>
          </cell>
          <cell r="G151" t="str">
            <v>ERICSSON</v>
          </cell>
          <cell r="H151" t="str">
            <v>IHS (CIT)</v>
          </cell>
          <cell r="I151" t="str">
            <v>SAN-PEDRO</v>
          </cell>
          <cell r="J151" t="str">
            <v>SAN-PEDRO</v>
          </cell>
          <cell r="K151" t="str">
            <v>SAN-PEDRO</v>
          </cell>
          <cell r="L151" t="str">
            <v>SAN-PEDRO</v>
          </cell>
          <cell r="M151" t="str">
            <v>SAN-PEDRO</v>
          </cell>
          <cell r="N151" t="str">
            <v>UPCOUNTRY</v>
          </cell>
        </row>
        <row r="152">
          <cell r="B152" t="str">
            <v>AC155</v>
          </cell>
          <cell r="C152" t="str">
            <v>LAC</v>
          </cell>
          <cell r="D152" t="str">
            <v>-6.65</v>
          </cell>
          <cell r="E152" t="str">
            <v>4.7414</v>
          </cell>
          <cell r="F152" t="str">
            <v>2G/3G/4G</v>
          </cell>
          <cell r="G152" t="str">
            <v>ERICSSON</v>
          </cell>
          <cell r="H152" t="str">
            <v>MOOV</v>
          </cell>
          <cell r="I152" t="str">
            <v>SAN-PEDRO</v>
          </cell>
          <cell r="J152" t="str">
            <v>SAN-PEDRO</v>
          </cell>
          <cell r="K152" t="str">
            <v>SAN-PEDRO</v>
          </cell>
          <cell r="L152" t="str">
            <v>SAN-PEDRO</v>
          </cell>
          <cell r="M152" t="str">
            <v>SAN-PEDRO</v>
          </cell>
          <cell r="N152" t="str">
            <v>UPCOUNTRY</v>
          </cell>
        </row>
        <row r="153">
          <cell r="B153" t="str">
            <v>AC156</v>
          </cell>
          <cell r="C153" t="str">
            <v>DIAMOND</v>
          </cell>
          <cell r="D153" t="str">
            <v>-6.6304</v>
          </cell>
          <cell r="E153" t="str">
            <v>4.7515</v>
          </cell>
          <cell r="F153" t="str">
            <v>2G/3G/4G</v>
          </cell>
          <cell r="G153" t="str">
            <v>ERICSSON</v>
          </cell>
          <cell r="H153" t="str">
            <v>MOOV</v>
          </cell>
          <cell r="I153" t="str">
            <v>SAN-PEDRO</v>
          </cell>
          <cell r="J153" t="str">
            <v>SAN-PEDRO</v>
          </cell>
          <cell r="K153" t="str">
            <v>SAN-PEDRO</v>
          </cell>
          <cell r="L153" t="str">
            <v>SAN-PEDRO</v>
          </cell>
          <cell r="M153" t="str">
            <v>SAN-PEDRO</v>
          </cell>
          <cell r="N153" t="str">
            <v>UPCOUNTRY</v>
          </cell>
        </row>
        <row r="154">
          <cell r="B154" t="str">
            <v>AC157</v>
          </cell>
          <cell r="C154" t="str">
            <v>TANRY</v>
          </cell>
          <cell r="D154" t="str">
            <v>-6.6698</v>
          </cell>
          <cell r="E154" t="str">
            <v>4.7736</v>
          </cell>
          <cell r="F154" t="str">
            <v>2G/3G/4G</v>
          </cell>
          <cell r="G154" t="str">
            <v>ERICSSON</v>
          </cell>
          <cell r="H154" t="str">
            <v>MOOV</v>
          </cell>
          <cell r="I154" t="str">
            <v>SAN-PEDRO</v>
          </cell>
          <cell r="J154" t="str">
            <v>SAN-PEDRO</v>
          </cell>
          <cell r="K154" t="str">
            <v>SAN-PEDRO</v>
          </cell>
          <cell r="L154" t="str">
            <v>SAN-PEDRO</v>
          </cell>
          <cell r="M154" t="str">
            <v>SAN-PEDRO</v>
          </cell>
          <cell r="N154" t="str">
            <v>UPCOUNTRY</v>
          </cell>
        </row>
        <row r="155">
          <cell r="B155" t="str">
            <v>AC158</v>
          </cell>
          <cell r="C155" t="str">
            <v>ZIMBABWE</v>
          </cell>
          <cell r="D155" t="str">
            <v>-6.6676</v>
          </cell>
          <cell r="E155" t="str">
            <v>4.7577</v>
          </cell>
          <cell r="F155" t="str">
            <v>2G/3G/4G</v>
          </cell>
          <cell r="G155" t="str">
            <v>ERICSSON</v>
          </cell>
          <cell r="H155" t="str">
            <v>MOOV</v>
          </cell>
          <cell r="I155" t="str">
            <v>SAN-PEDRO</v>
          </cell>
          <cell r="J155" t="str">
            <v>SAN-PEDRO</v>
          </cell>
          <cell r="K155" t="str">
            <v>SAN-PEDRO</v>
          </cell>
          <cell r="L155" t="str">
            <v>SAN-PEDRO</v>
          </cell>
          <cell r="M155" t="str">
            <v>SAN-PEDRO</v>
          </cell>
          <cell r="N155" t="str">
            <v>UPCOUNTRY</v>
          </cell>
        </row>
        <row r="156">
          <cell r="B156" t="str">
            <v>AC159</v>
          </cell>
          <cell r="C156" t="str">
            <v>BALMER</v>
          </cell>
          <cell r="D156" t="str">
            <v>-6.6415</v>
          </cell>
          <cell r="E156" t="str">
            <v>4.7264</v>
          </cell>
          <cell r="F156" t="str">
            <v>2G/3G/4G</v>
          </cell>
          <cell r="G156" t="str">
            <v>ERICSSON</v>
          </cell>
          <cell r="H156" t="str">
            <v>IHS (OCI)</v>
          </cell>
          <cell r="I156" t="str">
            <v>SAN-PEDRO</v>
          </cell>
          <cell r="J156" t="str">
            <v>SAN-PEDRO</v>
          </cell>
          <cell r="K156" t="str">
            <v>SAN-PEDRO</v>
          </cell>
          <cell r="L156" t="str">
            <v>SAN-PEDRO</v>
          </cell>
          <cell r="M156" t="str">
            <v>SAN-PEDRO</v>
          </cell>
          <cell r="N156" t="str">
            <v>UPCOUNTRY</v>
          </cell>
        </row>
        <row r="157">
          <cell r="B157" t="str">
            <v>AC160</v>
          </cell>
          <cell r="C157" t="str">
            <v>GD_BEREBY</v>
          </cell>
          <cell r="D157" t="str">
            <v>-6.92930809</v>
          </cell>
          <cell r="E157" t="str">
            <v>4.64486555</v>
          </cell>
          <cell r="F157" t="str">
            <v>2G/3G/4G</v>
          </cell>
          <cell r="G157" t="str">
            <v>ERICSSON</v>
          </cell>
          <cell r="H157" t="str">
            <v>IHS (CIT)</v>
          </cell>
          <cell r="I157" t="str">
            <v>GRAND-BEREBY</v>
          </cell>
          <cell r="J157" t="str">
            <v>GRAND-BEREBY</v>
          </cell>
          <cell r="K157" t="str">
            <v>SAN-PEDRO</v>
          </cell>
          <cell r="L157" t="str">
            <v>SAN-PEDRO</v>
          </cell>
          <cell r="M157" t="str">
            <v>SAN-PEDRO</v>
          </cell>
          <cell r="N157" t="str">
            <v>UPCOUNTRY</v>
          </cell>
        </row>
        <row r="158">
          <cell r="B158" t="str">
            <v>AC161</v>
          </cell>
          <cell r="C158" t="str">
            <v>SASSANDRA</v>
          </cell>
          <cell r="D158" t="str">
            <v>-6.0925794</v>
          </cell>
          <cell r="E158" t="str">
            <v>4.95379642</v>
          </cell>
          <cell r="F158" t="str">
            <v>2G/3G/4G</v>
          </cell>
          <cell r="G158" t="str">
            <v>ERICSSON</v>
          </cell>
          <cell r="H158" t="str">
            <v>IHS (CIT)</v>
          </cell>
          <cell r="I158" t="str">
            <v>SASSANDRA</v>
          </cell>
          <cell r="J158" t="str">
            <v>SASSANDRA</v>
          </cell>
          <cell r="K158" t="str">
            <v>SASSANDRA</v>
          </cell>
          <cell r="L158" t="str">
            <v>GBOKLE</v>
          </cell>
          <cell r="M158" t="str">
            <v>SAN-PEDRO</v>
          </cell>
          <cell r="N158" t="str">
            <v>UPCOUNTRY</v>
          </cell>
        </row>
        <row r="159">
          <cell r="B159" t="str">
            <v>AC162</v>
          </cell>
          <cell r="C159" t="str">
            <v>FRESCO</v>
          </cell>
          <cell r="D159" t="str">
            <v>-5.58595047</v>
          </cell>
          <cell r="E159" t="str">
            <v>5.10314843</v>
          </cell>
          <cell r="F159" t="str">
            <v>2G/3G/4G</v>
          </cell>
          <cell r="G159" t="str">
            <v>ERICSSON</v>
          </cell>
          <cell r="H159" t="str">
            <v>IHS (CIT)</v>
          </cell>
          <cell r="I159" t="str">
            <v>FRESCO</v>
          </cell>
          <cell r="J159" t="str">
            <v>FRESCO</v>
          </cell>
          <cell r="K159" t="str">
            <v>GBOKLE</v>
          </cell>
          <cell r="L159" t="str">
            <v>GBOKLE</v>
          </cell>
          <cell r="M159" t="str">
            <v>SAN-PEDRO</v>
          </cell>
          <cell r="N159" t="str">
            <v>UPCOUNTRY</v>
          </cell>
        </row>
        <row r="160">
          <cell r="B160" t="str">
            <v>AC163</v>
          </cell>
          <cell r="C160" t="str">
            <v>GD_LAHOU</v>
          </cell>
          <cell r="D160" t="str">
            <v>-5.00726332</v>
          </cell>
          <cell r="E160" t="str">
            <v>5.25685571</v>
          </cell>
          <cell r="F160" t="str">
            <v>2G/3G/4G</v>
          </cell>
          <cell r="G160" t="str">
            <v>ERICSSON</v>
          </cell>
          <cell r="H160" t="str">
            <v>IHS (CIT)</v>
          </cell>
          <cell r="I160" t="str">
            <v>GRAND-LAHOU</v>
          </cell>
          <cell r="J160" t="str">
            <v>GRAND-LAHOU</v>
          </cell>
          <cell r="K160" t="str">
            <v>GRAND-LAHOU</v>
          </cell>
          <cell r="L160" t="str">
            <v>GRANDS-PONTS</v>
          </cell>
          <cell r="M160" t="str">
            <v>YOPOUGON FICGAYO</v>
          </cell>
          <cell r="N160" t="str">
            <v>UPCOUNTRY</v>
          </cell>
        </row>
        <row r="161">
          <cell r="B161" t="str">
            <v>AC164</v>
          </cell>
          <cell r="C161" t="str">
            <v>DABOU</v>
          </cell>
          <cell r="D161" t="str">
            <v>-4.3775</v>
          </cell>
          <cell r="E161" t="str">
            <v>5.323</v>
          </cell>
          <cell r="F161" t="str">
            <v>2G/3G/4G</v>
          </cell>
          <cell r="G161" t="str">
            <v>ERICSSON</v>
          </cell>
          <cell r="H161" t="str">
            <v>MOOV</v>
          </cell>
          <cell r="I161" t="str">
            <v>DABOU</v>
          </cell>
          <cell r="J161" t="str">
            <v>DABOU</v>
          </cell>
          <cell r="K161" t="str">
            <v>DABOU</v>
          </cell>
          <cell r="L161" t="str">
            <v>GRANDS-PONTS</v>
          </cell>
          <cell r="M161" t="str">
            <v>YOPOUGON FICGAYO</v>
          </cell>
          <cell r="N161" t="str">
            <v>UPCOUNTRY</v>
          </cell>
        </row>
        <row r="162">
          <cell r="B162" t="str">
            <v>AC165</v>
          </cell>
          <cell r="C162" t="str">
            <v>BONOUA</v>
          </cell>
          <cell r="D162" t="str">
            <v>-3.5962</v>
          </cell>
          <cell r="E162" t="str">
            <v>5.26468</v>
          </cell>
          <cell r="F162" t="str">
            <v>2G/3G/4G</v>
          </cell>
          <cell r="G162" t="str">
            <v>HUAWEI</v>
          </cell>
          <cell r="H162" t="str">
            <v>IHS (CIT)</v>
          </cell>
          <cell r="I162" t="str">
            <v>BONOUA</v>
          </cell>
          <cell r="J162" t="str">
            <v>BONOUA</v>
          </cell>
          <cell r="K162" t="str">
            <v>GRAND-BASSAM</v>
          </cell>
          <cell r="L162" t="str">
            <v>SUD-COMOE</v>
          </cell>
          <cell r="M162" t="str">
            <v>MARCORY</v>
          </cell>
          <cell r="N162" t="str">
            <v>UPCOUNTRY</v>
          </cell>
        </row>
        <row r="163">
          <cell r="B163" t="str">
            <v>AC166</v>
          </cell>
          <cell r="C163" t="str">
            <v>ABOISSO</v>
          </cell>
          <cell r="D163" t="str">
            <v>-3.20109713</v>
          </cell>
          <cell r="E163" t="str">
            <v>5.46725449</v>
          </cell>
          <cell r="F163" t="str">
            <v>2G/3G/4G</v>
          </cell>
          <cell r="G163" t="str">
            <v>ERICSSON</v>
          </cell>
          <cell r="H163" t="str">
            <v>IDT</v>
          </cell>
          <cell r="I163" t="str">
            <v>ABOISSO</v>
          </cell>
          <cell r="J163" t="str">
            <v>ABOISSO</v>
          </cell>
          <cell r="K163" t="str">
            <v>ABOISSO</v>
          </cell>
          <cell r="L163" t="str">
            <v>SUD-COMOE</v>
          </cell>
          <cell r="M163" t="str">
            <v>MARCORY</v>
          </cell>
          <cell r="N163" t="str">
            <v>UPCOUNTRY</v>
          </cell>
        </row>
        <row r="164">
          <cell r="B164" t="str">
            <v>AC167</v>
          </cell>
          <cell r="C164" t="str">
            <v>MAFIA</v>
          </cell>
          <cell r="D164" t="str">
            <v>-3.28925</v>
          </cell>
          <cell r="E164" t="str">
            <v>5.13826</v>
          </cell>
          <cell r="F164" t="str">
            <v>2G/3G/4G</v>
          </cell>
          <cell r="G164" t="str">
            <v>HUAWEI</v>
          </cell>
          <cell r="H164" t="str">
            <v>MOOV</v>
          </cell>
          <cell r="I164" t="str">
            <v>ASSINIE-MAFIA</v>
          </cell>
          <cell r="J164" t="str">
            <v>ASSINIE-MAFIA</v>
          </cell>
          <cell r="K164" t="str">
            <v>ADIAKE</v>
          </cell>
          <cell r="L164" t="str">
            <v>SUD-COMOE</v>
          </cell>
          <cell r="M164" t="str">
            <v>MARCORY</v>
          </cell>
          <cell r="N164" t="str">
            <v>UPCOUNTRY</v>
          </cell>
        </row>
        <row r="165">
          <cell r="B165" t="str">
            <v>AC168</v>
          </cell>
          <cell r="C165" t="str">
            <v>ASSINIE</v>
          </cell>
          <cell r="D165" t="str">
            <v>-3.40678</v>
          </cell>
          <cell r="E165" t="str">
            <v>5.15454</v>
          </cell>
          <cell r="F165" t="str">
            <v>2G/3G/4G</v>
          </cell>
          <cell r="G165" t="str">
            <v>HUAWEI</v>
          </cell>
          <cell r="H165" t="str">
            <v>MOOV</v>
          </cell>
          <cell r="I165" t="str">
            <v>ASSINIE</v>
          </cell>
          <cell r="J165" t="str">
            <v>ASSINIE-MAFIA</v>
          </cell>
          <cell r="K165" t="str">
            <v>ADIAKE</v>
          </cell>
          <cell r="L165" t="str">
            <v>SUD-COMOE</v>
          </cell>
          <cell r="M165" t="str">
            <v>MARCORY</v>
          </cell>
          <cell r="N165" t="str">
            <v>UPCOUNTRY</v>
          </cell>
        </row>
        <row r="166">
          <cell r="B166" t="str">
            <v>AC169</v>
          </cell>
          <cell r="C166" t="str">
            <v>ADIAKE</v>
          </cell>
          <cell r="D166" t="str">
            <v>-3.30572588</v>
          </cell>
          <cell r="E166" t="str">
            <v>5.28747666</v>
          </cell>
          <cell r="F166" t="str">
            <v>2G/3G/4G</v>
          </cell>
          <cell r="G166" t="str">
            <v>ERICSSON</v>
          </cell>
          <cell r="H166" t="str">
            <v>MOOV</v>
          </cell>
          <cell r="I166" t="str">
            <v>ADIAKE</v>
          </cell>
          <cell r="J166" t="str">
            <v>ADIAKE</v>
          </cell>
          <cell r="K166" t="str">
            <v>ADIAKE</v>
          </cell>
          <cell r="L166" t="str">
            <v>SUD-COMOE</v>
          </cell>
          <cell r="M166" t="str">
            <v>MARCORY</v>
          </cell>
          <cell r="N166" t="str">
            <v>UPCOUNTRY</v>
          </cell>
        </row>
        <row r="167">
          <cell r="B167" t="str">
            <v>AC170</v>
          </cell>
          <cell r="C167" t="str">
            <v>AYAME</v>
          </cell>
          <cell r="D167" t="str">
            <v>-3.159003</v>
          </cell>
          <cell r="E167" t="str">
            <v>5.607668</v>
          </cell>
          <cell r="F167" t="str">
            <v>2G/3G/4G</v>
          </cell>
          <cell r="G167" t="str">
            <v>ERICSSON</v>
          </cell>
          <cell r="H167" t="str">
            <v>IHS (OCI)</v>
          </cell>
          <cell r="I167" t="str">
            <v>AYAME</v>
          </cell>
          <cell r="J167" t="str">
            <v>AYAME</v>
          </cell>
          <cell r="K167" t="str">
            <v>ABOISSO</v>
          </cell>
          <cell r="L167" t="str">
            <v>SUD-COMOE</v>
          </cell>
          <cell r="M167" t="str">
            <v>MARCORY</v>
          </cell>
          <cell r="N167" t="str">
            <v>UPCOUNTRY</v>
          </cell>
        </row>
        <row r="168">
          <cell r="B168" t="str">
            <v>AC171</v>
          </cell>
          <cell r="C168" t="str">
            <v>ADZOPE</v>
          </cell>
          <cell r="D168" t="str">
            <v>-3.86048899</v>
          </cell>
          <cell r="E168" t="str">
            <v>6.0991788</v>
          </cell>
          <cell r="F168" t="str">
            <v>2G/3G/4G</v>
          </cell>
          <cell r="G168" t="str">
            <v>ERICSSON</v>
          </cell>
          <cell r="H168" t="str">
            <v>MOOV</v>
          </cell>
          <cell r="I168" t="str">
            <v>ADZOPE</v>
          </cell>
          <cell r="J168" t="str">
            <v>ADZOPE</v>
          </cell>
          <cell r="K168" t="str">
            <v>ADZOPE</v>
          </cell>
          <cell r="L168" t="str">
            <v>LA ME</v>
          </cell>
          <cell r="M168" t="str">
            <v>ABENGOUROU</v>
          </cell>
          <cell r="N168" t="str">
            <v>UPCOUNTRY</v>
          </cell>
        </row>
        <row r="169">
          <cell r="B169" t="str">
            <v>AC172</v>
          </cell>
          <cell r="C169" t="str">
            <v>MASSIMBA</v>
          </cell>
          <cell r="D169" t="str">
            <v>-3.86857358</v>
          </cell>
          <cell r="E169" t="str">
            <v>6.11406337</v>
          </cell>
          <cell r="F169" t="str">
            <v>2G/3G/4G</v>
          </cell>
          <cell r="G169" t="str">
            <v>ERICSSON</v>
          </cell>
          <cell r="H169" t="str">
            <v>MOOV</v>
          </cell>
          <cell r="I169" t="str">
            <v>ADZOPE</v>
          </cell>
          <cell r="J169" t="str">
            <v>ADZOPE</v>
          </cell>
          <cell r="K169" t="str">
            <v>ADZOPE</v>
          </cell>
          <cell r="L169" t="str">
            <v>LA ME</v>
          </cell>
          <cell r="M169" t="str">
            <v>ABENGOUROU</v>
          </cell>
          <cell r="N169" t="str">
            <v>UPCOUNTRY</v>
          </cell>
        </row>
        <row r="170">
          <cell r="B170" t="str">
            <v>AC173</v>
          </cell>
          <cell r="C170" t="str">
            <v>AKOUPE</v>
          </cell>
          <cell r="D170" t="str">
            <v>-3.8856593</v>
          </cell>
          <cell r="E170" t="str">
            <v>6.38121188</v>
          </cell>
          <cell r="F170" t="str">
            <v>2G/3G/4G</v>
          </cell>
          <cell r="G170" t="str">
            <v>ERICSSON</v>
          </cell>
          <cell r="H170" t="str">
            <v>MOOV</v>
          </cell>
          <cell r="I170" t="str">
            <v>AKOUPE</v>
          </cell>
          <cell r="J170" t="str">
            <v>AKOUPE</v>
          </cell>
          <cell r="K170" t="str">
            <v>AKOUPE</v>
          </cell>
          <cell r="L170" t="str">
            <v>LA ME</v>
          </cell>
          <cell r="M170" t="str">
            <v>ABENGOUROU</v>
          </cell>
          <cell r="N170" t="str">
            <v>UPCOUNTRY</v>
          </cell>
        </row>
        <row r="171">
          <cell r="B171" t="str">
            <v>AC174</v>
          </cell>
          <cell r="C171" t="str">
            <v>AFFERY</v>
          </cell>
          <cell r="D171" t="str">
            <v>-3.94960375</v>
          </cell>
          <cell r="E171" t="str">
            <v>6.32457591</v>
          </cell>
          <cell r="F171" t="str">
            <v>2G/3G/4G</v>
          </cell>
          <cell r="G171" t="str">
            <v>ERICSSON</v>
          </cell>
          <cell r="H171" t="str">
            <v>MOOV</v>
          </cell>
          <cell r="I171" t="str">
            <v>AFFERY</v>
          </cell>
          <cell r="J171" t="str">
            <v>AFFERY</v>
          </cell>
          <cell r="K171" t="str">
            <v>AKOUPE</v>
          </cell>
          <cell r="L171" t="str">
            <v>LA ME</v>
          </cell>
          <cell r="M171" t="str">
            <v>ABENGOUROU</v>
          </cell>
          <cell r="N171" t="str">
            <v>UPCOUNTRY</v>
          </cell>
        </row>
        <row r="172">
          <cell r="B172" t="str">
            <v>AC175</v>
          </cell>
          <cell r="C172" t="str">
            <v>CHATEAU</v>
          </cell>
          <cell r="D172" t="str">
            <v>-3.49832951</v>
          </cell>
          <cell r="E172" t="str">
            <v>6.72748042</v>
          </cell>
          <cell r="F172" t="str">
            <v>2G/3G/4G</v>
          </cell>
          <cell r="G172" t="str">
            <v>ERICSSON</v>
          </cell>
          <cell r="H172" t="str">
            <v>MOOV</v>
          </cell>
          <cell r="I172" t="str">
            <v>ABENGOUROU</v>
          </cell>
          <cell r="J172" t="str">
            <v>ABENGOUROU</v>
          </cell>
          <cell r="K172" t="str">
            <v>ABENGOUROU</v>
          </cell>
          <cell r="L172" t="str">
            <v>INDENIE-DJUABLIN</v>
          </cell>
          <cell r="M172" t="str">
            <v>ABENGOUROU</v>
          </cell>
          <cell r="N172" t="str">
            <v>UPCOUNTRY</v>
          </cell>
        </row>
        <row r="173">
          <cell r="B173" t="str">
            <v>AC176</v>
          </cell>
          <cell r="C173" t="str">
            <v>LOBIKRO</v>
          </cell>
          <cell r="D173" t="str">
            <v>-3.50617128</v>
          </cell>
          <cell r="E173" t="str">
            <v>6.74194552</v>
          </cell>
          <cell r="F173" t="str">
            <v>2G/3G/4G</v>
          </cell>
          <cell r="G173" t="str">
            <v>ERICSSON</v>
          </cell>
          <cell r="H173" t="str">
            <v>MOOV</v>
          </cell>
          <cell r="I173" t="str">
            <v>ABENGOUROU</v>
          </cell>
          <cell r="J173" t="str">
            <v>ABENGOUROU</v>
          </cell>
          <cell r="K173" t="str">
            <v>ABENGOUROU</v>
          </cell>
          <cell r="L173" t="str">
            <v>INDENIE-DJUABLIN</v>
          </cell>
          <cell r="M173" t="str">
            <v>ABENGOUROU</v>
          </cell>
          <cell r="N173" t="str">
            <v>UPCOUNTRY</v>
          </cell>
        </row>
        <row r="174">
          <cell r="B174" t="str">
            <v>AC177</v>
          </cell>
          <cell r="C174" t="str">
            <v>ABENG_ADAOU</v>
          </cell>
          <cell r="D174" t="str">
            <v>-3.51480091</v>
          </cell>
          <cell r="E174" t="str">
            <v>6.72221685</v>
          </cell>
          <cell r="F174" t="str">
            <v>2G/3G/4G</v>
          </cell>
          <cell r="G174" t="str">
            <v>ERICSSON</v>
          </cell>
          <cell r="H174" t="str">
            <v>MOOV</v>
          </cell>
          <cell r="I174" t="str">
            <v>ABENGOUROU</v>
          </cell>
          <cell r="J174" t="str">
            <v>ABENGOUROU</v>
          </cell>
          <cell r="K174" t="str">
            <v>ABENGOUROU</v>
          </cell>
          <cell r="L174" t="str">
            <v>INDENIE-DJUABLIN</v>
          </cell>
          <cell r="M174" t="str">
            <v>ABENGOUROU</v>
          </cell>
          <cell r="N174" t="str">
            <v>UPCOUNTRY</v>
          </cell>
        </row>
        <row r="175">
          <cell r="B175" t="str">
            <v>AC178</v>
          </cell>
          <cell r="C175" t="str">
            <v>AGNIKRO</v>
          </cell>
          <cell r="D175" t="str">
            <v>-3.47551729</v>
          </cell>
          <cell r="E175" t="str">
            <v>6.72602867</v>
          </cell>
          <cell r="F175" t="str">
            <v>2G/3G/4G</v>
          </cell>
          <cell r="G175" t="str">
            <v>ERICSSON</v>
          </cell>
          <cell r="H175" t="str">
            <v>MOOV</v>
          </cell>
          <cell r="I175" t="str">
            <v>ABENGOUROU</v>
          </cell>
          <cell r="J175" t="str">
            <v>ABENGOUROU</v>
          </cell>
          <cell r="K175" t="str">
            <v>ABENGOUROU</v>
          </cell>
          <cell r="L175" t="str">
            <v>INDENIE-DJUABLIN</v>
          </cell>
          <cell r="M175" t="str">
            <v>ABENGOUROU</v>
          </cell>
          <cell r="N175" t="str">
            <v>UPCOUNTRY</v>
          </cell>
        </row>
        <row r="176">
          <cell r="B176" t="str">
            <v>AC179</v>
          </cell>
          <cell r="C176" t="str">
            <v>NIABLE</v>
          </cell>
          <cell r="D176" t="str">
            <v>-3.26799769</v>
          </cell>
          <cell r="E176" t="str">
            <v>6.65389082</v>
          </cell>
          <cell r="F176" t="str">
            <v>2G/3G/4G</v>
          </cell>
          <cell r="G176" t="str">
            <v>ERICSSON</v>
          </cell>
          <cell r="H176" t="str">
            <v>IHS (CIT)</v>
          </cell>
          <cell r="I176" t="str">
            <v>NIABLE</v>
          </cell>
          <cell r="J176" t="str">
            <v>NIABLE</v>
          </cell>
          <cell r="K176" t="str">
            <v>ABENGOUROU</v>
          </cell>
          <cell r="L176" t="str">
            <v>INDENIE-DJUABLIN</v>
          </cell>
          <cell r="M176" t="str">
            <v>ABENGOUROU</v>
          </cell>
          <cell r="N176" t="str">
            <v>UPCOUNTRY</v>
          </cell>
        </row>
        <row r="177">
          <cell r="B177" t="str">
            <v>AC180</v>
          </cell>
          <cell r="C177" t="str">
            <v>AGNIBILEKROU</v>
          </cell>
          <cell r="D177" t="str">
            <v>-3.202748</v>
          </cell>
          <cell r="E177" t="str">
            <v>7.139421</v>
          </cell>
          <cell r="F177" t="str">
            <v>2G/3G/4G</v>
          </cell>
          <cell r="G177" t="str">
            <v>ERICSSON</v>
          </cell>
          <cell r="H177" t="str">
            <v>MOOV</v>
          </cell>
          <cell r="I177" t="str">
            <v>AGNIBILEKROU</v>
          </cell>
          <cell r="J177" t="str">
            <v>AGNIBILEKROU</v>
          </cell>
          <cell r="K177" t="str">
            <v>AGNIBILEKROU</v>
          </cell>
          <cell r="L177" t="str">
            <v>INDENIE-DJUABLIN</v>
          </cell>
          <cell r="M177" t="str">
            <v>ABENGOUROU</v>
          </cell>
          <cell r="N177" t="str">
            <v>UPCOUNTRY</v>
          </cell>
        </row>
        <row r="178">
          <cell r="B178" t="str">
            <v>AC181</v>
          </cell>
          <cell r="C178" t="str">
            <v>TANDA</v>
          </cell>
          <cell r="D178" t="str">
            <v>-3.17080652</v>
          </cell>
          <cell r="E178" t="str">
            <v>7.79610626</v>
          </cell>
          <cell r="F178" t="str">
            <v>2G/3G/4G</v>
          </cell>
          <cell r="G178" t="str">
            <v>ERICSSON</v>
          </cell>
          <cell r="H178" t="str">
            <v>IHS (CIT)</v>
          </cell>
          <cell r="I178" t="str">
            <v>TANDA</v>
          </cell>
          <cell r="J178" t="str">
            <v>TANDA</v>
          </cell>
          <cell r="K178" t="str">
            <v>TANDA</v>
          </cell>
          <cell r="L178" t="str">
            <v>GONTOUGO</v>
          </cell>
          <cell r="M178" t="str">
            <v>ABENGOUROU</v>
          </cell>
          <cell r="N178" t="str">
            <v>UPCOUNTRY</v>
          </cell>
        </row>
        <row r="179">
          <cell r="B179" t="str">
            <v>AC182</v>
          </cell>
          <cell r="C179" t="str">
            <v>BONDOUKOU</v>
          </cell>
          <cell r="D179" t="str">
            <v>-2.806361</v>
          </cell>
          <cell r="E179" t="str">
            <v>8.030906</v>
          </cell>
          <cell r="F179" t="str">
            <v>2G/3G/4G</v>
          </cell>
          <cell r="G179" t="str">
            <v>ERICSSON</v>
          </cell>
          <cell r="H179" t="str">
            <v>MOOV</v>
          </cell>
          <cell r="I179" t="str">
            <v>BONDOUKOU</v>
          </cell>
          <cell r="J179" t="str">
            <v>BONDOUKOU</v>
          </cell>
          <cell r="K179" t="str">
            <v>BONDOUKOU</v>
          </cell>
          <cell r="L179" t="str">
            <v>GONTOUGO</v>
          </cell>
          <cell r="M179" t="str">
            <v>ABENGOUROU</v>
          </cell>
          <cell r="N179" t="str">
            <v>UPCOUNTRY</v>
          </cell>
        </row>
        <row r="180">
          <cell r="B180" t="str">
            <v>AC183</v>
          </cell>
          <cell r="C180" t="str">
            <v>DJIMINISSO</v>
          </cell>
          <cell r="D180" t="str">
            <v>-2.79949743</v>
          </cell>
          <cell r="E180" t="str">
            <v>8.04194185</v>
          </cell>
          <cell r="F180" t="str">
            <v>2G/3G/4G</v>
          </cell>
          <cell r="G180" t="str">
            <v>ERICSSON</v>
          </cell>
          <cell r="H180" t="str">
            <v>MOOV</v>
          </cell>
          <cell r="I180" t="str">
            <v>BONDOUKOU</v>
          </cell>
          <cell r="J180" t="str">
            <v>BONDOUKOU</v>
          </cell>
          <cell r="K180" t="str">
            <v>BONDOUKOU</v>
          </cell>
          <cell r="L180" t="str">
            <v>GONTOUGO</v>
          </cell>
          <cell r="M180" t="str">
            <v>ABENGOUROU</v>
          </cell>
          <cell r="N180" t="str">
            <v>UPCOUNTRY</v>
          </cell>
        </row>
        <row r="181">
          <cell r="B181" t="str">
            <v>AC184</v>
          </cell>
          <cell r="C181" t="str">
            <v>ARRAH</v>
          </cell>
          <cell r="D181" t="str">
            <v>-3.97066733</v>
          </cell>
          <cell r="E181" t="str">
            <v>6.68277735</v>
          </cell>
          <cell r="F181" t="str">
            <v>2G/3G/4G</v>
          </cell>
          <cell r="G181" t="str">
            <v>ERICSSON</v>
          </cell>
          <cell r="H181" t="str">
            <v>MOOV</v>
          </cell>
          <cell r="I181" t="str">
            <v>ARRAH</v>
          </cell>
          <cell r="J181" t="str">
            <v>ARRAH</v>
          </cell>
          <cell r="K181" t="str">
            <v>ARRAH</v>
          </cell>
          <cell r="L181" t="str">
            <v>MORONOU</v>
          </cell>
          <cell r="M181" t="str">
            <v>ABENGOUROU</v>
          </cell>
          <cell r="N181" t="str">
            <v>UPCOUNTRY</v>
          </cell>
        </row>
        <row r="182">
          <cell r="B182" t="str">
            <v>AC185</v>
          </cell>
          <cell r="C182" t="str">
            <v>DAOUKRO</v>
          </cell>
          <cell r="D182" t="str">
            <v>-3.963042</v>
          </cell>
          <cell r="E182" t="str">
            <v>7.056722</v>
          </cell>
          <cell r="F182" t="str">
            <v>2G/3G/4G</v>
          </cell>
          <cell r="G182" t="str">
            <v>HUAWEI</v>
          </cell>
          <cell r="H182" t="str">
            <v>MOOV</v>
          </cell>
          <cell r="I182" t="str">
            <v>DAOUKRO</v>
          </cell>
          <cell r="J182" t="str">
            <v>DAOUKRO</v>
          </cell>
          <cell r="K182" t="str">
            <v>DAOUKRO</v>
          </cell>
          <cell r="L182" t="str">
            <v>IFFOU</v>
          </cell>
          <cell r="M182" t="str">
            <v>ABENGOUROU</v>
          </cell>
          <cell r="N182" t="str">
            <v>UPCOUNTRY</v>
          </cell>
        </row>
        <row r="183">
          <cell r="B183" t="str">
            <v>AC186</v>
          </cell>
          <cell r="C183" t="str">
            <v>MBAHIAKRO</v>
          </cell>
          <cell r="D183" t="str">
            <v>-4.3417694</v>
          </cell>
          <cell r="E183" t="str">
            <v>7.4535067</v>
          </cell>
          <cell r="F183" t="str">
            <v>2G/3G/4G</v>
          </cell>
          <cell r="G183" t="str">
            <v>HUAWEI</v>
          </cell>
          <cell r="H183" t="str">
            <v>MOOV</v>
          </cell>
          <cell r="I183" t="str">
            <v>MBAHIAKRO</v>
          </cell>
          <cell r="J183" t="str">
            <v>M'BAHIAKRO</v>
          </cell>
          <cell r="K183" t="str">
            <v>M'BAHIAKRO</v>
          </cell>
          <cell r="L183" t="str">
            <v>IFFOU</v>
          </cell>
          <cell r="M183" t="str">
            <v>BOUAKE</v>
          </cell>
          <cell r="N183" t="str">
            <v>UPCOUNTRY</v>
          </cell>
        </row>
        <row r="184">
          <cell r="B184" t="str">
            <v>AC187</v>
          </cell>
          <cell r="C184" t="str">
            <v>BOCANDA</v>
          </cell>
          <cell r="D184" t="str">
            <v>-4.499609</v>
          </cell>
          <cell r="E184" t="str">
            <v>7.06733</v>
          </cell>
          <cell r="F184" t="str">
            <v>2G/3G/4G</v>
          </cell>
          <cell r="G184" t="str">
            <v>HUAWEI</v>
          </cell>
          <cell r="H184" t="str">
            <v>IHS (CIT)</v>
          </cell>
          <cell r="I184" t="str">
            <v>BOCANDA</v>
          </cell>
          <cell r="J184" t="str">
            <v>BOCANDA</v>
          </cell>
          <cell r="K184" t="str">
            <v>BOCANDA</v>
          </cell>
          <cell r="L184" t="str">
            <v>N'ZI</v>
          </cell>
          <cell r="M184" t="str">
            <v>YAMOUSSOUKRO</v>
          </cell>
          <cell r="N184" t="str">
            <v>UPCOUNTRY</v>
          </cell>
        </row>
        <row r="185">
          <cell r="B185" t="str">
            <v>AC188</v>
          </cell>
          <cell r="C185" t="str">
            <v>DIMBOKRO</v>
          </cell>
          <cell r="D185" t="str">
            <v>-4.706065</v>
          </cell>
          <cell r="E185" t="str">
            <v>6.649023</v>
          </cell>
          <cell r="F185" t="str">
            <v>2G/3G/4G</v>
          </cell>
          <cell r="G185" t="str">
            <v>HUAWEI</v>
          </cell>
          <cell r="H185" t="str">
            <v>IHS (CIT)</v>
          </cell>
          <cell r="I185" t="str">
            <v>DIMBOKRO</v>
          </cell>
          <cell r="J185" t="str">
            <v>DIMBOKRO</v>
          </cell>
          <cell r="K185" t="str">
            <v>DIMBOKRO</v>
          </cell>
          <cell r="L185" t="str">
            <v>N'ZI</v>
          </cell>
          <cell r="M185" t="str">
            <v>YAMOUSSOUKRO</v>
          </cell>
          <cell r="N185" t="str">
            <v>UPCOUNTRY</v>
          </cell>
        </row>
        <row r="186">
          <cell r="B186" t="str">
            <v>AC189</v>
          </cell>
          <cell r="C186" t="str">
            <v>DIMBOKRO_UTEXI</v>
          </cell>
          <cell r="D186" t="str">
            <v>-4.7279</v>
          </cell>
          <cell r="E186" t="str">
            <v>6.6581</v>
          </cell>
          <cell r="F186" t="str">
            <v>2G/3G/4G</v>
          </cell>
          <cell r="G186" t="str">
            <v>HUAWEI</v>
          </cell>
          <cell r="H186" t="str">
            <v>MOOV</v>
          </cell>
          <cell r="I186" t="str">
            <v>DIMBOKRO</v>
          </cell>
          <cell r="J186" t="str">
            <v>DIMBOKRO</v>
          </cell>
          <cell r="K186" t="str">
            <v>DIMBOKRO</v>
          </cell>
          <cell r="L186" t="str">
            <v>N'ZI</v>
          </cell>
          <cell r="M186" t="str">
            <v>YAMOUSSOUKRO</v>
          </cell>
          <cell r="N186" t="str">
            <v>UPCOUNTRY</v>
          </cell>
        </row>
        <row r="187">
          <cell r="B187" t="str">
            <v>AC190</v>
          </cell>
          <cell r="C187" t="str">
            <v>BONGOUANOU</v>
          </cell>
          <cell r="D187" t="str">
            <v>-4.204924</v>
          </cell>
          <cell r="E187" t="str">
            <v>6.658489</v>
          </cell>
          <cell r="F187" t="str">
            <v>2G/3G/4G</v>
          </cell>
          <cell r="G187" t="str">
            <v>HUAWEI</v>
          </cell>
          <cell r="H187" t="str">
            <v>MOOV</v>
          </cell>
          <cell r="I187" t="str">
            <v>BONGOUANOU</v>
          </cell>
          <cell r="J187" t="str">
            <v>BONGOUANOU</v>
          </cell>
          <cell r="K187" t="str">
            <v>BONGOUANOU</v>
          </cell>
          <cell r="L187" t="str">
            <v>MORONOU</v>
          </cell>
          <cell r="M187" t="str">
            <v>ABENGOUROU</v>
          </cell>
          <cell r="N187" t="str">
            <v>UPCOUNTRY</v>
          </cell>
        </row>
        <row r="188">
          <cell r="B188" t="str">
            <v>AC191</v>
          </cell>
          <cell r="C188" t="str">
            <v>AZAGUIE</v>
          </cell>
          <cell r="D188" t="str">
            <v>-4.06900376</v>
          </cell>
          <cell r="E188" t="str">
            <v>5.64055906</v>
          </cell>
          <cell r="F188" t="str">
            <v>2G/3G/4G</v>
          </cell>
          <cell r="G188" t="str">
            <v>ERICSSON</v>
          </cell>
          <cell r="H188" t="str">
            <v>IHS (CIT)</v>
          </cell>
          <cell r="I188" t="str">
            <v>AZAGUIE</v>
          </cell>
          <cell r="J188" t="str">
            <v>AZAGUIE</v>
          </cell>
          <cell r="K188" t="str">
            <v>AGBOVILLE</v>
          </cell>
          <cell r="L188" t="str">
            <v>AGNEBY-TIASSA</v>
          </cell>
          <cell r="M188" t="str">
            <v>ABOBO</v>
          </cell>
          <cell r="N188" t="str">
            <v>UPCOUNTRY</v>
          </cell>
        </row>
        <row r="189">
          <cell r="B189" t="str">
            <v>AC192</v>
          </cell>
          <cell r="C189" t="str">
            <v>AGBOVILLE</v>
          </cell>
          <cell r="D189" t="str">
            <v>-4.21214062</v>
          </cell>
          <cell r="E189" t="str">
            <v>5.92499601</v>
          </cell>
          <cell r="F189" t="str">
            <v>2G/3G/4G</v>
          </cell>
          <cell r="G189" t="str">
            <v>ERICSSON</v>
          </cell>
          <cell r="H189" t="str">
            <v>MOOV</v>
          </cell>
          <cell r="I189" t="str">
            <v>AGBOVILLE</v>
          </cell>
          <cell r="J189" t="str">
            <v>AGBOVILLE</v>
          </cell>
          <cell r="K189" t="str">
            <v>AGBOVILLE</v>
          </cell>
          <cell r="L189" t="str">
            <v>AGNEBY-TIASSA</v>
          </cell>
          <cell r="M189" t="str">
            <v>ABOBO</v>
          </cell>
          <cell r="N189" t="str">
            <v>UPCOUNTRY</v>
          </cell>
        </row>
        <row r="190">
          <cell r="B190" t="str">
            <v>AC193</v>
          </cell>
          <cell r="C190" t="str">
            <v>LYCEE</v>
          </cell>
          <cell r="D190" t="str">
            <v>-4.204152°</v>
          </cell>
          <cell r="E190" t="str">
            <v>5.939583°</v>
          </cell>
          <cell r="F190" t="str">
            <v>2G/3G/4G</v>
          </cell>
          <cell r="G190" t="str">
            <v>ERICSSON</v>
          </cell>
          <cell r="H190" t="str">
            <v>MOOV</v>
          </cell>
          <cell r="I190" t="str">
            <v>AGBOVILLE</v>
          </cell>
          <cell r="J190" t="str">
            <v>AGBOVILLE</v>
          </cell>
          <cell r="K190" t="str">
            <v>AGBOVILLE</v>
          </cell>
          <cell r="L190" t="str">
            <v>AGNEBY-TIASSA</v>
          </cell>
          <cell r="M190" t="str">
            <v>ABOBO</v>
          </cell>
          <cell r="N190" t="str">
            <v>UPCOUNTRY</v>
          </cell>
        </row>
        <row r="191">
          <cell r="B191" t="str">
            <v>AC194</v>
          </cell>
          <cell r="C191" t="str">
            <v>SIKENSI</v>
          </cell>
          <cell r="D191" t="str">
            <v>-4.5640345</v>
          </cell>
          <cell r="E191" t="str">
            <v>5.65417019</v>
          </cell>
          <cell r="F191" t="str">
            <v>2G/3G/4G</v>
          </cell>
          <cell r="G191" t="str">
            <v>ERICSSON</v>
          </cell>
          <cell r="H191" t="str">
            <v>IHS (CIT)</v>
          </cell>
          <cell r="I191" t="str">
            <v>SIKENSI</v>
          </cell>
          <cell r="J191" t="str">
            <v>SIKENSI</v>
          </cell>
          <cell r="K191" t="str">
            <v>SIKENSI</v>
          </cell>
          <cell r="L191" t="str">
            <v>AGNEBY-TIASSA</v>
          </cell>
          <cell r="M191" t="str">
            <v>YOPOUGON SABLE</v>
          </cell>
          <cell r="N191" t="str">
            <v>UPCOUNTRY</v>
          </cell>
        </row>
        <row r="192">
          <cell r="B192" t="str">
            <v>AC195</v>
          </cell>
          <cell r="C192" t="str">
            <v>NDOUCI</v>
          </cell>
          <cell r="D192" t="str">
            <v>-4.762108</v>
          </cell>
          <cell r="E192" t="str">
            <v>5.86279</v>
          </cell>
          <cell r="F192" t="str">
            <v>2G/3G/4G</v>
          </cell>
          <cell r="G192" t="str">
            <v>ERICSSON</v>
          </cell>
          <cell r="H192" t="str">
            <v>IHS (CIT)</v>
          </cell>
          <cell r="I192" t="str">
            <v>NDOUCI</v>
          </cell>
          <cell r="J192" t="str">
            <v>N'DOUCI</v>
          </cell>
          <cell r="K192" t="str">
            <v>TIASSALE</v>
          </cell>
          <cell r="L192" t="str">
            <v>AGNEBY-TIASSA</v>
          </cell>
          <cell r="M192" t="str">
            <v>YOPOUGON SABLE</v>
          </cell>
          <cell r="N192" t="str">
            <v>UPCOUNTRY</v>
          </cell>
        </row>
        <row r="193">
          <cell r="B193" t="str">
            <v>AC196</v>
          </cell>
          <cell r="C193" t="str">
            <v>TIASSALE</v>
          </cell>
          <cell r="D193" t="str">
            <v>-4.822579</v>
          </cell>
          <cell r="E193" t="str">
            <v>5.897692</v>
          </cell>
          <cell r="F193" t="str">
            <v>2G/3G/4G</v>
          </cell>
          <cell r="G193" t="str">
            <v>ERICSSON</v>
          </cell>
          <cell r="H193" t="str">
            <v>MOOV</v>
          </cell>
          <cell r="I193" t="str">
            <v>TIASSALE</v>
          </cell>
          <cell r="J193" t="str">
            <v>TIASSALE</v>
          </cell>
          <cell r="K193" t="str">
            <v>TIASSALE</v>
          </cell>
          <cell r="L193" t="str">
            <v>AGNEBY-TIASSA</v>
          </cell>
          <cell r="M193" t="str">
            <v>YOPOUGON SABLE</v>
          </cell>
          <cell r="N193" t="str">
            <v>UPCOUNTRY</v>
          </cell>
        </row>
        <row r="194">
          <cell r="B194" t="str">
            <v>AC197</v>
          </cell>
          <cell r="C194" t="str">
            <v>DIVO_CIT</v>
          </cell>
          <cell r="D194" t="str">
            <v>-5.36496</v>
          </cell>
          <cell r="E194" t="str">
            <v>5.835842</v>
          </cell>
          <cell r="F194" t="str">
            <v>2G/3G/4G</v>
          </cell>
          <cell r="G194" t="str">
            <v>ERICSSON</v>
          </cell>
          <cell r="H194" t="str">
            <v>IHS (CIT)</v>
          </cell>
          <cell r="I194" t="str">
            <v>DIVO</v>
          </cell>
          <cell r="J194" t="str">
            <v>DIVO</v>
          </cell>
          <cell r="K194" t="str">
            <v>DIVO</v>
          </cell>
          <cell r="L194" t="str">
            <v>LOH-DJIBOUA</v>
          </cell>
          <cell r="M194" t="str">
            <v>DIVO</v>
          </cell>
          <cell r="N194" t="str">
            <v>UPCOUNTRY</v>
          </cell>
        </row>
        <row r="195">
          <cell r="B195" t="str">
            <v>AC198</v>
          </cell>
          <cell r="C195" t="str">
            <v>DIVO</v>
          </cell>
          <cell r="D195" t="str">
            <v>-5.35436</v>
          </cell>
          <cell r="E195" t="str">
            <v>5.840026</v>
          </cell>
          <cell r="F195" t="str">
            <v>2G/3G/4G</v>
          </cell>
          <cell r="G195" t="str">
            <v>ERICSSON</v>
          </cell>
          <cell r="H195" t="str">
            <v>MOOV</v>
          </cell>
          <cell r="I195" t="str">
            <v>DIVO</v>
          </cell>
          <cell r="J195" t="str">
            <v>DIVO</v>
          </cell>
          <cell r="K195" t="str">
            <v>DIVO</v>
          </cell>
          <cell r="L195" t="str">
            <v>LOH-DJIBOUA</v>
          </cell>
          <cell r="M195" t="str">
            <v>DIVO</v>
          </cell>
          <cell r="N195" t="str">
            <v>UPCOUNTRY</v>
          </cell>
        </row>
        <row r="196">
          <cell r="B196" t="str">
            <v>AC199</v>
          </cell>
          <cell r="C196" t="str">
            <v>LAKOTA</v>
          </cell>
          <cell r="D196" t="str">
            <v>-5.67622039</v>
          </cell>
          <cell r="E196" t="str">
            <v>5.84999882</v>
          </cell>
          <cell r="F196" t="str">
            <v>2G/3G/4G</v>
          </cell>
          <cell r="G196" t="str">
            <v>ERICSSON</v>
          </cell>
          <cell r="H196" t="str">
            <v>IHS (CIT)</v>
          </cell>
          <cell r="I196" t="str">
            <v>LAKOTA</v>
          </cell>
          <cell r="J196" t="str">
            <v>LAKOTA</v>
          </cell>
          <cell r="K196" t="str">
            <v>LAKOTA</v>
          </cell>
          <cell r="L196" t="str">
            <v>LOH-DJIBOUA</v>
          </cell>
          <cell r="M196" t="str">
            <v>DIVO</v>
          </cell>
          <cell r="N196" t="str">
            <v>UPCOUNTRY</v>
          </cell>
        </row>
        <row r="197">
          <cell r="B197" t="str">
            <v>AC200</v>
          </cell>
          <cell r="C197" t="str">
            <v>DIEGONEFLA</v>
          </cell>
          <cell r="D197" t="str">
            <v>-5.582095</v>
          </cell>
          <cell r="E197" t="str">
            <v>6.28354</v>
          </cell>
          <cell r="F197" t="str">
            <v>2G/3G/4G</v>
          </cell>
          <cell r="G197" t="str">
            <v>HUAWEI</v>
          </cell>
          <cell r="H197" t="str">
            <v>IHS (CIT)</v>
          </cell>
          <cell r="I197" t="str">
            <v>DIEGONEFLA</v>
          </cell>
          <cell r="J197" t="str">
            <v>DIEGONEFLA</v>
          </cell>
          <cell r="K197" t="str">
            <v>OUME</v>
          </cell>
          <cell r="L197" t="str">
            <v>GOH</v>
          </cell>
          <cell r="M197" t="str">
            <v>GAGNOA</v>
          </cell>
          <cell r="N197" t="str">
            <v>UPCOUNTRY</v>
          </cell>
        </row>
        <row r="198">
          <cell r="B198" t="str">
            <v>AC201</v>
          </cell>
          <cell r="C198" t="str">
            <v>OUME</v>
          </cell>
          <cell r="D198" t="str">
            <v>-5.412413</v>
          </cell>
          <cell r="E198" t="str">
            <v>6.381353</v>
          </cell>
          <cell r="F198" t="str">
            <v>2G/3G/4G</v>
          </cell>
          <cell r="G198" t="str">
            <v>HUAWEI</v>
          </cell>
          <cell r="H198" t="str">
            <v>MOOV</v>
          </cell>
          <cell r="I198" t="str">
            <v>OUME</v>
          </cell>
          <cell r="J198" t="str">
            <v>OUME</v>
          </cell>
          <cell r="K198" t="str">
            <v>OUME</v>
          </cell>
          <cell r="L198" t="str">
            <v>GOH</v>
          </cell>
          <cell r="M198" t="str">
            <v>GAGNOA</v>
          </cell>
          <cell r="N198" t="str">
            <v>UPCOUNTRY</v>
          </cell>
        </row>
        <row r="199">
          <cell r="B199" t="str">
            <v>AC202</v>
          </cell>
          <cell r="C199" t="str">
            <v>HIRE</v>
          </cell>
          <cell r="D199" t="str">
            <v>-5.295359</v>
          </cell>
          <cell r="E199" t="str">
            <v>6.192517</v>
          </cell>
          <cell r="F199" t="str">
            <v>2G/3G/4G</v>
          </cell>
          <cell r="G199" t="str">
            <v>HUAWEI</v>
          </cell>
          <cell r="H199" t="str">
            <v>MOOV</v>
          </cell>
          <cell r="I199" t="str">
            <v>HIRE</v>
          </cell>
          <cell r="J199" t="str">
            <v>HIRE</v>
          </cell>
          <cell r="K199" t="str">
            <v>DIVO</v>
          </cell>
          <cell r="L199" t="str">
            <v>LOH-DJIBOUA</v>
          </cell>
          <cell r="M199" t="str">
            <v>DIVO</v>
          </cell>
          <cell r="N199" t="str">
            <v>UPCOUNTRY</v>
          </cell>
        </row>
        <row r="200">
          <cell r="B200" t="str">
            <v>AC203</v>
          </cell>
          <cell r="C200" t="str">
            <v>SINFRA</v>
          </cell>
          <cell r="D200" t="str">
            <v>-5.913398</v>
          </cell>
          <cell r="E200" t="str">
            <v>6.624318</v>
          </cell>
          <cell r="F200" t="str">
            <v>2G/3G/4G</v>
          </cell>
          <cell r="G200" t="str">
            <v>HUAWEI</v>
          </cell>
          <cell r="H200" t="str">
            <v>MOOV</v>
          </cell>
          <cell r="I200" t="str">
            <v>SINFRA</v>
          </cell>
          <cell r="J200" t="str">
            <v>SINFRA</v>
          </cell>
          <cell r="K200" t="str">
            <v>SINFRA</v>
          </cell>
          <cell r="L200" t="str">
            <v>MARAHOUE</v>
          </cell>
          <cell r="M200" t="str">
            <v>GAGNOA</v>
          </cell>
          <cell r="N200" t="str">
            <v>UPCOUNTRY</v>
          </cell>
        </row>
        <row r="201">
          <cell r="B201" t="str">
            <v>AC204</v>
          </cell>
          <cell r="C201" t="str">
            <v>OURAGAHIO</v>
          </cell>
          <cell r="D201" t="str">
            <v>-5.934957</v>
          </cell>
          <cell r="E201" t="str">
            <v>6.307877</v>
          </cell>
          <cell r="F201" t="str">
            <v>2G/3G/4G</v>
          </cell>
          <cell r="G201" t="str">
            <v>HUAWEI</v>
          </cell>
          <cell r="H201" t="str">
            <v>IHS (CIT)</v>
          </cell>
          <cell r="I201" t="str">
            <v>OURAGAHIO</v>
          </cell>
          <cell r="J201" t="str">
            <v>OURAGAHIO</v>
          </cell>
          <cell r="K201" t="str">
            <v>GAGNOA</v>
          </cell>
          <cell r="L201" t="str">
            <v>GOH</v>
          </cell>
          <cell r="M201" t="str">
            <v>GAGNOA</v>
          </cell>
          <cell r="N201" t="str">
            <v>UPCOUNTRY</v>
          </cell>
        </row>
        <row r="202">
          <cell r="B202" t="str">
            <v>AC205</v>
          </cell>
          <cell r="C202" t="str">
            <v>DUEKOUE_CENTRE</v>
          </cell>
          <cell r="D202" t="str">
            <v>-7.34433</v>
          </cell>
          <cell r="E202" t="str">
            <v>6.735396</v>
          </cell>
          <cell r="F202" t="str">
            <v>2G/3G/4G</v>
          </cell>
          <cell r="G202" t="str">
            <v>HUAWEI</v>
          </cell>
          <cell r="H202" t="str">
            <v>IHS (CIT)</v>
          </cell>
          <cell r="I202" t="str">
            <v>DUEKOUE</v>
          </cell>
          <cell r="J202" t="str">
            <v>DUEKOUE</v>
          </cell>
          <cell r="K202" t="str">
            <v>DUEKOUE</v>
          </cell>
          <cell r="L202" t="str">
            <v>GUEMON</v>
          </cell>
          <cell r="M202" t="str">
            <v>MAN</v>
          </cell>
          <cell r="N202" t="str">
            <v>UPCOUNTRY</v>
          </cell>
        </row>
        <row r="203">
          <cell r="B203" t="str">
            <v>AC206</v>
          </cell>
          <cell r="C203" t="str">
            <v>DUEKOUE</v>
          </cell>
          <cell r="D203" t="str">
            <v>-7.353328</v>
          </cell>
          <cell r="E203" t="str">
            <v>6.744465</v>
          </cell>
          <cell r="F203" t="str">
            <v>2G/3G/4G</v>
          </cell>
          <cell r="G203" t="str">
            <v>HUAWEI</v>
          </cell>
          <cell r="H203" t="str">
            <v>MOOV</v>
          </cell>
          <cell r="I203" t="str">
            <v>DUEKOUE</v>
          </cell>
          <cell r="J203" t="str">
            <v>DUEKOUE</v>
          </cell>
          <cell r="K203" t="str">
            <v>DUEKOUE</v>
          </cell>
          <cell r="L203" t="str">
            <v>GUEMON</v>
          </cell>
          <cell r="M203" t="str">
            <v>MAN</v>
          </cell>
          <cell r="N203" t="str">
            <v>UPCOUNTRY</v>
          </cell>
        </row>
        <row r="204">
          <cell r="B204" t="str">
            <v>AC207</v>
          </cell>
          <cell r="C204" t="str">
            <v>GUIGLO</v>
          </cell>
          <cell r="D204" t="str">
            <v>-7.498612</v>
          </cell>
          <cell r="E204" t="str">
            <v>6.548658</v>
          </cell>
          <cell r="F204" t="str">
            <v>2G/3G/4G</v>
          </cell>
          <cell r="G204" t="str">
            <v>HUAWEI</v>
          </cell>
          <cell r="H204" t="str">
            <v>IHS (CIT)</v>
          </cell>
          <cell r="I204" t="str">
            <v>GUIGLO</v>
          </cell>
          <cell r="J204" t="str">
            <v>GUIGLO</v>
          </cell>
          <cell r="K204" t="str">
            <v>GUIGLO</v>
          </cell>
          <cell r="L204" t="str">
            <v>CAVALLY</v>
          </cell>
          <cell r="M204" t="str">
            <v>MAN</v>
          </cell>
          <cell r="N204" t="str">
            <v>UPCOUNTRY</v>
          </cell>
        </row>
        <row r="205">
          <cell r="B205" t="str">
            <v>AC208</v>
          </cell>
          <cell r="C205" t="str">
            <v>TABOU</v>
          </cell>
          <cell r="D205" t="str">
            <v>-7.35597</v>
          </cell>
          <cell r="E205" t="str">
            <v>4.41809</v>
          </cell>
          <cell r="F205" t="str">
            <v>2G/3G/4G</v>
          </cell>
          <cell r="G205" t="str">
            <v>ERICSSON</v>
          </cell>
          <cell r="H205" t="str">
            <v>IHS (CIT)</v>
          </cell>
          <cell r="I205" t="str">
            <v>TABOU</v>
          </cell>
          <cell r="J205" t="str">
            <v>TABOU</v>
          </cell>
          <cell r="K205" t="str">
            <v>TABOU</v>
          </cell>
          <cell r="L205" t="str">
            <v>SAN-PEDRO</v>
          </cell>
          <cell r="M205" t="str">
            <v>SAN-PEDRO</v>
          </cell>
          <cell r="N205" t="str">
            <v>UPCOUNTRY</v>
          </cell>
        </row>
        <row r="206">
          <cell r="B206" t="str">
            <v>AC209</v>
          </cell>
          <cell r="C206" t="str">
            <v>ZUENOULA</v>
          </cell>
          <cell r="D206" t="str">
            <v>-6.039435</v>
          </cell>
          <cell r="E206" t="str">
            <v>7.428494</v>
          </cell>
          <cell r="F206" t="str">
            <v>2G/3G/4G</v>
          </cell>
          <cell r="G206" t="str">
            <v>HUAWEI</v>
          </cell>
          <cell r="H206" t="str">
            <v>IHS (CIT)</v>
          </cell>
          <cell r="I206" t="str">
            <v>ZUENOULA</v>
          </cell>
          <cell r="J206" t="str">
            <v>ZUENOULA</v>
          </cell>
          <cell r="K206" t="str">
            <v>ZUENOULA</v>
          </cell>
          <cell r="L206" t="str">
            <v>MARAHOUE</v>
          </cell>
          <cell r="M206" t="str">
            <v>YAMOUSSOUKRO</v>
          </cell>
          <cell r="N206" t="str">
            <v>UPCOUNTRY</v>
          </cell>
        </row>
        <row r="207">
          <cell r="B207" t="str">
            <v>AC210</v>
          </cell>
          <cell r="C207" t="str">
            <v>TIEBISSOU</v>
          </cell>
          <cell r="D207" t="str">
            <v>-5.225685</v>
          </cell>
          <cell r="E207" t="str">
            <v>7.143522</v>
          </cell>
          <cell r="F207" t="str">
            <v>2G/3G/4G</v>
          </cell>
          <cell r="G207" t="str">
            <v>HUAWEI</v>
          </cell>
          <cell r="H207" t="str">
            <v>MOOV</v>
          </cell>
          <cell r="I207" t="str">
            <v>TIEBISSOU</v>
          </cell>
          <cell r="J207" t="str">
            <v>TIEBISSOU</v>
          </cell>
          <cell r="K207" t="str">
            <v>TIEBISSOU</v>
          </cell>
          <cell r="L207" t="str">
            <v>BELIER</v>
          </cell>
          <cell r="M207" t="str">
            <v>YAMOUSSOUKRO</v>
          </cell>
          <cell r="N207" t="str">
            <v>UPCOUNTRY</v>
          </cell>
        </row>
        <row r="208">
          <cell r="B208" t="str">
            <v>AC211</v>
          </cell>
          <cell r="C208" t="str">
            <v>JACQUEVIL</v>
          </cell>
          <cell r="D208" t="str">
            <v>-4.417578</v>
          </cell>
          <cell r="E208" t="str">
            <v>5.205668</v>
          </cell>
          <cell r="F208" t="str">
            <v>2G/3G/4G</v>
          </cell>
          <cell r="G208" t="str">
            <v>ERICSSON</v>
          </cell>
          <cell r="H208" t="str">
            <v>IHS (CIT)</v>
          </cell>
          <cell r="I208" t="str">
            <v>JACQUEVILLE</v>
          </cell>
          <cell r="J208" t="str">
            <v>JACQUEVILLE</v>
          </cell>
          <cell r="K208" t="str">
            <v>JACQUEVILLE</v>
          </cell>
          <cell r="L208" t="str">
            <v>GRANDS-PONTS</v>
          </cell>
          <cell r="M208" t="str">
            <v>YOPOUGON FICGAYO</v>
          </cell>
          <cell r="N208" t="str">
            <v>UPCOUNTRY</v>
          </cell>
        </row>
        <row r="209">
          <cell r="B209" t="str">
            <v>AC212</v>
          </cell>
          <cell r="C209" t="str">
            <v>ALEPE</v>
          </cell>
          <cell r="D209" t="str">
            <v>-3.65374847</v>
          </cell>
          <cell r="E209" t="str">
            <v>5.49758865</v>
          </cell>
          <cell r="F209" t="str">
            <v>2G/3G/4G</v>
          </cell>
          <cell r="G209" t="str">
            <v>ERICSSON</v>
          </cell>
          <cell r="H209" t="str">
            <v>MOOV</v>
          </cell>
          <cell r="I209" t="str">
            <v>ALEPE</v>
          </cell>
          <cell r="J209" t="str">
            <v>ALEPE</v>
          </cell>
          <cell r="K209" t="str">
            <v>ALEPE</v>
          </cell>
          <cell r="L209" t="str">
            <v>LA ME</v>
          </cell>
          <cell r="M209" t="str">
            <v>ABOBO</v>
          </cell>
          <cell r="N209" t="str">
            <v>UPCOUNTRY</v>
          </cell>
        </row>
        <row r="210">
          <cell r="B210" t="str">
            <v>AC213</v>
          </cell>
          <cell r="C210" t="str">
            <v>ASSOUINDE</v>
          </cell>
          <cell r="D210" t="str">
            <v>-3.46267092</v>
          </cell>
          <cell r="E210" t="str">
            <v>5.15986325</v>
          </cell>
          <cell r="F210" t="str">
            <v>2G/3G/4G</v>
          </cell>
          <cell r="G210" t="str">
            <v>HUAWEI</v>
          </cell>
          <cell r="H210" t="str">
            <v>MOOV</v>
          </cell>
          <cell r="I210" t="str">
            <v>ASSOUINDE</v>
          </cell>
          <cell r="J210" t="str">
            <v>ASSINIE-MAFIA</v>
          </cell>
          <cell r="K210" t="str">
            <v>ADIAKE</v>
          </cell>
          <cell r="L210" t="str">
            <v>SUD-COMOE</v>
          </cell>
          <cell r="M210" t="str">
            <v>MARCORY</v>
          </cell>
          <cell r="N210" t="str">
            <v>UPCOUNTRY</v>
          </cell>
        </row>
        <row r="211">
          <cell r="B211" t="str">
            <v>AC214</v>
          </cell>
          <cell r="C211" t="str">
            <v>KHARRAT</v>
          </cell>
          <cell r="D211" t="str">
            <v>-4.01451289</v>
          </cell>
          <cell r="E211" t="str">
            <v>5.31804564</v>
          </cell>
          <cell r="F211" t="str">
            <v>2G/3G/4G/5G</v>
          </cell>
          <cell r="G211" t="str">
            <v>ERICSSON</v>
          </cell>
          <cell r="H211" t="str">
            <v>MOOV</v>
          </cell>
          <cell r="I211" t="str">
            <v>PLATEAU</v>
          </cell>
          <cell r="J211" t="str">
            <v>ABIDJAN</v>
          </cell>
          <cell r="K211" t="str">
            <v>ABIDJAN</v>
          </cell>
          <cell r="L211" t="str">
            <v>ABIDJAN</v>
          </cell>
          <cell r="M211" t="str">
            <v>PLATEAU</v>
          </cell>
          <cell r="N211" t="str">
            <v>ABIDJAN</v>
          </cell>
        </row>
        <row r="212">
          <cell r="B212" t="str">
            <v>AC215</v>
          </cell>
          <cell r="C212" t="str">
            <v>BOUNDIALI</v>
          </cell>
          <cell r="D212" t="str">
            <v>-6.482532</v>
          </cell>
          <cell r="E212" t="str">
            <v>9.522297</v>
          </cell>
          <cell r="F212" t="str">
            <v>2G/3G/4G</v>
          </cell>
          <cell r="G212" t="str">
            <v>HUAWEI</v>
          </cell>
          <cell r="H212" t="str">
            <v>MOOV</v>
          </cell>
          <cell r="I212" t="str">
            <v>BOUNDIALI</v>
          </cell>
          <cell r="J212" t="str">
            <v>BOUNDIALI</v>
          </cell>
          <cell r="K212" t="str">
            <v>BOUNDIALI</v>
          </cell>
          <cell r="L212" t="str">
            <v>BAGOUE</v>
          </cell>
          <cell r="M212" t="str">
            <v>KORHOGO</v>
          </cell>
          <cell r="N212" t="str">
            <v>UPCOUNTRY</v>
          </cell>
        </row>
        <row r="213">
          <cell r="B213" t="str">
            <v>AC216</v>
          </cell>
          <cell r="C213" t="str">
            <v>DIAWALA</v>
          </cell>
          <cell r="D213" t="str">
            <v>-5.481556</v>
          </cell>
          <cell r="E213" t="str">
            <v>10.112818</v>
          </cell>
          <cell r="F213" t="str">
            <v>2G/3G/4G</v>
          </cell>
          <cell r="G213" t="str">
            <v>HUAWEI</v>
          </cell>
          <cell r="H213" t="str">
            <v>MOOV</v>
          </cell>
          <cell r="I213" t="str">
            <v>DIAWALA</v>
          </cell>
          <cell r="J213" t="str">
            <v>DIAWALA</v>
          </cell>
          <cell r="K213" t="str">
            <v>OUANGOLODOUGOU</v>
          </cell>
          <cell r="L213" t="str">
            <v>TCHOLOGO</v>
          </cell>
          <cell r="M213" t="str">
            <v>KORHOGO</v>
          </cell>
          <cell r="N213" t="str">
            <v>UPCOUNTRY</v>
          </cell>
        </row>
        <row r="214">
          <cell r="B214" t="str">
            <v>AC217</v>
          </cell>
          <cell r="C214" t="str">
            <v>MARABADJASSA</v>
          </cell>
          <cell r="D214" t="str">
            <v>-5.4422891</v>
          </cell>
          <cell r="E214" t="str">
            <v>8.0950047</v>
          </cell>
          <cell r="F214" t="str">
            <v>2G/3G/4G</v>
          </cell>
          <cell r="G214" t="str">
            <v>HUAWEI</v>
          </cell>
          <cell r="H214" t="str">
            <v>MOOV</v>
          </cell>
          <cell r="I214" t="str">
            <v>MARABADJASSA</v>
          </cell>
          <cell r="J214" t="str">
            <v>MARABADJASSA</v>
          </cell>
          <cell r="K214" t="str">
            <v>BEOUMI</v>
          </cell>
          <cell r="L214" t="str">
            <v>GBEKE</v>
          </cell>
          <cell r="M214" t="str">
            <v>BOUAKE</v>
          </cell>
          <cell r="N214" t="str">
            <v>UPCOUNTRY</v>
          </cell>
        </row>
        <row r="215">
          <cell r="B215" t="str">
            <v>AC218</v>
          </cell>
          <cell r="C215" t="str">
            <v>CAR_JACQUEVIL</v>
          </cell>
          <cell r="D215" t="str">
            <v>-4.228135</v>
          </cell>
          <cell r="E215" t="str">
            <v>5.321014</v>
          </cell>
          <cell r="F215" t="str">
            <v>2G/3G/4G</v>
          </cell>
          <cell r="G215" t="str">
            <v>ERICSSON</v>
          </cell>
          <cell r="H215" t="str">
            <v>MOOV</v>
          </cell>
          <cell r="I215" t="str">
            <v>CARREFOUR JACQUEVILLE</v>
          </cell>
          <cell r="J215" t="str">
            <v>SONGON</v>
          </cell>
          <cell r="K215" t="str">
            <v>ABIDJAN</v>
          </cell>
          <cell r="L215" t="str">
            <v>ABIDJAN</v>
          </cell>
          <cell r="M215" t="str">
            <v>YOPOUGON FICGAYO</v>
          </cell>
          <cell r="N215" t="str">
            <v>ABIDJAN</v>
          </cell>
        </row>
        <row r="216">
          <cell r="B216" t="str">
            <v>AC219</v>
          </cell>
          <cell r="C216" t="str">
            <v>COVALMAN</v>
          </cell>
          <cell r="D216" t="str">
            <v>-7.578383</v>
          </cell>
          <cell r="E216" t="str">
            <v>7.364936</v>
          </cell>
          <cell r="F216" t="str">
            <v>2G/3G/4G</v>
          </cell>
          <cell r="G216" t="str">
            <v>HUAWEI</v>
          </cell>
          <cell r="H216" t="str">
            <v>IHS (MTN)</v>
          </cell>
          <cell r="I216" t="str">
            <v>ZELE</v>
          </cell>
          <cell r="J216" t="str">
            <v>MAN</v>
          </cell>
          <cell r="K216" t="str">
            <v>MAN</v>
          </cell>
          <cell r="L216" t="str">
            <v>TONKPI</v>
          </cell>
          <cell r="M216" t="str">
            <v>MAN</v>
          </cell>
          <cell r="N216" t="str">
            <v>UPCOUNTRY</v>
          </cell>
        </row>
        <row r="217">
          <cell r="B217" t="str">
            <v>AC220</v>
          </cell>
          <cell r="C217" t="str">
            <v>TOUBA</v>
          </cell>
          <cell r="D217" t="str">
            <v>-7.691527</v>
          </cell>
          <cell r="E217" t="str">
            <v>8.285331</v>
          </cell>
          <cell r="F217" t="str">
            <v>2G/3G/4G</v>
          </cell>
          <cell r="G217" t="str">
            <v>HUAWEI</v>
          </cell>
          <cell r="H217" t="str">
            <v>MOOV</v>
          </cell>
          <cell r="I217" t="str">
            <v>TOUBA</v>
          </cell>
          <cell r="J217" t="str">
            <v>TOUBA</v>
          </cell>
          <cell r="K217" t="str">
            <v>TOUBA</v>
          </cell>
          <cell r="L217" t="str">
            <v>BAFING</v>
          </cell>
          <cell r="M217" t="str">
            <v>MAN</v>
          </cell>
          <cell r="N217" t="str">
            <v>UPCOUNTRY</v>
          </cell>
        </row>
        <row r="218">
          <cell r="B218" t="str">
            <v>AC221</v>
          </cell>
          <cell r="C218" t="str">
            <v>KROKROM</v>
          </cell>
          <cell r="D218" t="str">
            <v>-5.40916609</v>
          </cell>
          <cell r="E218" t="str">
            <v>5.21380959</v>
          </cell>
          <cell r="F218" t="str">
            <v>2G/3G/4G</v>
          </cell>
          <cell r="G218" t="str">
            <v>ERICSSON</v>
          </cell>
          <cell r="H218" t="str">
            <v>MOOV</v>
          </cell>
          <cell r="I218" t="str">
            <v>KROKROM</v>
          </cell>
          <cell r="J218" t="str">
            <v>EBONOU</v>
          </cell>
          <cell r="K218" t="str">
            <v>GRAND-LAHOU</v>
          </cell>
          <cell r="L218" t="str">
            <v>GRANDS-PONTS</v>
          </cell>
          <cell r="M218" t="str">
            <v>SAN-PEDRO</v>
          </cell>
          <cell r="N218" t="str">
            <v>UPCOUNTRY</v>
          </cell>
        </row>
        <row r="219">
          <cell r="B219" t="str">
            <v>AC222</v>
          </cell>
          <cell r="C219" t="str">
            <v>GRAND_ZATTRY</v>
          </cell>
          <cell r="D219" t="str">
            <v>-6.536072</v>
          </cell>
          <cell r="E219" t="str">
            <v>6.111909</v>
          </cell>
          <cell r="F219" t="str">
            <v>2G/3G/4G</v>
          </cell>
          <cell r="G219" t="str">
            <v>HUAWEI</v>
          </cell>
          <cell r="H219" t="str">
            <v>MOOV</v>
          </cell>
          <cell r="I219" t="str">
            <v>GRAND-ZATTRY</v>
          </cell>
          <cell r="J219" t="str">
            <v>GRAND-ZATTRY</v>
          </cell>
          <cell r="K219" t="str">
            <v>SOUBRE</v>
          </cell>
          <cell r="L219" t="str">
            <v>NAWA</v>
          </cell>
          <cell r="M219" t="str">
            <v>SOUBRE</v>
          </cell>
          <cell r="N219" t="str">
            <v>UPCOUNTRY</v>
          </cell>
        </row>
        <row r="220">
          <cell r="B220" t="str">
            <v>AC223</v>
          </cell>
          <cell r="C220" t="str">
            <v>ELLIBOU</v>
          </cell>
          <cell r="D220" t="str">
            <v>-4.5058902</v>
          </cell>
          <cell r="E220" t="str">
            <v>5.68891476</v>
          </cell>
          <cell r="F220" t="str">
            <v>2G/3G/4G</v>
          </cell>
          <cell r="G220" t="str">
            <v>ERICSSON</v>
          </cell>
          <cell r="H220" t="str">
            <v>MOOV</v>
          </cell>
          <cell r="I220" t="str">
            <v>ELLIBOU</v>
          </cell>
          <cell r="J220" t="str">
            <v>SIKENSI</v>
          </cell>
          <cell r="K220" t="str">
            <v>SIKENSI</v>
          </cell>
          <cell r="L220" t="str">
            <v>AGNEBY-TIASSA</v>
          </cell>
          <cell r="M220" t="str">
            <v>YOPOUGON SABLE</v>
          </cell>
          <cell r="N220" t="str">
            <v>UPCOUNTRY</v>
          </cell>
        </row>
        <row r="221">
          <cell r="B221" t="str">
            <v>AC224</v>
          </cell>
          <cell r="C221" t="str">
            <v>MORONOU</v>
          </cell>
          <cell r="D221" t="str">
            <v>-4.971045</v>
          </cell>
          <cell r="E221" t="str">
            <v>6.316917</v>
          </cell>
          <cell r="F221" t="str">
            <v>2G/3G/4G</v>
          </cell>
          <cell r="G221" t="str">
            <v>HUAWEI</v>
          </cell>
          <cell r="H221" t="str">
            <v>MOOV</v>
          </cell>
          <cell r="I221" t="str">
            <v>MORONOU</v>
          </cell>
          <cell r="J221" t="str">
            <v>KPOUEBO</v>
          </cell>
          <cell r="K221" t="str">
            <v>TOUMODI</v>
          </cell>
          <cell r="L221" t="str">
            <v>BELIER</v>
          </cell>
          <cell r="M221" t="str">
            <v>YAMOUSSOUKRO</v>
          </cell>
          <cell r="N221" t="str">
            <v>UPCOUNTRY</v>
          </cell>
        </row>
        <row r="222">
          <cell r="B222" t="str">
            <v>AC225</v>
          </cell>
          <cell r="C222" t="str">
            <v>ATTINGUIE</v>
          </cell>
          <cell r="D222" t="str">
            <v>-4.18333637</v>
          </cell>
          <cell r="E222" t="str">
            <v>5.46214189</v>
          </cell>
          <cell r="F222" t="str">
            <v>2G/3G/4G</v>
          </cell>
          <cell r="G222" t="str">
            <v>ERICSSON</v>
          </cell>
          <cell r="H222" t="str">
            <v>MOOV</v>
          </cell>
          <cell r="I222" t="str">
            <v>ATTINGUIE</v>
          </cell>
          <cell r="J222" t="str">
            <v>ANYAMA</v>
          </cell>
          <cell r="K222" t="str">
            <v>ABIDJAN</v>
          </cell>
          <cell r="L222" t="str">
            <v>ABIDJAN</v>
          </cell>
          <cell r="M222" t="str">
            <v>YOPOUGON SABLE</v>
          </cell>
          <cell r="N222" t="str">
            <v>ABIDJAN</v>
          </cell>
        </row>
        <row r="223">
          <cell r="B223" t="str">
            <v>AC226</v>
          </cell>
          <cell r="C223" t="str">
            <v>BLOKOSSO</v>
          </cell>
          <cell r="D223" t="str">
            <v>-4.00213087</v>
          </cell>
          <cell r="E223" t="str">
            <v>5.32291409</v>
          </cell>
          <cell r="F223" t="str">
            <v>2G/3G/4G</v>
          </cell>
          <cell r="G223" t="str">
            <v>ERICSSON</v>
          </cell>
          <cell r="H223" t="str">
            <v>MOOV</v>
          </cell>
          <cell r="I223" t="str">
            <v>COCODY</v>
          </cell>
          <cell r="J223" t="str">
            <v>ABIDJAN</v>
          </cell>
          <cell r="K223" t="str">
            <v>ABIDJAN</v>
          </cell>
          <cell r="L223" t="str">
            <v>ABIDJAN</v>
          </cell>
          <cell r="M223" t="str">
            <v>COCODY CENTRE</v>
          </cell>
          <cell r="N223" t="str">
            <v>ABIDJAN</v>
          </cell>
        </row>
        <row r="224">
          <cell r="B224" t="str">
            <v>AC227</v>
          </cell>
          <cell r="C224" t="str">
            <v>IVOIRE</v>
          </cell>
          <cell r="D224" t="str">
            <v>-4.006694</v>
          </cell>
          <cell r="E224" t="str">
            <v>5.329583</v>
          </cell>
          <cell r="F224" t="str">
            <v>2G/3G/4G/5G</v>
          </cell>
          <cell r="G224" t="str">
            <v>ERICSSON</v>
          </cell>
          <cell r="H224" t="str">
            <v>MOOV</v>
          </cell>
          <cell r="I224" t="str">
            <v>COCODY</v>
          </cell>
          <cell r="J224" t="str">
            <v>ABIDJAN</v>
          </cell>
          <cell r="K224" t="str">
            <v>ABIDJAN</v>
          </cell>
          <cell r="L224" t="str">
            <v>ABIDJAN</v>
          </cell>
          <cell r="M224" t="str">
            <v>COCODY CENTRE</v>
          </cell>
          <cell r="N224" t="str">
            <v>ABIDJAN</v>
          </cell>
        </row>
        <row r="225">
          <cell r="B225" t="str">
            <v>AC228</v>
          </cell>
          <cell r="C225" t="str">
            <v>PRESI</v>
          </cell>
          <cell r="D225" t="str">
            <v>-3.99513639</v>
          </cell>
          <cell r="E225" t="str">
            <v>5.32799977</v>
          </cell>
          <cell r="F225" t="str">
            <v>2G/3G/4G</v>
          </cell>
          <cell r="G225" t="str">
            <v>ERICSSON</v>
          </cell>
          <cell r="H225" t="str">
            <v>PRESIDENCE</v>
          </cell>
          <cell r="I225" t="str">
            <v>COCODY</v>
          </cell>
          <cell r="J225" t="str">
            <v>ABIDJAN</v>
          </cell>
          <cell r="K225" t="str">
            <v>ABIDJAN</v>
          </cell>
          <cell r="L225" t="str">
            <v>ABIDJAN</v>
          </cell>
          <cell r="M225" t="str">
            <v>COCODY CENTRE</v>
          </cell>
          <cell r="N225" t="str">
            <v>ABIDJAN</v>
          </cell>
        </row>
        <row r="226">
          <cell r="B226" t="str">
            <v>AC229</v>
          </cell>
          <cell r="C226" t="str">
            <v>BINGES_MBSC</v>
          </cell>
          <cell r="D226" t="str">
            <v>-3.864898</v>
          </cell>
          <cell r="E226" t="str">
            <v>5.375701</v>
          </cell>
          <cell r="F226" t="str">
            <v>2G/3G/4G</v>
          </cell>
          <cell r="G226" t="str">
            <v>ERICSSON</v>
          </cell>
          <cell r="H226" t="str">
            <v>MOOV</v>
          </cell>
          <cell r="I226" t="str">
            <v>BINGERVILLE</v>
          </cell>
          <cell r="J226" t="str">
            <v>BINGERVILLE</v>
          </cell>
          <cell r="K226" t="str">
            <v>ABIDJAN</v>
          </cell>
          <cell r="L226" t="str">
            <v>ABIDJAN</v>
          </cell>
          <cell r="M226" t="str">
            <v>COCODY LATRILLE</v>
          </cell>
          <cell r="N226" t="str">
            <v>ABIDJAN</v>
          </cell>
        </row>
        <row r="227">
          <cell r="B227" t="str">
            <v>AC230</v>
          </cell>
          <cell r="C227" t="str">
            <v>ST_FRANCOIS_AMAMOU</v>
          </cell>
          <cell r="D227" t="str">
            <v>-3.879822</v>
          </cell>
          <cell r="E227" t="str">
            <v>5.239144</v>
          </cell>
          <cell r="F227" t="str">
            <v>2G/3G/4G</v>
          </cell>
          <cell r="G227" t="str">
            <v>HUAWEI</v>
          </cell>
          <cell r="H227" t="str">
            <v>MOOV</v>
          </cell>
          <cell r="I227" t="str">
            <v>PORT-BOUET</v>
          </cell>
          <cell r="J227" t="str">
            <v>ABIDJAN</v>
          </cell>
          <cell r="K227" t="str">
            <v>ABIDJAN</v>
          </cell>
          <cell r="L227" t="str">
            <v>ABIDJAN</v>
          </cell>
          <cell r="M227" t="str">
            <v>MARCORY</v>
          </cell>
          <cell r="N227" t="str">
            <v>ABIDJAN</v>
          </cell>
        </row>
        <row r="228">
          <cell r="B228" t="str">
            <v>AC231</v>
          </cell>
          <cell r="C228" t="str">
            <v>NGUINOU</v>
          </cell>
          <cell r="D228" t="str">
            <v>-4.17</v>
          </cell>
          <cell r="E228" t="str">
            <v>6.75132</v>
          </cell>
          <cell r="F228" t="str">
            <v>2G/3G/4G</v>
          </cell>
          <cell r="G228" t="str">
            <v>ERICSSON</v>
          </cell>
          <cell r="H228" t="str">
            <v>MOOV</v>
          </cell>
          <cell r="I228" t="str">
            <v>NGUINOU</v>
          </cell>
          <cell r="J228" t="str">
            <v>BONGOUANOU</v>
          </cell>
          <cell r="K228" t="str">
            <v>BONGOUANOU</v>
          </cell>
          <cell r="L228" t="str">
            <v>MORONOU</v>
          </cell>
          <cell r="M228" t="str">
            <v>ABENGOUROU</v>
          </cell>
          <cell r="N228" t="str">
            <v>UPCOUNTRY</v>
          </cell>
        </row>
        <row r="229">
          <cell r="B229" t="str">
            <v>AC232</v>
          </cell>
          <cell r="C229" t="str">
            <v>BACON</v>
          </cell>
          <cell r="D229" t="str">
            <v>-3.91486</v>
          </cell>
          <cell r="E229" t="str">
            <v>6.34801</v>
          </cell>
          <cell r="F229" t="str">
            <v>2G/3G/4G</v>
          </cell>
          <cell r="G229" t="str">
            <v>ERICSSON</v>
          </cell>
          <cell r="H229" t="str">
            <v>MOOV</v>
          </cell>
          <cell r="I229" t="str">
            <v>BACON</v>
          </cell>
          <cell r="J229" t="str">
            <v>AKOUPE</v>
          </cell>
          <cell r="K229" t="str">
            <v>AKOUPE</v>
          </cell>
          <cell r="L229" t="str">
            <v>LA ME</v>
          </cell>
          <cell r="M229" t="str">
            <v>ABENGOUROU</v>
          </cell>
          <cell r="N229" t="str">
            <v>UPCOUNTRY</v>
          </cell>
        </row>
        <row r="230">
          <cell r="B230" t="str">
            <v>AC233</v>
          </cell>
          <cell r="C230" t="str">
            <v>BKE_TOUR</v>
          </cell>
          <cell r="D230" t="str">
            <v>-5.0284926</v>
          </cell>
          <cell r="E230" t="str">
            <v>7.6850437</v>
          </cell>
          <cell r="F230" t="str">
            <v>2G/3G/4G/5G</v>
          </cell>
          <cell r="G230" t="str">
            <v>HUAWEI</v>
          </cell>
          <cell r="H230" t="str">
            <v>CIT</v>
          </cell>
          <cell r="I230" t="str">
            <v>BOUAKE</v>
          </cell>
          <cell r="J230" t="str">
            <v>BOUAKE</v>
          </cell>
          <cell r="K230" t="str">
            <v>BOUAKE</v>
          </cell>
          <cell r="L230" t="str">
            <v>GBEKE</v>
          </cell>
          <cell r="M230" t="str">
            <v>BOUAKE</v>
          </cell>
          <cell r="N230" t="str">
            <v>UPCOUNTRY</v>
          </cell>
        </row>
        <row r="231">
          <cell r="B231" t="str">
            <v>AC234</v>
          </cell>
          <cell r="C231" t="str">
            <v>BKE_AIR_FRANCE</v>
          </cell>
          <cell r="D231" t="str">
            <v>-5.0176066</v>
          </cell>
          <cell r="E231" t="str">
            <v>7.6682112</v>
          </cell>
          <cell r="F231" t="str">
            <v>2G/3G/4G</v>
          </cell>
          <cell r="G231" t="str">
            <v>HUAWEI</v>
          </cell>
          <cell r="H231" t="str">
            <v>MOOV</v>
          </cell>
          <cell r="I231" t="str">
            <v>BOUAKE</v>
          </cell>
          <cell r="J231" t="str">
            <v>BOUAKE</v>
          </cell>
          <cell r="K231" t="str">
            <v>BOUAKE</v>
          </cell>
          <cell r="L231" t="str">
            <v>GBEKE</v>
          </cell>
          <cell r="M231" t="str">
            <v>BOUAKE</v>
          </cell>
          <cell r="N231" t="str">
            <v>UPCOUNTRY</v>
          </cell>
        </row>
        <row r="232">
          <cell r="B232" t="str">
            <v>AC235</v>
          </cell>
          <cell r="C232" t="str">
            <v>BKE_BROUKRO</v>
          </cell>
          <cell r="D232" t="str">
            <v>-5.0443445</v>
          </cell>
          <cell r="E232" t="str">
            <v>7.6700155</v>
          </cell>
          <cell r="F232" t="str">
            <v>2G/3G/4G</v>
          </cell>
          <cell r="G232" t="str">
            <v>HUAWEI</v>
          </cell>
          <cell r="H232" t="str">
            <v>MOOV</v>
          </cell>
          <cell r="I232" t="str">
            <v>BOUAKE</v>
          </cell>
          <cell r="J232" t="str">
            <v>BOUAKE</v>
          </cell>
          <cell r="K232" t="str">
            <v>BOUAKE</v>
          </cell>
          <cell r="L232" t="str">
            <v>GBEKE</v>
          </cell>
          <cell r="M232" t="str">
            <v>BOUAKE</v>
          </cell>
          <cell r="N232" t="str">
            <v>UPCOUNTRY</v>
          </cell>
        </row>
        <row r="233">
          <cell r="B233" t="str">
            <v>AC236</v>
          </cell>
          <cell r="C233" t="str">
            <v>BKE_AHOUGNANSOU</v>
          </cell>
          <cell r="D233" t="str">
            <v>-5.051802</v>
          </cell>
          <cell r="E233" t="str">
            <v>7.687447</v>
          </cell>
          <cell r="F233" t="str">
            <v>2G/3G/4G/5G</v>
          </cell>
          <cell r="G233" t="str">
            <v>HUAWEI</v>
          </cell>
          <cell r="H233" t="str">
            <v>MOOV</v>
          </cell>
          <cell r="I233" t="str">
            <v>BOUAKE</v>
          </cell>
          <cell r="J233" t="str">
            <v>BOUAKE</v>
          </cell>
          <cell r="K233" t="str">
            <v>BOUAKE</v>
          </cell>
          <cell r="L233" t="str">
            <v>GBEKE</v>
          </cell>
          <cell r="M233" t="str">
            <v>BOUAKE</v>
          </cell>
          <cell r="N233" t="str">
            <v>UPCOUNTRY</v>
          </cell>
        </row>
        <row r="234">
          <cell r="B234" t="str">
            <v>ET798</v>
          </cell>
          <cell r="C234" t="str">
            <v>NEW_BKE_KENNEDY</v>
          </cell>
          <cell r="D234" t="str">
            <v>-5.005849</v>
          </cell>
          <cell r="E234" t="str">
            <v>7.681551</v>
          </cell>
          <cell r="F234" t="str">
            <v>2G/3G/4G/5G</v>
          </cell>
          <cell r="G234" t="str">
            <v>HUAWEI</v>
          </cell>
          <cell r="H234" t="str">
            <v>MOOV</v>
          </cell>
          <cell r="I234" t="str">
            <v>BOUAKE</v>
          </cell>
          <cell r="J234" t="str">
            <v>BOUAKE</v>
          </cell>
          <cell r="K234" t="str">
            <v>BOUAKE</v>
          </cell>
          <cell r="L234" t="str">
            <v>GBEKE</v>
          </cell>
          <cell r="M234" t="str">
            <v>BOUAKE</v>
          </cell>
          <cell r="N234" t="str">
            <v>UPCOUNTRY</v>
          </cell>
        </row>
        <row r="235">
          <cell r="B235" t="str">
            <v>AC238</v>
          </cell>
          <cell r="C235" t="str">
            <v>BKE_BELVIL2</v>
          </cell>
          <cell r="D235" t="str">
            <v>-5.0074293</v>
          </cell>
          <cell r="E235" t="str">
            <v>7.7009181</v>
          </cell>
          <cell r="F235" t="str">
            <v>2G/3G/4G</v>
          </cell>
          <cell r="G235" t="str">
            <v>HUAWEI</v>
          </cell>
          <cell r="H235" t="str">
            <v>MOOV</v>
          </cell>
          <cell r="I235" t="str">
            <v>BOUAKE</v>
          </cell>
          <cell r="J235" t="str">
            <v>BOUAKE</v>
          </cell>
          <cell r="K235" t="str">
            <v>BOUAKE</v>
          </cell>
          <cell r="L235" t="str">
            <v>GBEKE</v>
          </cell>
          <cell r="M235" t="str">
            <v>BOUAKE</v>
          </cell>
          <cell r="N235" t="str">
            <v>UPCOUNTRY</v>
          </cell>
        </row>
        <row r="236">
          <cell r="B236" t="str">
            <v>AC239</v>
          </cell>
          <cell r="C236" t="str">
            <v>BKE_DJAMOUROU</v>
          </cell>
          <cell r="D236" t="str">
            <v>-5.0273849</v>
          </cell>
          <cell r="E236" t="str">
            <v>7.7050237</v>
          </cell>
          <cell r="F236" t="str">
            <v>2G/3G/4G</v>
          </cell>
          <cell r="G236" t="str">
            <v>HUAWEI</v>
          </cell>
          <cell r="H236" t="str">
            <v>MOOV</v>
          </cell>
          <cell r="I236" t="str">
            <v>BOUAKE</v>
          </cell>
          <cell r="J236" t="str">
            <v>BOUAKE</v>
          </cell>
          <cell r="K236" t="str">
            <v>BOUAKE</v>
          </cell>
          <cell r="L236" t="str">
            <v>GBEKE</v>
          </cell>
          <cell r="M236" t="str">
            <v>BOUAKE</v>
          </cell>
          <cell r="N236" t="str">
            <v>UPCOUNTRY</v>
          </cell>
        </row>
        <row r="237">
          <cell r="B237" t="str">
            <v>AC240</v>
          </cell>
          <cell r="C237" t="str">
            <v>BKE_DJEZOU</v>
          </cell>
          <cell r="D237" t="str">
            <v>-5.05433</v>
          </cell>
          <cell r="E237" t="str">
            <v>7.7061407</v>
          </cell>
          <cell r="F237" t="str">
            <v>2G/3G/4G</v>
          </cell>
          <cell r="G237" t="str">
            <v>HUAWEI</v>
          </cell>
          <cell r="H237" t="str">
            <v>MOOV</v>
          </cell>
          <cell r="I237" t="str">
            <v>BOUAKE</v>
          </cell>
          <cell r="J237" t="str">
            <v>BOUAKE</v>
          </cell>
          <cell r="K237" t="str">
            <v>BOUAKE</v>
          </cell>
          <cell r="L237" t="str">
            <v>GBEKE</v>
          </cell>
          <cell r="M237" t="str">
            <v>BOUAKE</v>
          </cell>
          <cell r="N237" t="str">
            <v>UPCOUNTRY</v>
          </cell>
        </row>
        <row r="238">
          <cell r="B238" t="str">
            <v>AC241</v>
          </cell>
          <cell r="C238" t="str">
            <v>BKE_DARESALAM</v>
          </cell>
          <cell r="D238" t="str">
            <v>-5.0151661</v>
          </cell>
          <cell r="E238" t="str">
            <v>7.7231402</v>
          </cell>
          <cell r="F238" t="str">
            <v>2G/3G/4G</v>
          </cell>
          <cell r="G238" t="str">
            <v>HUAWEI</v>
          </cell>
          <cell r="H238" t="str">
            <v>MOOV</v>
          </cell>
          <cell r="I238" t="str">
            <v>BOUAKE</v>
          </cell>
          <cell r="J238" t="str">
            <v>BOUAKE</v>
          </cell>
          <cell r="K238" t="str">
            <v>BOUAKE</v>
          </cell>
          <cell r="L238" t="str">
            <v>GBEKE</v>
          </cell>
          <cell r="M238" t="str">
            <v>BOUAKE</v>
          </cell>
          <cell r="N238" t="str">
            <v>UPCOUNTRY</v>
          </cell>
        </row>
        <row r="239">
          <cell r="B239" t="str">
            <v>AC242</v>
          </cell>
          <cell r="C239" t="str">
            <v>BKE_GONFREVIL</v>
          </cell>
          <cell r="D239" t="str">
            <v>-5.054547</v>
          </cell>
          <cell r="E239" t="str">
            <v>7.7328264</v>
          </cell>
          <cell r="F239" t="str">
            <v>2G/3G/4G</v>
          </cell>
          <cell r="G239" t="str">
            <v>HUAWEI</v>
          </cell>
          <cell r="H239" t="str">
            <v>MOOV</v>
          </cell>
          <cell r="I239" t="str">
            <v>BOUAKE</v>
          </cell>
          <cell r="J239" t="str">
            <v>BOUAKE</v>
          </cell>
          <cell r="K239" t="str">
            <v>BOUAKE</v>
          </cell>
          <cell r="L239" t="str">
            <v>GBEKE</v>
          </cell>
          <cell r="M239" t="str">
            <v>BOUAKE</v>
          </cell>
          <cell r="N239" t="str">
            <v>UPCOUNTRY</v>
          </cell>
        </row>
        <row r="240">
          <cell r="B240" t="str">
            <v>AC243</v>
          </cell>
          <cell r="C240" t="str">
            <v>BKE_RESIDENTIEL</v>
          </cell>
          <cell r="D240" t="str">
            <v>-5.0317103</v>
          </cell>
          <cell r="E240" t="str">
            <v>7.7336443</v>
          </cell>
          <cell r="F240" t="str">
            <v>2G/3G/4G</v>
          </cell>
          <cell r="G240" t="str">
            <v>HUAWEI</v>
          </cell>
          <cell r="H240" t="str">
            <v>MOOV</v>
          </cell>
          <cell r="I240" t="str">
            <v>BOUAKE</v>
          </cell>
          <cell r="J240" t="str">
            <v>BOUAKE</v>
          </cell>
          <cell r="K240" t="str">
            <v>BOUAKE</v>
          </cell>
          <cell r="L240" t="str">
            <v>GBEKE</v>
          </cell>
          <cell r="M240" t="str">
            <v>BOUAKE</v>
          </cell>
          <cell r="N240" t="str">
            <v>UPCOUNTRY</v>
          </cell>
        </row>
        <row r="241">
          <cell r="B241" t="str">
            <v>AC244</v>
          </cell>
          <cell r="C241" t="str">
            <v>BKE_NGATTAKRO</v>
          </cell>
          <cell r="D241" t="str">
            <v>-5.025447</v>
          </cell>
          <cell r="E241" t="str">
            <v>7.6503559</v>
          </cell>
          <cell r="F241" t="str">
            <v>2G/3G/4G</v>
          </cell>
          <cell r="G241" t="str">
            <v>HUAWEI</v>
          </cell>
          <cell r="H241" t="str">
            <v>MOOV</v>
          </cell>
          <cell r="I241" t="str">
            <v>BOUAKE</v>
          </cell>
          <cell r="J241" t="str">
            <v>BOUAKE</v>
          </cell>
          <cell r="K241" t="str">
            <v>BOUAKE</v>
          </cell>
          <cell r="L241" t="str">
            <v>GBEKE</v>
          </cell>
          <cell r="M241" t="str">
            <v>BOUAKE</v>
          </cell>
          <cell r="N241" t="str">
            <v>UPCOUNTRY</v>
          </cell>
        </row>
        <row r="242">
          <cell r="B242" t="str">
            <v>AC245</v>
          </cell>
          <cell r="C242" t="str">
            <v>KATIOLA</v>
          </cell>
          <cell r="D242" t="str">
            <v>-5.0871023</v>
          </cell>
          <cell r="E242" t="str">
            <v>8.1348831</v>
          </cell>
          <cell r="F242" t="str">
            <v>2G/3G/4G</v>
          </cell>
          <cell r="G242" t="str">
            <v>HUAWEI</v>
          </cell>
          <cell r="H242" t="str">
            <v>IDT</v>
          </cell>
          <cell r="I242" t="str">
            <v>KATIOLA</v>
          </cell>
          <cell r="J242" t="str">
            <v>KATIOLA</v>
          </cell>
          <cell r="K242" t="str">
            <v>KATIOLA</v>
          </cell>
          <cell r="L242" t="str">
            <v>HAMBOL</v>
          </cell>
          <cell r="M242" t="str">
            <v>BOUAKE</v>
          </cell>
          <cell r="N242" t="str">
            <v>UPCOUNTRY</v>
          </cell>
        </row>
        <row r="243">
          <cell r="B243" t="str">
            <v>AC246</v>
          </cell>
          <cell r="C243" t="str">
            <v>KOR_CIT</v>
          </cell>
          <cell r="D243" t="str">
            <v>-5.63136</v>
          </cell>
          <cell r="E243" t="str">
            <v>9.45497</v>
          </cell>
          <cell r="F243" t="str">
            <v>2G/3G/4G</v>
          </cell>
          <cell r="G243" t="str">
            <v>HUAWEI</v>
          </cell>
          <cell r="H243" t="str">
            <v>CIT</v>
          </cell>
          <cell r="I243" t="str">
            <v>KORHOGO</v>
          </cell>
          <cell r="J243" t="str">
            <v>KORHOGO</v>
          </cell>
          <cell r="K243" t="str">
            <v>KORHOGO</v>
          </cell>
          <cell r="L243" t="str">
            <v>PORO</v>
          </cell>
          <cell r="M243" t="str">
            <v>KORHOGO</v>
          </cell>
          <cell r="N243" t="str">
            <v>UPCOUNTRY</v>
          </cell>
        </row>
        <row r="244">
          <cell r="B244" t="str">
            <v>AC247</v>
          </cell>
          <cell r="C244" t="str">
            <v>KORHOGO_FHB</v>
          </cell>
          <cell r="D244" t="str">
            <v>-5.62479</v>
          </cell>
          <cell r="E244" t="str">
            <v>9.41894</v>
          </cell>
          <cell r="F244" t="str">
            <v>2G/3G/4G</v>
          </cell>
          <cell r="G244" t="str">
            <v>HUAWEI</v>
          </cell>
          <cell r="H244" t="str">
            <v>MOOV</v>
          </cell>
          <cell r="I244" t="str">
            <v>KORHOGO</v>
          </cell>
          <cell r="J244" t="str">
            <v>KORHOGO</v>
          </cell>
          <cell r="K244" t="str">
            <v>KORHOGO</v>
          </cell>
          <cell r="L244" t="str">
            <v>PORO</v>
          </cell>
          <cell r="M244" t="str">
            <v>KORHOGO</v>
          </cell>
          <cell r="N244" t="str">
            <v>UPCOUNTRY</v>
          </cell>
        </row>
        <row r="245">
          <cell r="B245" t="str">
            <v>AC248</v>
          </cell>
          <cell r="C245" t="str">
            <v>KOR_LYC_SAKANOKO</v>
          </cell>
          <cell r="D245" t="str">
            <v>-5.65816</v>
          </cell>
          <cell r="E245" t="str">
            <v>9.4547</v>
          </cell>
          <cell r="F245" t="str">
            <v>2G/3G/4G</v>
          </cell>
          <cell r="G245" t="str">
            <v>HUAWEI</v>
          </cell>
          <cell r="H245" t="str">
            <v>MOOV</v>
          </cell>
          <cell r="I245" t="str">
            <v>KORHOGO</v>
          </cell>
          <cell r="J245" t="str">
            <v>KORHOGO</v>
          </cell>
          <cell r="K245" t="str">
            <v>KORHOGO</v>
          </cell>
          <cell r="L245" t="str">
            <v>PORO</v>
          </cell>
          <cell r="M245" t="str">
            <v>KORHOGO</v>
          </cell>
          <cell r="N245" t="str">
            <v>UPCOUNTRY</v>
          </cell>
        </row>
        <row r="246">
          <cell r="B246" t="str">
            <v>AC249</v>
          </cell>
          <cell r="C246" t="str">
            <v>KOR_LYC_MUNICIPAL</v>
          </cell>
          <cell r="D246" t="str">
            <v>-5.64321</v>
          </cell>
          <cell r="E246" t="str">
            <v>9.47972</v>
          </cell>
          <cell r="F246" t="str">
            <v>2G/3G/4G</v>
          </cell>
          <cell r="G246" t="str">
            <v>HUAWEI</v>
          </cell>
          <cell r="H246" t="str">
            <v>MOOV</v>
          </cell>
          <cell r="I246" t="str">
            <v>KORHOGO</v>
          </cell>
          <cell r="J246" t="str">
            <v>KORHOGO</v>
          </cell>
          <cell r="K246" t="str">
            <v>KORHOGO</v>
          </cell>
          <cell r="L246" t="str">
            <v>PORO</v>
          </cell>
          <cell r="M246" t="str">
            <v>KORHOGO</v>
          </cell>
          <cell r="N246" t="str">
            <v>UPCOUNTRY</v>
          </cell>
        </row>
        <row r="247">
          <cell r="B247" t="str">
            <v>AC250</v>
          </cell>
          <cell r="C247" t="str">
            <v>KOR_PETIT_PARIS</v>
          </cell>
          <cell r="D247" t="str">
            <v>-5.61289</v>
          </cell>
          <cell r="E247" t="str">
            <v>9.46013</v>
          </cell>
          <cell r="F247" t="str">
            <v>2G/3G/4G</v>
          </cell>
          <cell r="G247" t="str">
            <v>HUAWEI</v>
          </cell>
          <cell r="H247" t="str">
            <v>MOOV</v>
          </cell>
          <cell r="I247" t="str">
            <v>KORHOGO</v>
          </cell>
          <cell r="J247" t="str">
            <v>KORHOGO</v>
          </cell>
          <cell r="K247" t="str">
            <v>KORHOGO</v>
          </cell>
          <cell r="L247" t="str">
            <v>PORO</v>
          </cell>
          <cell r="M247" t="str">
            <v>KORHOGO</v>
          </cell>
          <cell r="N247" t="str">
            <v>UPCOUNTRY</v>
          </cell>
        </row>
        <row r="248">
          <cell r="B248" t="str">
            <v>AC251</v>
          </cell>
          <cell r="C248" t="str">
            <v>SINEMATIALI</v>
          </cell>
          <cell r="D248" t="str">
            <v>-5.4009</v>
          </cell>
          <cell r="E248" t="str">
            <v>9.5721</v>
          </cell>
          <cell r="F248" t="str">
            <v>2G/3G/4G</v>
          </cell>
          <cell r="G248" t="str">
            <v>HUAWEI</v>
          </cell>
          <cell r="H248" t="str">
            <v>MOOV</v>
          </cell>
          <cell r="I248" t="str">
            <v>SINEMATIALI</v>
          </cell>
          <cell r="J248" t="str">
            <v>SINEMATIALI</v>
          </cell>
          <cell r="K248" t="str">
            <v>SINEMATIALI</v>
          </cell>
          <cell r="L248" t="str">
            <v>PORO</v>
          </cell>
          <cell r="M248" t="str">
            <v>KORHOGO</v>
          </cell>
          <cell r="N248" t="str">
            <v>UPCOUNTRY</v>
          </cell>
        </row>
        <row r="249">
          <cell r="B249" t="str">
            <v>AC252</v>
          </cell>
          <cell r="C249" t="str">
            <v>FERKESSEDOUGOU</v>
          </cell>
          <cell r="D249" t="str">
            <v>-5.1876</v>
          </cell>
          <cell r="E249" t="str">
            <v>9.5918</v>
          </cell>
          <cell r="F249" t="str">
            <v>2G/3G/4G</v>
          </cell>
          <cell r="G249" t="str">
            <v>HUAWEI</v>
          </cell>
          <cell r="H249" t="str">
            <v>IHS (CIT)</v>
          </cell>
          <cell r="I249" t="str">
            <v>FERKESSEDOUGOU</v>
          </cell>
          <cell r="J249" t="str">
            <v>FERKESSEDOUGOU</v>
          </cell>
          <cell r="K249" t="str">
            <v>FERKESSEDOUGOU</v>
          </cell>
          <cell r="L249" t="str">
            <v>TCHOLOGO</v>
          </cell>
          <cell r="M249" t="str">
            <v>KORHOGO</v>
          </cell>
          <cell r="N249" t="str">
            <v>UPCOUNTRY</v>
          </cell>
        </row>
        <row r="250">
          <cell r="B250" t="str">
            <v>AC253</v>
          </cell>
          <cell r="C250" t="str">
            <v>TAFIRE</v>
          </cell>
          <cell r="D250" t="str">
            <v>-5.169928</v>
          </cell>
          <cell r="E250" t="str">
            <v>9.068533</v>
          </cell>
          <cell r="F250" t="str">
            <v>2G/3G/4G</v>
          </cell>
          <cell r="G250" t="str">
            <v>HUAWEI</v>
          </cell>
          <cell r="H250" t="str">
            <v>MOOV</v>
          </cell>
          <cell r="I250" t="str">
            <v>TAFIRE</v>
          </cell>
          <cell r="J250" t="str">
            <v>TAFIRE</v>
          </cell>
          <cell r="K250" t="str">
            <v>NIAKARAMADOUGOU</v>
          </cell>
          <cell r="L250" t="str">
            <v>HAMBOL</v>
          </cell>
          <cell r="M250" t="str">
            <v>KORHOGO</v>
          </cell>
          <cell r="N250" t="str">
            <v>UPCOUNTRY</v>
          </cell>
        </row>
        <row r="251">
          <cell r="B251" t="str">
            <v>AC254</v>
          </cell>
          <cell r="C251" t="str">
            <v>NAPIE</v>
          </cell>
          <cell r="D251" t="str">
            <v>-5.582293</v>
          </cell>
          <cell r="E251" t="str">
            <v>9.287305</v>
          </cell>
          <cell r="F251" t="str">
            <v>2G/3G/4G</v>
          </cell>
          <cell r="G251" t="str">
            <v>HUAWEI</v>
          </cell>
          <cell r="H251" t="str">
            <v>MOOV</v>
          </cell>
          <cell r="I251" t="str">
            <v>NAVINEKAHA</v>
          </cell>
          <cell r="J251" t="str">
            <v>NAPIEOLEDOUGOU</v>
          </cell>
          <cell r="K251" t="str">
            <v>KORHOGO</v>
          </cell>
          <cell r="L251" t="str">
            <v>PORO</v>
          </cell>
          <cell r="M251" t="str">
            <v>KORHOGO</v>
          </cell>
          <cell r="N251" t="str">
            <v>UPCOUNTRY</v>
          </cell>
        </row>
        <row r="252">
          <cell r="B252" t="str">
            <v>AC255</v>
          </cell>
          <cell r="C252" t="str">
            <v>SEHIZRA</v>
          </cell>
          <cell r="D252" t="str">
            <v>-6.1008</v>
          </cell>
          <cell r="E252" t="str">
            <v>6.9189</v>
          </cell>
          <cell r="F252" t="str">
            <v>2G/3G/4G</v>
          </cell>
          <cell r="G252" t="str">
            <v>HUAWEI</v>
          </cell>
          <cell r="H252" t="str">
            <v>CIT</v>
          </cell>
          <cell r="I252" t="str">
            <v>SEHIZRA</v>
          </cell>
          <cell r="J252" t="str">
            <v>BONON</v>
          </cell>
          <cell r="K252" t="str">
            <v>BOUAFLE</v>
          </cell>
          <cell r="L252" t="str">
            <v>MARAHOUE</v>
          </cell>
          <cell r="M252" t="str">
            <v>DALOA</v>
          </cell>
          <cell r="N252" t="str">
            <v>UPCOUNTRY</v>
          </cell>
        </row>
        <row r="253">
          <cell r="B253" t="str">
            <v>AC256</v>
          </cell>
          <cell r="C253" t="str">
            <v>KOUAKRO_CIT</v>
          </cell>
          <cell r="D253" t="str">
            <v>-3.4905582</v>
          </cell>
          <cell r="E253" t="str">
            <v>5.28499696</v>
          </cell>
          <cell r="F253" t="str">
            <v>2G/3G/4G</v>
          </cell>
          <cell r="G253" t="str">
            <v>HUAWEI</v>
          </cell>
          <cell r="H253" t="str">
            <v>IHS (CIT)</v>
          </cell>
          <cell r="I253" t="str">
            <v>KOUAKRO</v>
          </cell>
          <cell r="J253" t="str">
            <v>BONOUA</v>
          </cell>
          <cell r="K253" t="str">
            <v>GRAND-BASSAM</v>
          </cell>
          <cell r="L253" t="str">
            <v>SUD-COMOE</v>
          </cell>
          <cell r="M253" t="str">
            <v>MARCORY</v>
          </cell>
          <cell r="N253" t="str">
            <v>UPCOUNTRY</v>
          </cell>
        </row>
        <row r="254">
          <cell r="B254" t="str">
            <v>AC257</v>
          </cell>
          <cell r="C254" t="str">
            <v>MAFERE</v>
          </cell>
          <cell r="D254" t="str">
            <v>-3.02622278</v>
          </cell>
          <cell r="E254" t="str">
            <v>5.415804</v>
          </cell>
          <cell r="F254" t="str">
            <v>2G/3G/4G</v>
          </cell>
          <cell r="G254" t="str">
            <v>ERICSSON</v>
          </cell>
          <cell r="H254" t="str">
            <v>IHS (CIT)</v>
          </cell>
          <cell r="I254" t="str">
            <v>MAFERE</v>
          </cell>
          <cell r="J254" t="str">
            <v>MAFERE</v>
          </cell>
          <cell r="K254" t="str">
            <v>ABOISSO</v>
          </cell>
          <cell r="L254" t="str">
            <v>SUD-COMOE</v>
          </cell>
          <cell r="M254" t="str">
            <v>MARCORY</v>
          </cell>
          <cell r="N254" t="str">
            <v>UPCOUNTRY</v>
          </cell>
        </row>
        <row r="255">
          <cell r="B255" t="str">
            <v>AC258</v>
          </cell>
          <cell r="C255" t="str">
            <v>NOE</v>
          </cell>
          <cell r="D255" t="str">
            <v>-2.79832931</v>
          </cell>
          <cell r="E255" t="str">
            <v>5.28999796</v>
          </cell>
          <cell r="F255" t="str">
            <v>2G/3G/4G</v>
          </cell>
          <cell r="G255" t="str">
            <v>ERICSSON</v>
          </cell>
          <cell r="H255" t="str">
            <v>IHS (CIT)</v>
          </cell>
          <cell r="I255" t="str">
            <v>NOE</v>
          </cell>
          <cell r="J255" t="str">
            <v>NOE</v>
          </cell>
          <cell r="K255" t="str">
            <v>TIAPOUM</v>
          </cell>
          <cell r="L255" t="str">
            <v>SUD-COMOE</v>
          </cell>
          <cell r="M255" t="str">
            <v>MARCORY</v>
          </cell>
          <cell r="N255" t="str">
            <v>UPCOUNTRY</v>
          </cell>
        </row>
        <row r="256">
          <cell r="B256" t="str">
            <v>AC259</v>
          </cell>
          <cell r="C256" t="str">
            <v>BOUAPE</v>
          </cell>
          <cell r="D256" t="str">
            <v>-3.81625324</v>
          </cell>
          <cell r="E256" t="str">
            <v>6.26327616</v>
          </cell>
          <cell r="F256" t="str">
            <v>2G/3G/4G</v>
          </cell>
          <cell r="G256" t="str">
            <v>ERICSSON</v>
          </cell>
          <cell r="H256" t="str">
            <v>IHS (CIT)</v>
          </cell>
          <cell r="I256" t="str">
            <v>BOUAPE</v>
          </cell>
          <cell r="J256" t="str">
            <v>ADZOPE</v>
          </cell>
          <cell r="K256" t="str">
            <v>ADZOPE</v>
          </cell>
          <cell r="L256" t="str">
            <v>LA ME</v>
          </cell>
          <cell r="M256" t="str">
            <v>ABENGOUROU</v>
          </cell>
          <cell r="N256" t="str">
            <v>UPCOUNTRY</v>
          </cell>
        </row>
        <row r="257">
          <cell r="B257" t="str">
            <v>AC260</v>
          </cell>
          <cell r="C257" t="str">
            <v>ANIASSUE</v>
          </cell>
          <cell r="D257" t="str">
            <v>-3.68308773</v>
          </cell>
          <cell r="E257" t="str">
            <v>6.65858428</v>
          </cell>
          <cell r="F257" t="str">
            <v>2G/3G/4G</v>
          </cell>
          <cell r="G257" t="str">
            <v>ERICSSON</v>
          </cell>
          <cell r="H257" t="str">
            <v>IHS (CIT)</v>
          </cell>
          <cell r="I257" t="str">
            <v>ANIASSUE</v>
          </cell>
          <cell r="J257" t="str">
            <v>ANIASSUE</v>
          </cell>
          <cell r="K257" t="str">
            <v>ABENGOUROU</v>
          </cell>
          <cell r="L257" t="str">
            <v>INDENIE-DJUABLIN</v>
          </cell>
          <cell r="M257" t="str">
            <v>ABENGOUROU</v>
          </cell>
          <cell r="N257" t="str">
            <v>UPCOUNTRY</v>
          </cell>
        </row>
        <row r="258">
          <cell r="B258" t="str">
            <v>AC261</v>
          </cell>
          <cell r="C258" t="str">
            <v>SIAGO</v>
          </cell>
          <cell r="D258" t="str">
            <v>-2.95389051</v>
          </cell>
          <cell r="E258" t="str">
            <v>7.93750296</v>
          </cell>
          <cell r="F258" t="str">
            <v>2G/3G/4G</v>
          </cell>
          <cell r="G258" t="str">
            <v>ERICSSON</v>
          </cell>
          <cell r="H258" t="str">
            <v>IHS (CIT)</v>
          </cell>
          <cell r="I258" t="str">
            <v>SIAGO</v>
          </cell>
          <cell r="J258" t="str">
            <v>GOUMERE</v>
          </cell>
          <cell r="K258" t="str">
            <v>BONDOUKOU</v>
          </cell>
          <cell r="L258" t="str">
            <v>GONTOUGO</v>
          </cell>
          <cell r="M258" t="str">
            <v>ABENGOUROU</v>
          </cell>
          <cell r="N258" t="str">
            <v>UPCOUNTRY</v>
          </cell>
        </row>
        <row r="259">
          <cell r="B259" t="str">
            <v>AC262</v>
          </cell>
          <cell r="C259" t="str">
            <v>DIEKADIOKRO</v>
          </cell>
          <cell r="D259" t="str">
            <v>-4.4146</v>
          </cell>
          <cell r="E259" t="str">
            <v>6.4934</v>
          </cell>
          <cell r="F259" t="str">
            <v>2G/3G/4G</v>
          </cell>
          <cell r="G259" t="str">
            <v>HUAWEI</v>
          </cell>
          <cell r="H259" t="str">
            <v>IHS (CIT)</v>
          </cell>
          <cell r="I259" t="str">
            <v>DIEKADIOKRO</v>
          </cell>
          <cell r="J259" t="str">
            <v>M'BATTO</v>
          </cell>
          <cell r="K259" t="str">
            <v>M'BATTO</v>
          </cell>
          <cell r="L259" t="str">
            <v>MORONOU</v>
          </cell>
          <cell r="M259" t="str">
            <v>ABENGOUROU</v>
          </cell>
          <cell r="N259" t="str">
            <v>UPCOUNTRY</v>
          </cell>
        </row>
        <row r="260">
          <cell r="B260" t="str">
            <v>AC263</v>
          </cell>
          <cell r="C260" t="str">
            <v>HERMANKONO</v>
          </cell>
          <cell r="D260" t="str">
            <v>-5.00889066</v>
          </cell>
          <cell r="E260" t="str">
            <v>5.9272195</v>
          </cell>
          <cell r="F260" t="str">
            <v>2G/3G/4G</v>
          </cell>
          <cell r="G260" t="str">
            <v>ERICSSON</v>
          </cell>
          <cell r="H260" t="str">
            <v>IHS (CIT)</v>
          </cell>
          <cell r="I260" t="str">
            <v>HERMANKONO-GARO</v>
          </cell>
          <cell r="J260" t="str">
            <v>OGOUDOU</v>
          </cell>
          <cell r="K260" t="str">
            <v>DIVO</v>
          </cell>
          <cell r="L260" t="str">
            <v>LOH-DJIBOUA</v>
          </cell>
          <cell r="M260" t="str">
            <v>DIVO</v>
          </cell>
          <cell r="N260" t="str">
            <v>UPCOUNTRY</v>
          </cell>
        </row>
        <row r="261">
          <cell r="B261" t="str">
            <v>AC264</v>
          </cell>
          <cell r="C261" t="str">
            <v>DAGOUAHIO</v>
          </cell>
          <cell r="D261" t="str">
            <v>-6.2478</v>
          </cell>
          <cell r="E261" t="str">
            <v>5.995</v>
          </cell>
          <cell r="F261" t="str">
            <v>2G/3G/4G</v>
          </cell>
          <cell r="G261" t="str">
            <v>HUAWEI</v>
          </cell>
          <cell r="H261" t="str">
            <v>CIT</v>
          </cell>
          <cell r="I261" t="str">
            <v>ONAHIO</v>
          </cell>
          <cell r="J261" t="str">
            <v>GALEBRE</v>
          </cell>
          <cell r="K261" t="str">
            <v>GAGNOA</v>
          </cell>
          <cell r="L261" t="str">
            <v>GOH</v>
          </cell>
          <cell r="M261" t="str">
            <v>SOUBRE</v>
          </cell>
          <cell r="N261" t="str">
            <v>UPCOUNTRY</v>
          </cell>
        </row>
        <row r="262">
          <cell r="B262" t="str">
            <v>AC265</v>
          </cell>
          <cell r="C262" t="str">
            <v>BOGUEDIA</v>
          </cell>
          <cell r="D262" t="str">
            <v>-6.5213</v>
          </cell>
          <cell r="E262" t="str">
            <v>6.6383</v>
          </cell>
          <cell r="F262" t="str">
            <v>2G/3G/4G</v>
          </cell>
          <cell r="G262" t="str">
            <v>HUAWEI</v>
          </cell>
          <cell r="H262" t="str">
            <v>IHS (CIT)</v>
          </cell>
          <cell r="I262" t="str">
            <v>BOGUEDIA</v>
          </cell>
          <cell r="J262" t="str">
            <v>BOGUEDIA</v>
          </cell>
          <cell r="K262" t="str">
            <v>ISSIA</v>
          </cell>
          <cell r="L262" t="str">
            <v>HAUT-SASSANDRA</v>
          </cell>
          <cell r="M262" t="str">
            <v>DALOA</v>
          </cell>
          <cell r="N262" t="str">
            <v>UPCOUNTRY</v>
          </cell>
        </row>
        <row r="263">
          <cell r="B263" t="str">
            <v>AC266</v>
          </cell>
          <cell r="C263" t="str">
            <v>KONEFLA</v>
          </cell>
          <cell r="D263" t="str">
            <v>-5.5976</v>
          </cell>
          <cell r="E263" t="str">
            <v>6.6554</v>
          </cell>
          <cell r="F263" t="str">
            <v>2G/3G/4G</v>
          </cell>
          <cell r="G263" t="str">
            <v>HUAWEI</v>
          </cell>
          <cell r="H263" t="str">
            <v>MOOV</v>
          </cell>
          <cell r="I263" t="str">
            <v>KONEFLA</v>
          </cell>
          <cell r="J263" t="str">
            <v>KONONFLA</v>
          </cell>
          <cell r="K263" t="str">
            <v>SINFRA</v>
          </cell>
          <cell r="L263" t="str">
            <v>MARAHOUE</v>
          </cell>
          <cell r="M263" t="str">
            <v>GAGNOA</v>
          </cell>
          <cell r="N263" t="str">
            <v>UPCOUNTRY</v>
          </cell>
        </row>
        <row r="264">
          <cell r="B264" t="str">
            <v>AC267</v>
          </cell>
          <cell r="C264" t="str">
            <v>GBALEGUHE</v>
          </cell>
          <cell r="D264" t="str">
            <v>-6.514817</v>
          </cell>
          <cell r="E264" t="str">
            <v>6.228233</v>
          </cell>
          <cell r="F264" t="str">
            <v>2G/3G/4G</v>
          </cell>
          <cell r="G264" t="str">
            <v>HUAWEI</v>
          </cell>
          <cell r="H264" t="str">
            <v>IHS (CIT)</v>
          </cell>
          <cell r="I264" t="str">
            <v>GBALEGUHE</v>
          </cell>
          <cell r="J264" t="str">
            <v>GRAND-ZATTRY</v>
          </cell>
          <cell r="K264" t="str">
            <v>SOUBRE</v>
          </cell>
          <cell r="L264" t="str">
            <v>NAWA</v>
          </cell>
          <cell r="M264" t="str">
            <v>SOUBRE</v>
          </cell>
          <cell r="N264" t="str">
            <v>UPCOUNTRY</v>
          </cell>
        </row>
        <row r="265">
          <cell r="B265" t="str">
            <v>AC268</v>
          </cell>
          <cell r="C265" t="str">
            <v>MEAGUI_CIT</v>
          </cell>
          <cell r="D265" t="str">
            <v>-6.56631</v>
          </cell>
          <cell r="E265" t="str">
            <v>5.400339</v>
          </cell>
          <cell r="F265" t="str">
            <v>2G/3G/4G</v>
          </cell>
          <cell r="G265" t="str">
            <v>HUAWEI</v>
          </cell>
          <cell r="H265" t="str">
            <v>IHS (CIT)</v>
          </cell>
          <cell r="I265" t="str">
            <v>MEAGUI</v>
          </cell>
          <cell r="J265" t="str">
            <v>MEAGUI</v>
          </cell>
          <cell r="K265" t="str">
            <v>MEAGUI</v>
          </cell>
          <cell r="L265" t="str">
            <v>NAWA</v>
          </cell>
          <cell r="M265" t="str">
            <v>SOUBRE</v>
          </cell>
          <cell r="N265" t="str">
            <v>UPCOUNTRY</v>
          </cell>
        </row>
        <row r="266">
          <cell r="B266" t="str">
            <v>AC269</v>
          </cell>
          <cell r="C266" t="str">
            <v>MATHIEUKRO</v>
          </cell>
          <cell r="D266" t="str">
            <v>-6.49894554</v>
          </cell>
          <cell r="E266" t="str">
            <v>5.0246144</v>
          </cell>
          <cell r="F266" t="str">
            <v>2G/3G/4G</v>
          </cell>
          <cell r="G266" t="str">
            <v>ERICSSON</v>
          </cell>
          <cell r="H266" t="str">
            <v>IHS (CIT)</v>
          </cell>
          <cell r="I266" t="str">
            <v>MATHIEUKRO</v>
          </cell>
          <cell r="J266" t="str">
            <v>GABIADJI</v>
          </cell>
          <cell r="K266" t="str">
            <v>SAN-PEDRO</v>
          </cell>
          <cell r="L266" t="str">
            <v>SAN-PEDRO</v>
          </cell>
          <cell r="M266" t="str">
            <v>SAN-PEDRO</v>
          </cell>
          <cell r="N266" t="str">
            <v>UPCOUNTRY</v>
          </cell>
        </row>
        <row r="267">
          <cell r="B267" t="str">
            <v>AC270</v>
          </cell>
          <cell r="C267" t="str">
            <v>DASSIOKO_CIT</v>
          </cell>
          <cell r="D267" t="str">
            <v>-5.839352</v>
          </cell>
          <cell r="E267" t="str">
            <v>5.115273</v>
          </cell>
          <cell r="F267" t="str">
            <v>2G/3G/4G</v>
          </cell>
          <cell r="G267" t="str">
            <v>ERICSSON</v>
          </cell>
          <cell r="H267" t="str">
            <v>IHS (CIT)</v>
          </cell>
          <cell r="I267" t="str">
            <v>DASSIOKO</v>
          </cell>
          <cell r="J267" t="str">
            <v>FRESCO</v>
          </cell>
          <cell r="K267" t="str">
            <v>GBOKLE</v>
          </cell>
          <cell r="L267" t="str">
            <v>GBOKLE</v>
          </cell>
          <cell r="M267" t="str">
            <v>SAN-PEDRO</v>
          </cell>
          <cell r="N267" t="str">
            <v>UPCOUNTRY</v>
          </cell>
        </row>
        <row r="268">
          <cell r="B268" t="str">
            <v>AC271</v>
          </cell>
          <cell r="C268" t="str">
            <v>TOUPAH_CIT</v>
          </cell>
          <cell r="D268" t="str">
            <v>-4.56127635</v>
          </cell>
          <cell r="E268" t="str">
            <v>5.31200235</v>
          </cell>
          <cell r="F268" t="str">
            <v>2G/3G/4G</v>
          </cell>
          <cell r="G268" t="str">
            <v>ERICSSON</v>
          </cell>
          <cell r="H268" t="str">
            <v>IHS (CIT)</v>
          </cell>
          <cell r="I268" t="str">
            <v>TOUPAH</v>
          </cell>
          <cell r="J268" t="str">
            <v>TOUPAH</v>
          </cell>
          <cell r="K268" t="str">
            <v>DABOU</v>
          </cell>
          <cell r="L268" t="str">
            <v>GRANDS-PONTS</v>
          </cell>
          <cell r="M268" t="str">
            <v>YOPOUGON FICGAYO</v>
          </cell>
          <cell r="N268" t="str">
            <v>UPCOUNTRY</v>
          </cell>
        </row>
        <row r="269">
          <cell r="B269" t="str">
            <v>AC272</v>
          </cell>
          <cell r="C269" t="str">
            <v>KOTOBI</v>
          </cell>
          <cell r="D269" t="str">
            <v>-4.13352678</v>
          </cell>
          <cell r="E269" t="str">
            <v>6.71352383</v>
          </cell>
          <cell r="F269" t="str">
            <v>2G/3G/4G</v>
          </cell>
          <cell r="G269" t="str">
            <v>ERICSSON</v>
          </cell>
          <cell r="H269" t="str">
            <v>MOOV</v>
          </cell>
          <cell r="I269" t="str">
            <v>KOTOBI</v>
          </cell>
          <cell r="J269" t="str">
            <v>KOTOBI</v>
          </cell>
          <cell r="K269" t="str">
            <v>ARRAH</v>
          </cell>
          <cell r="L269" t="str">
            <v>MORONOU</v>
          </cell>
          <cell r="M269" t="str">
            <v>ABENGOUROU</v>
          </cell>
          <cell r="N269" t="str">
            <v>UPCOUNTRY</v>
          </cell>
        </row>
        <row r="270">
          <cell r="B270" t="str">
            <v>AC274</v>
          </cell>
          <cell r="C270" t="str">
            <v>MBATTO</v>
          </cell>
          <cell r="D270" t="str">
            <v>-4.350443</v>
          </cell>
          <cell r="E270" t="str">
            <v>6.472713</v>
          </cell>
          <cell r="F270" t="str">
            <v>2G/3G/4G</v>
          </cell>
          <cell r="G270" t="str">
            <v>HUAWEI</v>
          </cell>
          <cell r="H270" t="str">
            <v>IHS (OCI)</v>
          </cell>
          <cell r="I270" t="str">
            <v>MBATTO</v>
          </cell>
          <cell r="J270" t="str">
            <v>M'BATTO</v>
          </cell>
          <cell r="K270" t="str">
            <v>M'BATTO</v>
          </cell>
          <cell r="L270" t="str">
            <v>MORONOU</v>
          </cell>
          <cell r="M270" t="str">
            <v>ABENGOUROU</v>
          </cell>
          <cell r="N270" t="str">
            <v>UPCOUNTRY</v>
          </cell>
        </row>
        <row r="271">
          <cell r="B271" t="str">
            <v>AC275</v>
          </cell>
          <cell r="C271" t="str">
            <v>LOLOBO</v>
          </cell>
          <cell r="D271" t="str">
            <v>-5.268417</v>
          </cell>
          <cell r="E271" t="str">
            <v>6.955298</v>
          </cell>
          <cell r="F271" t="str">
            <v>2G/3G/4G</v>
          </cell>
          <cell r="G271" t="str">
            <v>HUAWEI</v>
          </cell>
          <cell r="H271" t="str">
            <v>IHS (OCI)</v>
          </cell>
          <cell r="I271" t="str">
            <v>LOLOBO</v>
          </cell>
          <cell r="J271" t="str">
            <v>LOLOBO</v>
          </cell>
          <cell r="K271" t="str">
            <v>ATTIEGOUAKRO</v>
          </cell>
          <cell r="L271" t="str">
            <v>YAMOUSSOUKRO</v>
          </cell>
          <cell r="M271" t="str">
            <v>YAMOUSSOUKRO</v>
          </cell>
          <cell r="N271" t="str">
            <v>UPCOUNTRY</v>
          </cell>
        </row>
        <row r="272">
          <cell r="B272" t="str">
            <v>AC277</v>
          </cell>
          <cell r="C272" t="str">
            <v>SINGROBO</v>
          </cell>
          <cell r="D272" t="str">
            <v>-4.90286139</v>
          </cell>
          <cell r="E272" t="str">
            <v>6.07947147</v>
          </cell>
          <cell r="F272" t="str">
            <v>2G/3G/4G</v>
          </cell>
          <cell r="G272" t="str">
            <v>ERICSSON</v>
          </cell>
          <cell r="H272" t="str">
            <v>IHS (OCI)</v>
          </cell>
          <cell r="I272" t="str">
            <v>SINGROBO</v>
          </cell>
          <cell r="J272" t="str">
            <v>PACCOBO</v>
          </cell>
          <cell r="K272" t="str">
            <v>TAABO</v>
          </cell>
          <cell r="L272" t="str">
            <v>AGNEBY-TIASSA</v>
          </cell>
          <cell r="M272" t="str">
            <v>YAMOUSSOUKRO</v>
          </cell>
          <cell r="N272" t="str">
            <v>UPCOUNTRY</v>
          </cell>
        </row>
        <row r="273">
          <cell r="B273" t="str">
            <v>AC278</v>
          </cell>
          <cell r="C273" t="str">
            <v>LAOGUIE</v>
          </cell>
          <cell r="D273" t="str">
            <v>-4.16083698</v>
          </cell>
          <cell r="E273" t="str">
            <v>5.96500117</v>
          </cell>
          <cell r="F273" t="str">
            <v>2G/3G/4G</v>
          </cell>
          <cell r="G273" t="str">
            <v>ERICSSON</v>
          </cell>
          <cell r="H273" t="str">
            <v>IDT</v>
          </cell>
          <cell r="I273" t="str">
            <v>LAOGUIE</v>
          </cell>
          <cell r="J273" t="str">
            <v>AGBOVILLE</v>
          </cell>
          <cell r="K273" t="str">
            <v>AGBOVILLE</v>
          </cell>
          <cell r="L273" t="str">
            <v>AGNEBY-TIASSA</v>
          </cell>
          <cell r="M273" t="str">
            <v>ABOBO</v>
          </cell>
          <cell r="N273" t="str">
            <v>UPCOUNTRY</v>
          </cell>
        </row>
        <row r="274">
          <cell r="B274" t="str">
            <v>AC279</v>
          </cell>
          <cell r="C274" t="str">
            <v>BEKOUEFIN</v>
          </cell>
          <cell r="D274" t="str">
            <v>-3.84311459</v>
          </cell>
          <cell r="E274" t="str">
            <v>6.4769997</v>
          </cell>
          <cell r="F274" t="str">
            <v>2G/3G/4G</v>
          </cell>
          <cell r="G274" t="str">
            <v>ERICSSON</v>
          </cell>
          <cell r="H274" t="str">
            <v>IDT</v>
          </cell>
          <cell r="I274" t="str">
            <v>BECOUEFIN</v>
          </cell>
          <cell r="J274" t="str">
            <v>BECOUEFIN</v>
          </cell>
          <cell r="K274" t="str">
            <v>AKOUPE</v>
          </cell>
          <cell r="L274" t="str">
            <v>LA ME</v>
          </cell>
          <cell r="M274" t="str">
            <v>ABENGOUROU</v>
          </cell>
          <cell r="N274" t="str">
            <v>UPCOUNTRY</v>
          </cell>
        </row>
        <row r="275">
          <cell r="B275" t="str">
            <v>AC280</v>
          </cell>
          <cell r="C275" t="str">
            <v>FEYASSE</v>
          </cell>
          <cell r="D275" t="str">
            <v>-3.39055935</v>
          </cell>
          <cell r="E275" t="str">
            <v>6.95639231</v>
          </cell>
          <cell r="F275" t="str">
            <v>2G/3G/4G</v>
          </cell>
          <cell r="G275" t="str">
            <v>ERICSSON</v>
          </cell>
          <cell r="H275" t="str">
            <v>IDT</v>
          </cell>
          <cell r="I275" t="str">
            <v>YAKASSE FEYASSE</v>
          </cell>
          <cell r="J275" t="str">
            <v>YAKASSE FEYASSE</v>
          </cell>
          <cell r="K275" t="str">
            <v>ABENGOUROU</v>
          </cell>
          <cell r="L275" t="str">
            <v>INDENIE-DJUABLIN</v>
          </cell>
          <cell r="M275" t="str">
            <v>ABENGOUROU</v>
          </cell>
          <cell r="N275" t="str">
            <v>UPCOUNTRY</v>
          </cell>
        </row>
        <row r="276">
          <cell r="B276" t="str">
            <v>AC281</v>
          </cell>
          <cell r="C276" t="str">
            <v>KOUN_ABRONZO</v>
          </cell>
          <cell r="D276" t="str">
            <v>-3.28888599</v>
          </cell>
          <cell r="E276" t="str">
            <v>7.53722085</v>
          </cell>
          <cell r="F276" t="str">
            <v>2G/3G/4G</v>
          </cell>
          <cell r="G276" t="str">
            <v>ERICSSON</v>
          </cell>
          <cell r="H276" t="str">
            <v>IDT</v>
          </cell>
          <cell r="I276" t="str">
            <v>KOUN-ABRONSO</v>
          </cell>
          <cell r="J276" t="str">
            <v>KOUN-FAO</v>
          </cell>
          <cell r="K276" t="str">
            <v>KOUN-FAO</v>
          </cell>
          <cell r="L276" t="str">
            <v>GONTOUGO</v>
          </cell>
          <cell r="M276" t="str">
            <v>ABENGOUROU</v>
          </cell>
          <cell r="N276" t="str">
            <v>UPCOUNTRY</v>
          </cell>
        </row>
        <row r="277">
          <cell r="B277" t="str">
            <v>AC282</v>
          </cell>
          <cell r="C277" t="str">
            <v>BINAO_RTI</v>
          </cell>
          <cell r="D277" t="str">
            <v>-4.68038823</v>
          </cell>
          <cell r="E277" t="str">
            <v>5.8169729</v>
          </cell>
          <cell r="F277" t="str">
            <v>2G/3G/4G</v>
          </cell>
          <cell r="G277" t="str">
            <v>ERICSSON</v>
          </cell>
          <cell r="H277" t="str">
            <v>IDT</v>
          </cell>
          <cell r="I277" t="str">
            <v>BINAO</v>
          </cell>
          <cell r="J277" t="str">
            <v>GBOLOUVILLE</v>
          </cell>
          <cell r="K277" t="str">
            <v>TIASSALE</v>
          </cell>
          <cell r="L277" t="str">
            <v>AGNEBY-TIASSA</v>
          </cell>
          <cell r="M277" t="str">
            <v>YOPOUGON SABLE</v>
          </cell>
          <cell r="N277" t="str">
            <v>UPCOUNTRY</v>
          </cell>
        </row>
        <row r="278">
          <cell r="B278" t="str">
            <v>AC283</v>
          </cell>
          <cell r="C278" t="str">
            <v>DOTENZIA</v>
          </cell>
          <cell r="D278" t="str">
            <v>-5.604018</v>
          </cell>
          <cell r="E278" t="str">
            <v>6.98499</v>
          </cell>
          <cell r="F278" t="str">
            <v>2G/3G/4G</v>
          </cell>
          <cell r="G278" t="str">
            <v>HUAWEI</v>
          </cell>
          <cell r="H278" t="str">
            <v>IDT</v>
          </cell>
          <cell r="I278" t="str">
            <v>LOTANZIA</v>
          </cell>
          <cell r="J278" t="str">
            <v>BOUAFLE</v>
          </cell>
          <cell r="K278" t="str">
            <v>BOUAFLE</v>
          </cell>
          <cell r="L278" t="str">
            <v>MARAHOUE</v>
          </cell>
          <cell r="M278" t="str">
            <v>YAMOUSSOUKRO</v>
          </cell>
          <cell r="N278" t="str">
            <v>UPCOUNTRY</v>
          </cell>
        </row>
        <row r="279">
          <cell r="B279" t="str">
            <v>AC284</v>
          </cell>
          <cell r="C279" t="str">
            <v>ABOISSO_2</v>
          </cell>
          <cell r="D279" t="str">
            <v>-3.213479</v>
          </cell>
          <cell r="E279" t="str">
            <v>5.466235</v>
          </cell>
          <cell r="F279" t="str">
            <v>2G/3G/4G</v>
          </cell>
          <cell r="G279" t="str">
            <v>ERICSSON</v>
          </cell>
          <cell r="H279" t="str">
            <v>IHS (CIT)</v>
          </cell>
          <cell r="I279" t="str">
            <v>ABOISSO</v>
          </cell>
          <cell r="J279" t="str">
            <v>ABOISSO</v>
          </cell>
          <cell r="K279" t="str">
            <v>ABOISSO</v>
          </cell>
          <cell r="L279" t="str">
            <v>SUD-COMOE</v>
          </cell>
          <cell r="M279" t="str">
            <v>MARCORY</v>
          </cell>
          <cell r="N279" t="str">
            <v>UPCOUNTRY</v>
          </cell>
        </row>
        <row r="280">
          <cell r="B280" t="str">
            <v>AC285</v>
          </cell>
          <cell r="C280" t="str">
            <v>BODO</v>
          </cell>
          <cell r="D280" t="str">
            <v>-4.68460006</v>
          </cell>
          <cell r="E280" t="str">
            <v>5.90570355</v>
          </cell>
          <cell r="F280" t="str">
            <v>2G/3G/4G</v>
          </cell>
          <cell r="G280" t="str">
            <v>ERICSSON</v>
          </cell>
          <cell r="H280" t="str">
            <v>MOOV</v>
          </cell>
          <cell r="I280" t="str">
            <v>BODO</v>
          </cell>
          <cell r="J280" t="str">
            <v>N'DOUCI</v>
          </cell>
          <cell r="K280" t="str">
            <v>TIASSALE</v>
          </cell>
          <cell r="L280" t="str">
            <v>AGNEBY-TIASSA</v>
          </cell>
          <cell r="M280" t="str">
            <v>YOPOUGON SABLE</v>
          </cell>
          <cell r="N280" t="str">
            <v>UPCOUNTRY</v>
          </cell>
        </row>
        <row r="281">
          <cell r="B281" t="str">
            <v>AC286</v>
          </cell>
          <cell r="C281" t="str">
            <v>ASSANGBADJI</v>
          </cell>
          <cell r="D281" t="str">
            <v>-3.87963</v>
          </cell>
          <cell r="E281" t="str">
            <v>6.41044</v>
          </cell>
          <cell r="F281" t="str">
            <v>2G/3G/4G</v>
          </cell>
          <cell r="G281" t="str">
            <v>ERICSSON</v>
          </cell>
          <cell r="H281" t="str">
            <v>MOOV</v>
          </cell>
          <cell r="I281" t="str">
            <v>ASSANGBADJI</v>
          </cell>
          <cell r="J281" t="str">
            <v>AKOUPE</v>
          </cell>
          <cell r="K281" t="str">
            <v>AKOUPE</v>
          </cell>
          <cell r="L281" t="str">
            <v>LA ME</v>
          </cell>
          <cell r="M281" t="str">
            <v>ABENGOUROU</v>
          </cell>
          <cell r="N281" t="str">
            <v>UPCOUNTRY</v>
          </cell>
        </row>
        <row r="282">
          <cell r="B282" t="str">
            <v>AC287</v>
          </cell>
          <cell r="C282" t="str">
            <v>DANANE</v>
          </cell>
          <cell r="D282" t="str">
            <v>-8.149929</v>
          </cell>
          <cell r="E282" t="str">
            <v>7.260266</v>
          </cell>
          <cell r="F282" t="str">
            <v>2G/3G/4G</v>
          </cell>
          <cell r="G282" t="str">
            <v>HUAWEI</v>
          </cell>
          <cell r="H282" t="str">
            <v>MOOV</v>
          </cell>
          <cell r="I282" t="str">
            <v>DANANE</v>
          </cell>
          <cell r="J282" t="str">
            <v>DANANE</v>
          </cell>
          <cell r="K282" t="str">
            <v>DANANE</v>
          </cell>
          <cell r="L282" t="str">
            <v>TONKPI</v>
          </cell>
          <cell r="M282" t="str">
            <v>MAN</v>
          </cell>
          <cell r="N282" t="str">
            <v>UPCOUNTRY</v>
          </cell>
        </row>
        <row r="283">
          <cell r="B283" t="str">
            <v>AC288</v>
          </cell>
          <cell r="C283" t="str">
            <v>BOUNA</v>
          </cell>
          <cell r="D283" t="str">
            <v>-2.99805156</v>
          </cell>
          <cell r="E283" t="str">
            <v>9.26950392</v>
          </cell>
          <cell r="F283" t="str">
            <v>2G/3G/4G</v>
          </cell>
          <cell r="G283" t="str">
            <v>ERICSSON</v>
          </cell>
          <cell r="H283" t="str">
            <v>MOOV</v>
          </cell>
          <cell r="I283" t="str">
            <v>BOUNA</v>
          </cell>
          <cell r="J283" t="str">
            <v>BOUNA</v>
          </cell>
          <cell r="K283" t="str">
            <v>BOUNA</v>
          </cell>
          <cell r="L283" t="str">
            <v>BOUNKANI</v>
          </cell>
          <cell r="M283" t="str">
            <v>ABENGOUROU</v>
          </cell>
          <cell r="N283" t="str">
            <v>UPCOUNTRY</v>
          </cell>
        </row>
        <row r="284">
          <cell r="B284" t="str">
            <v>AC289</v>
          </cell>
          <cell r="C284" t="str">
            <v>NEW_SAMATIGUILA</v>
          </cell>
          <cell r="D284" t="str">
            <v>-7.568757</v>
          </cell>
          <cell r="E284" t="str">
            <v>9.814049</v>
          </cell>
          <cell r="F284" t="str">
            <v>2G/3G/4G</v>
          </cell>
          <cell r="G284" t="str">
            <v>HUAWEI</v>
          </cell>
          <cell r="H284" t="str">
            <v>MOOV</v>
          </cell>
          <cell r="I284" t="str">
            <v>SAMATIGUILA</v>
          </cell>
          <cell r="J284" t="str">
            <v>SAMATIGUILA</v>
          </cell>
          <cell r="K284" t="str">
            <v>SAMATIGUILA</v>
          </cell>
          <cell r="L284" t="str">
            <v>KABADOUGOU</v>
          </cell>
          <cell r="M284" t="str">
            <v>MAN</v>
          </cell>
          <cell r="N284" t="str">
            <v>UPCOUNTRY</v>
          </cell>
        </row>
        <row r="285">
          <cell r="B285" t="str">
            <v>AC290</v>
          </cell>
          <cell r="C285" t="str">
            <v>MAN</v>
          </cell>
          <cell r="D285" t="str">
            <v>-7.5488</v>
          </cell>
          <cell r="E285" t="str">
            <v>7.4111</v>
          </cell>
          <cell r="F285" t="str">
            <v>2G/3G/4G</v>
          </cell>
          <cell r="G285" t="str">
            <v>HUAWEI</v>
          </cell>
          <cell r="H285" t="str">
            <v>MOOV</v>
          </cell>
          <cell r="I285" t="str">
            <v>MAN</v>
          </cell>
          <cell r="J285" t="str">
            <v>MAN</v>
          </cell>
          <cell r="K285" t="str">
            <v>MAN</v>
          </cell>
          <cell r="L285" t="str">
            <v>TONKPI</v>
          </cell>
          <cell r="M285" t="str">
            <v>MAN</v>
          </cell>
          <cell r="N285" t="str">
            <v>UPCOUNTRY</v>
          </cell>
        </row>
        <row r="286">
          <cell r="B286" t="str">
            <v>AC291</v>
          </cell>
          <cell r="C286" t="str">
            <v>DABAKALA</v>
          </cell>
          <cell r="D286" t="str">
            <v>-4.4270901</v>
          </cell>
          <cell r="E286" t="str">
            <v>8.3612657</v>
          </cell>
          <cell r="F286" t="str">
            <v>2G/3G/4G</v>
          </cell>
          <cell r="G286" t="str">
            <v>HUAWEI</v>
          </cell>
          <cell r="H286" t="str">
            <v>IHS (CIT)</v>
          </cell>
          <cell r="I286" t="str">
            <v>DABAKALA</v>
          </cell>
          <cell r="J286" t="str">
            <v>DABAKALA</v>
          </cell>
          <cell r="K286" t="str">
            <v>DABAKALA</v>
          </cell>
          <cell r="L286" t="str">
            <v>HAMBOL</v>
          </cell>
          <cell r="M286" t="str">
            <v>BOUAKE</v>
          </cell>
          <cell r="N286" t="str">
            <v>UPCOUNTRY</v>
          </cell>
        </row>
        <row r="287">
          <cell r="B287" t="str">
            <v>AC292</v>
          </cell>
          <cell r="C287" t="str">
            <v>TENGRELA</v>
          </cell>
          <cell r="D287" t="str">
            <v>-6.407911</v>
          </cell>
          <cell r="E287" t="str">
            <v>10.481738</v>
          </cell>
          <cell r="F287" t="str">
            <v>2G/3G/4G</v>
          </cell>
          <cell r="G287" t="str">
            <v>HUAWEI</v>
          </cell>
          <cell r="H287" t="str">
            <v>IHS (CIT)</v>
          </cell>
          <cell r="I287" t="str">
            <v>TENGRELA</v>
          </cell>
          <cell r="J287" t="str">
            <v>TENGRELA</v>
          </cell>
          <cell r="K287" t="str">
            <v>TENGRELA</v>
          </cell>
          <cell r="L287" t="str">
            <v>BAGOUE</v>
          </cell>
          <cell r="M287" t="str">
            <v>KORHOGO</v>
          </cell>
          <cell r="N287" t="str">
            <v>UPCOUNTRY</v>
          </cell>
        </row>
        <row r="288">
          <cell r="B288" t="str">
            <v>AC293</v>
          </cell>
          <cell r="C288" t="str">
            <v>OUANGOLO</v>
          </cell>
          <cell r="D288" t="str">
            <v>-5.155454</v>
          </cell>
          <cell r="E288" t="str">
            <v>9.970912</v>
          </cell>
          <cell r="F288" t="str">
            <v>2G/3G/4G</v>
          </cell>
          <cell r="G288" t="str">
            <v>HUAWEI</v>
          </cell>
          <cell r="H288" t="str">
            <v>IHS (CIT)</v>
          </cell>
          <cell r="I288" t="str">
            <v>OUANGOLODOUGOU</v>
          </cell>
          <cell r="J288" t="str">
            <v>OUANGOLODOUGOU</v>
          </cell>
          <cell r="K288" t="str">
            <v>OUANGOLODOUGOU</v>
          </cell>
          <cell r="L288" t="str">
            <v>TCHOLOGO</v>
          </cell>
          <cell r="M288" t="str">
            <v>KORHOGO</v>
          </cell>
          <cell r="N288" t="str">
            <v>UPCOUNTRY</v>
          </cell>
        </row>
        <row r="289">
          <cell r="B289" t="str">
            <v>AC294</v>
          </cell>
          <cell r="C289" t="str">
            <v>DIABO</v>
          </cell>
          <cell r="D289" t="str">
            <v>-5.1709887</v>
          </cell>
          <cell r="E289" t="str">
            <v>7.7776667</v>
          </cell>
          <cell r="F289" t="str">
            <v>2G/3G/4G</v>
          </cell>
          <cell r="G289" t="str">
            <v>HUAWEI</v>
          </cell>
          <cell r="H289" t="str">
            <v>MOOV</v>
          </cell>
          <cell r="I289" t="str">
            <v>DIABO</v>
          </cell>
          <cell r="J289" t="str">
            <v>DIABO</v>
          </cell>
          <cell r="K289" t="str">
            <v>BOTRO</v>
          </cell>
          <cell r="L289" t="str">
            <v>GBEKE</v>
          </cell>
          <cell r="M289" t="str">
            <v>BOUAKE</v>
          </cell>
          <cell r="N289" t="str">
            <v>UPCOUNTRY</v>
          </cell>
        </row>
        <row r="290">
          <cell r="B290" t="str">
            <v>AC295</v>
          </cell>
          <cell r="C290" t="str">
            <v>FRONAN</v>
          </cell>
          <cell r="D290" t="str">
            <v>-5.1267282</v>
          </cell>
          <cell r="E290" t="str">
            <v>8.2308349</v>
          </cell>
          <cell r="F290" t="str">
            <v>2G/3G/4G</v>
          </cell>
          <cell r="G290" t="str">
            <v>HUAWEI</v>
          </cell>
          <cell r="H290" t="str">
            <v>IHS (CIT)</v>
          </cell>
          <cell r="I290" t="str">
            <v>FRONAN</v>
          </cell>
          <cell r="J290" t="str">
            <v>FRONAN</v>
          </cell>
          <cell r="K290" t="str">
            <v>KATIOLA</v>
          </cell>
          <cell r="L290" t="str">
            <v>HAMBOL</v>
          </cell>
          <cell r="M290" t="str">
            <v>BOUAKE</v>
          </cell>
          <cell r="N290" t="str">
            <v>UPCOUNTRY</v>
          </cell>
        </row>
        <row r="291">
          <cell r="B291" t="str">
            <v>AC296</v>
          </cell>
          <cell r="C291" t="str">
            <v>TIENINGBOUE</v>
          </cell>
          <cell r="D291" t="str">
            <v>-5.7226048</v>
          </cell>
          <cell r="E291" t="str">
            <v>8.1814898</v>
          </cell>
          <cell r="F291" t="str">
            <v>2G/3G/4G</v>
          </cell>
          <cell r="G291" t="str">
            <v>HUAWEI</v>
          </cell>
          <cell r="H291" t="str">
            <v>IHS (CIT)</v>
          </cell>
          <cell r="I291" t="str">
            <v>TIENINGBOUE</v>
          </cell>
          <cell r="J291" t="str">
            <v>TIENINGBOUE</v>
          </cell>
          <cell r="K291" t="str">
            <v>MANKONO</v>
          </cell>
          <cell r="L291" t="str">
            <v>BERE</v>
          </cell>
          <cell r="M291" t="str">
            <v>BOUAKE</v>
          </cell>
          <cell r="N291" t="str">
            <v>UPCOUNTRY</v>
          </cell>
        </row>
        <row r="292">
          <cell r="B292" t="str">
            <v>AC297</v>
          </cell>
          <cell r="C292" t="str">
            <v>MANKONO</v>
          </cell>
          <cell r="D292" t="str">
            <v>-6.1868308</v>
          </cell>
          <cell r="E292" t="str">
            <v>8.0502408</v>
          </cell>
          <cell r="F292" t="str">
            <v>2G/3G/4G</v>
          </cell>
          <cell r="G292" t="str">
            <v>HUAWEI</v>
          </cell>
          <cell r="H292" t="str">
            <v>IHS (CIT)</v>
          </cell>
          <cell r="I292" t="str">
            <v>MANKONO</v>
          </cell>
          <cell r="J292" t="str">
            <v>MANKONO</v>
          </cell>
          <cell r="K292" t="str">
            <v>MANKONO</v>
          </cell>
          <cell r="L292" t="str">
            <v>BERE</v>
          </cell>
          <cell r="M292" t="str">
            <v>BOUAKE</v>
          </cell>
          <cell r="N292" t="str">
            <v>UPCOUNTRY</v>
          </cell>
        </row>
        <row r="293">
          <cell r="B293" t="str">
            <v>AC298</v>
          </cell>
          <cell r="C293" t="str">
            <v>SEGUELA</v>
          </cell>
          <cell r="D293" t="str">
            <v>-6.669061</v>
          </cell>
          <cell r="E293" t="str">
            <v>7.964761</v>
          </cell>
          <cell r="F293" t="str">
            <v>2G/3G/4G</v>
          </cell>
          <cell r="G293" t="str">
            <v>HUAWEI</v>
          </cell>
          <cell r="H293" t="str">
            <v>IHS (CIT)</v>
          </cell>
          <cell r="I293" t="str">
            <v>SEGUELA</v>
          </cell>
          <cell r="J293" t="str">
            <v>SEGUELA</v>
          </cell>
          <cell r="K293" t="str">
            <v>SEGUELA</v>
          </cell>
          <cell r="L293" t="str">
            <v>WORODOUGOU</v>
          </cell>
          <cell r="M293" t="str">
            <v>DALOA</v>
          </cell>
          <cell r="N293" t="str">
            <v>UPCOUNTRY</v>
          </cell>
        </row>
        <row r="294">
          <cell r="B294" t="str">
            <v>AC299</v>
          </cell>
          <cell r="C294" t="str">
            <v>VAVOUA</v>
          </cell>
          <cell r="D294" t="str">
            <v>-6.475848</v>
          </cell>
          <cell r="E294" t="str">
            <v>7.38486</v>
          </cell>
          <cell r="F294" t="str">
            <v>2G/3G/4G</v>
          </cell>
          <cell r="G294" t="str">
            <v>HUAWEI</v>
          </cell>
          <cell r="H294" t="str">
            <v>IHS (CIT)</v>
          </cell>
          <cell r="I294" t="str">
            <v>VAVOUA</v>
          </cell>
          <cell r="J294" t="str">
            <v>VAVOUA</v>
          </cell>
          <cell r="K294" t="str">
            <v>VAVOUA</v>
          </cell>
          <cell r="L294" t="str">
            <v>HAUT-SASSANDRA</v>
          </cell>
          <cell r="M294" t="str">
            <v>DALOA</v>
          </cell>
          <cell r="N294" t="str">
            <v>UPCOUNTRY</v>
          </cell>
        </row>
        <row r="295">
          <cell r="B295" t="str">
            <v>AC300</v>
          </cell>
          <cell r="C295" t="str">
            <v>ZOUKOUGBEU</v>
          </cell>
          <cell r="D295" t="str">
            <v>-6.8656</v>
          </cell>
          <cell r="E295" t="str">
            <v>6.7646</v>
          </cell>
          <cell r="F295" t="str">
            <v>2G/3G/4G</v>
          </cell>
          <cell r="G295" t="str">
            <v>HUAWEI</v>
          </cell>
          <cell r="H295" t="str">
            <v>IDT</v>
          </cell>
          <cell r="I295" t="str">
            <v>ZOUKOUGBEU</v>
          </cell>
          <cell r="J295" t="str">
            <v>ZOUKOUGBEU</v>
          </cell>
          <cell r="K295" t="str">
            <v>ZOUKOUGBEU</v>
          </cell>
          <cell r="L295" t="str">
            <v>HAUT-SASSANDRA</v>
          </cell>
          <cell r="M295" t="str">
            <v>DALOA</v>
          </cell>
          <cell r="N295" t="str">
            <v>UPCOUNTRY</v>
          </cell>
        </row>
        <row r="296">
          <cell r="B296" t="str">
            <v>AC301</v>
          </cell>
          <cell r="C296" t="str">
            <v>BANGOLO</v>
          </cell>
          <cell r="D296" t="str">
            <v>-7.485046</v>
          </cell>
          <cell r="E296" t="str">
            <v>7.001883</v>
          </cell>
          <cell r="F296" t="str">
            <v>2G/3G/4G</v>
          </cell>
          <cell r="G296" t="str">
            <v>HUAWEI</v>
          </cell>
          <cell r="H296" t="str">
            <v>MOOV</v>
          </cell>
          <cell r="I296" t="str">
            <v>BANGOLO</v>
          </cell>
          <cell r="J296" t="str">
            <v>BANGOLO</v>
          </cell>
          <cell r="K296" t="str">
            <v>BANGOLO</v>
          </cell>
          <cell r="L296" t="str">
            <v>GUEMON</v>
          </cell>
          <cell r="M296" t="str">
            <v>MAN</v>
          </cell>
          <cell r="N296" t="str">
            <v>UPCOUNTRY</v>
          </cell>
        </row>
        <row r="297">
          <cell r="B297" t="str">
            <v>AC302</v>
          </cell>
          <cell r="C297" t="str">
            <v>BIANKOUMA</v>
          </cell>
          <cell r="D297" t="str">
            <v>-7.61034</v>
          </cell>
          <cell r="E297" t="str">
            <v>7.745739</v>
          </cell>
          <cell r="F297" t="str">
            <v>2G/3G/4G</v>
          </cell>
          <cell r="G297" t="str">
            <v>HUAWEI</v>
          </cell>
          <cell r="H297" t="str">
            <v>IHS (CIT)</v>
          </cell>
          <cell r="I297" t="str">
            <v>BIANKOUMA</v>
          </cell>
          <cell r="J297" t="str">
            <v>BIANKOUMA</v>
          </cell>
          <cell r="K297" t="str">
            <v>BIANKOUMA</v>
          </cell>
          <cell r="L297" t="str">
            <v>TONKPI</v>
          </cell>
          <cell r="M297" t="str">
            <v>MAN</v>
          </cell>
          <cell r="N297" t="str">
            <v>UPCOUNTRY</v>
          </cell>
        </row>
        <row r="298">
          <cell r="B298" t="str">
            <v>AC303</v>
          </cell>
          <cell r="C298" t="str">
            <v>KORO</v>
          </cell>
          <cell r="D298" t="str">
            <v>-7.4561</v>
          </cell>
          <cell r="E298" t="str">
            <v>8.5494</v>
          </cell>
          <cell r="F298" t="str">
            <v>2G/3G/4G</v>
          </cell>
          <cell r="G298" t="str">
            <v>HUAWEI</v>
          </cell>
          <cell r="H298" t="str">
            <v>IHS (CIT)</v>
          </cell>
          <cell r="I298" t="str">
            <v>KORO</v>
          </cell>
          <cell r="J298" t="str">
            <v>KORO</v>
          </cell>
          <cell r="K298" t="str">
            <v>KORO</v>
          </cell>
          <cell r="L298" t="str">
            <v>BAFING</v>
          </cell>
          <cell r="M298" t="str">
            <v>MAN</v>
          </cell>
          <cell r="N298" t="str">
            <v>UPCOUNTRY</v>
          </cell>
        </row>
        <row r="299">
          <cell r="B299" t="str">
            <v>AC304</v>
          </cell>
          <cell r="C299" t="str">
            <v>BOROTOU</v>
          </cell>
          <cell r="D299" t="str">
            <v>-7.4934</v>
          </cell>
          <cell r="E299" t="str">
            <v>8.7318</v>
          </cell>
          <cell r="F299" t="str">
            <v>2G/3G/4G</v>
          </cell>
          <cell r="G299" t="str">
            <v>HUAWEI</v>
          </cell>
          <cell r="H299" t="str">
            <v>IHS (CIT)</v>
          </cell>
          <cell r="I299" t="str">
            <v>BOROTOU</v>
          </cell>
          <cell r="J299" t="str">
            <v>BOROTOU</v>
          </cell>
          <cell r="K299" t="str">
            <v>KORO</v>
          </cell>
          <cell r="L299" t="str">
            <v>BAFING</v>
          </cell>
          <cell r="M299" t="str">
            <v>MAN</v>
          </cell>
          <cell r="N299" t="str">
            <v>UPCOUNTRY</v>
          </cell>
        </row>
        <row r="300">
          <cell r="B300" t="str">
            <v>AC305</v>
          </cell>
          <cell r="C300" t="str">
            <v>ODIENNE</v>
          </cell>
          <cell r="D300" t="str">
            <v>-7.562218</v>
          </cell>
          <cell r="E300" t="str">
            <v>9.504953</v>
          </cell>
          <cell r="F300" t="str">
            <v>2G/3G/4G</v>
          </cell>
          <cell r="G300" t="str">
            <v>HUAWEI</v>
          </cell>
          <cell r="H300" t="str">
            <v>IHS (CIT)</v>
          </cell>
          <cell r="I300" t="str">
            <v>ODIENNE</v>
          </cell>
          <cell r="J300" t="str">
            <v>ODIENNE</v>
          </cell>
          <cell r="K300" t="str">
            <v>ODIENNE</v>
          </cell>
          <cell r="L300" t="str">
            <v>KABADOUGOU</v>
          </cell>
          <cell r="M300" t="str">
            <v>MAN</v>
          </cell>
          <cell r="N300" t="str">
            <v>UPCOUNTRY</v>
          </cell>
        </row>
        <row r="301">
          <cell r="B301" t="str">
            <v>AC306</v>
          </cell>
          <cell r="C301" t="str">
            <v>ZOUAN_HOUNIEN</v>
          </cell>
          <cell r="D301" t="str">
            <v>-8.2051</v>
          </cell>
          <cell r="E301" t="str">
            <v>6.9165</v>
          </cell>
          <cell r="F301" t="str">
            <v>2G/3G/4G</v>
          </cell>
          <cell r="G301" t="str">
            <v>HUAWEI</v>
          </cell>
          <cell r="H301" t="str">
            <v>IHS (CIT)</v>
          </cell>
          <cell r="I301" t="str">
            <v>ZOUAN-HOUNIEN</v>
          </cell>
          <cell r="J301" t="str">
            <v>ZOUAN-HOUNIEN</v>
          </cell>
          <cell r="K301" t="str">
            <v>ZOUAN-HOUNIEN</v>
          </cell>
          <cell r="L301" t="str">
            <v>TONKPI</v>
          </cell>
          <cell r="M301" t="str">
            <v>MAN</v>
          </cell>
          <cell r="N301" t="str">
            <v>UPCOUNTRY</v>
          </cell>
        </row>
        <row r="302">
          <cell r="B302" t="str">
            <v>AC307</v>
          </cell>
          <cell r="C302" t="str">
            <v>TOULEPLEU</v>
          </cell>
          <cell r="D302" t="str">
            <v>-8.4083</v>
          </cell>
          <cell r="E302" t="str">
            <v>6.5902</v>
          </cell>
          <cell r="F302" t="str">
            <v>2G/3G/4G</v>
          </cell>
          <cell r="G302" t="str">
            <v>HUAWEI</v>
          </cell>
          <cell r="H302" t="str">
            <v>IHS (CIT)</v>
          </cell>
          <cell r="I302" t="str">
            <v>TOULEPLEU</v>
          </cell>
          <cell r="J302" t="str">
            <v>TOULEPLEU</v>
          </cell>
          <cell r="K302" t="str">
            <v>TOULEPLEU</v>
          </cell>
          <cell r="L302" t="str">
            <v>CAVALLY</v>
          </cell>
          <cell r="M302" t="str">
            <v>MAN</v>
          </cell>
          <cell r="N302" t="str">
            <v>UPCOUNTRY</v>
          </cell>
        </row>
        <row r="303">
          <cell r="B303" t="str">
            <v>AC308</v>
          </cell>
          <cell r="C303" t="str">
            <v>DOROPO</v>
          </cell>
          <cell r="D303" t="str">
            <v>-3.35526</v>
          </cell>
          <cell r="E303" t="str">
            <v>9.811104</v>
          </cell>
          <cell r="F303" t="str">
            <v>2G/3G/4G</v>
          </cell>
          <cell r="G303" t="str">
            <v>ERICSSON</v>
          </cell>
          <cell r="H303" t="str">
            <v>MOOV</v>
          </cell>
          <cell r="I303" t="str">
            <v>DOROPO</v>
          </cell>
          <cell r="J303" t="str">
            <v>DOROPO</v>
          </cell>
          <cell r="K303" t="str">
            <v>DOROPO</v>
          </cell>
          <cell r="L303" t="str">
            <v>BOUNKANI</v>
          </cell>
          <cell r="M303" t="str">
            <v>ABENGOUROU</v>
          </cell>
          <cell r="N303" t="str">
            <v>UPCOUNTRY</v>
          </cell>
        </row>
        <row r="304">
          <cell r="B304" t="str">
            <v>AC309</v>
          </cell>
          <cell r="C304" t="str">
            <v>NIAKARA</v>
          </cell>
          <cell r="D304" t="str">
            <v>-5.2763512</v>
          </cell>
          <cell r="E304" t="str">
            <v>8.6555437</v>
          </cell>
          <cell r="F304" t="str">
            <v>2G/3G/4G</v>
          </cell>
          <cell r="G304" t="str">
            <v>HUAWEI</v>
          </cell>
          <cell r="H304" t="str">
            <v>MOOV</v>
          </cell>
          <cell r="I304" t="str">
            <v>NIAKARAMADOUGOU</v>
          </cell>
          <cell r="J304" t="str">
            <v>NIAKARAMADOUGOU</v>
          </cell>
          <cell r="K304" t="str">
            <v>NIAKARAMADOUGOU</v>
          </cell>
          <cell r="L304" t="str">
            <v>HAMBOL</v>
          </cell>
          <cell r="M304" t="str">
            <v>KORHOGO</v>
          </cell>
          <cell r="N304" t="str">
            <v>UPCOUNTRY</v>
          </cell>
        </row>
        <row r="305">
          <cell r="B305" t="str">
            <v>AC310</v>
          </cell>
          <cell r="C305" t="str">
            <v>ELOKATE</v>
          </cell>
          <cell r="D305" t="str">
            <v>-3.748027</v>
          </cell>
          <cell r="E305" t="str">
            <v>5.29558</v>
          </cell>
          <cell r="F305" t="str">
            <v>2G/3G/4G</v>
          </cell>
          <cell r="G305" t="str">
            <v>ERICSSON</v>
          </cell>
          <cell r="H305" t="str">
            <v>MOOV</v>
          </cell>
          <cell r="I305" t="str">
            <v>ELOKATE</v>
          </cell>
          <cell r="J305" t="str">
            <v>BINGERVILLE</v>
          </cell>
          <cell r="K305" t="str">
            <v>ABIDJAN</v>
          </cell>
          <cell r="L305" t="str">
            <v>ABIDJAN</v>
          </cell>
          <cell r="M305" t="str">
            <v>COCODY LATRILLE</v>
          </cell>
          <cell r="N305" t="str">
            <v>ABIDJAN</v>
          </cell>
        </row>
        <row r="306">
          <cell r="B306" t="str">
            <v>AC311</v>
          </cell>
          <cell r="C306" t="str">
            <v>BKE_BELVILLE</v>
          </cell>
          <cell r="D306" t="str">
            <v>-4.9941114</v>
          </cell>
          <cell r="E306" t="str">
            <v>7.7176709</v>
          </cell>
          <cell r="F306" t="str">
            <v>2G/3G/4G</v>
          </cell>
          <cell r="G306" t="str">
            <v>HUAWEI</v>
          </cell>
          <cell r="H306" t="str">
            <v>MOOV</v>
          </cell>
          <cell r="I306" t="str">
            <v>BOUAKE</v>
          </cell>
          <cell r="J306" t="str">
            <v>BOUAKE</v>
          </cell>
          <cell r="K306" t="str">
            <v>BOUAKE</v>
          </cell>
          <cell r="L306" t="str">
            <v>GBEKE</v>
          </cell>
          <cell r="M306" t="str">
            <v>BOUAKE</v>
          </cell>
          <cell r="N306" t="str">
            <v>UPCOUNTRY</v>
          </cell>
        </row>
        <row r="307">
          <cell r="B307" t="str">
            <v>IM017</v>
          </cell>
          <cell r="C307" t="str">
            <v>NEW_MACA</v>
          </cell>
          <cell r="D307" t="str">
            <v>-4.080532</v>
          </cell>
          <cell r="E307" t="str">
            <v>5.391973</v>
          </cell>
          <cell r="F307" t="str">
            <v>2G/3G/4G</v>
          </cell>
          <cell r="G307" t="str">
            <v>ERICSSON</v>
          </cell>
          <cell r="H307" t="str">
            <v>MOOV</v>
          </cell>
          <cell r="I307" t="str">
            <v>YOPOUGON</v>
          </cell>
          <cell r="J307" t="str">
            <v>ABIDJAN</v>
          </cell>
          <cell r="K307" t="str">
            <v>ABIDJAN</v>
          </cell>
          <cell r="L307" t="str">
            <v>ABIDJAN</v>
          </cell>
          <cell r="M307" t="str">
            <v>YOPOUGON SABLE</v>
          </cell>
          <cell r="N307" t="str">
            <v>ABIDJAN</v>
          </cell>
        </row>
        <row r="308">
          <cell r="B308" t="str">
            <v>AC313</v>
          </cell>
          <cell r="C308" t="str">
            <v>YOP_ZI</v>
          </cell>
          <cell r="D308" t="str">
            <v>-4.07655736</v>
          </cell>
          <cell r="E308" t="str">
            <v>5.37286135</v>
          </cell>
          <cell r="F308" t="str">
            <v>2G/3G/4G</v>
          </cell>
          <cell r="G308" t="str">
            <v>ERICSSON</v>
          </cell>
          <cell r="H308" t="str">
            <v>MOOV</v>
          </cell>
          <cell r="I308" t="str">
            <v>YOPOUGON</v>
          </cell>
          <cell r="J308" t="str">
            <v>ABIDJAN</v>
          </cell>
          <cell r="K308" t="str">
            <v>ABIDJAN</v>
          </cell>
          <cell r="L308" t="str">
            <v>ABIDJAN</v>
          </cell>
          <cell r="M308" t="str">
            <v>YOPOUGON SABLE</v>
          </cell>
          <cell r="N308" t="str">
            <v>ABIDJAN</v>
          </cell>
        </row>
        <row r="309">
          <cell r="B309" t="str">
            <v>AC314</v>
          </cell>
          <cell r="C309" t="str">
            <v>GESCO</v>
          </cell>
          <cell r="D309" t="str">
            <v>-4.113303</v>
          </cell>
          <cell r="E309" t="str">
            <v>5.370335</v>
          </cell>
          <cell r="F309" t="str">
            <v>2G/3G/4G</v>
          </cell>
          <cell r="G309" t="str">
            <v>ERICSSON</v>
          </cell>
          <cell r="H309" t="str">
            <v>MOOV</v>
          </cell>
          <cell r="I309" t="str">
            <v>YOPOUGON</v>
          </cell>
          <cell r="J309" t="str">
            <v>ABIDJAN</v>
          </cell>
          <cell r="K309" t="str">
            <v>ABIDJAN</v>
          </cell>
          <cell r="L309" t="str">
            <v>ABIDJAN</v>
          </cell>
          <cell r="M309" t="str">
            <v>YOPOUGON FICGAYO</v>
          </cell>
          <cell r="N309" t="str">
            <v>ABIDJAN</v>
          </cell>
        </row>
        <row r="310">
          <cell r="B310" t="str">
            <v>AC315</v>
          </cell>
          <cell r="C310" t="str">
            <v>ANDOKOI</v>
          </cell>
          <cell r="D310" t="str">
            <v>-4.06838959</v>
          </cell>
          <cell r="E310" t="str">
            <v>5.36737636</v>
          </cell>
          <cell r="F310" t="str">
            <v>2G/3G/4G</v>
          </cell>
          <cell r="G310" t="str">
            <v>ERICSSON</v>
          </cell>
          <cell r="H310" t="str">
            <v>MOOV</v>
          </cell>
          <cell r="I310" t="str">
            <v>YOPOUGON</v>
          </cell>
          <cell r="J310" t="str">
            <v>ABIDJAN</v>
          </cell>
          <cell r="K310" t="str">
            <v>ABIDJAN</v>
          </cell>
          <cell r="L310" t="str">
            <v>ABIDJAN</v>
          </cell>
          <cell r="M310" t="str">
            <v>YOPOUGON SABLE</v>
          </cell>
          <cell r="N310" t="str">
            <v>ABIDJAN</v>
          </cell>
        </row>
        <row r="311">
          <cell r="B311" t="str">
            <v>AC316</v>
          </cell>
          <cell r="C311" t="str">
            <v>GUICHANROLAIN</v>
          </cell>
          <cell r="D311" t="str">
            <v>-4.09462036</v>
          </cell>
          <cell r="E311" t="str">
            <v>5.35028033</v>
          </cell>
          <cell r="F311" t="str">
            <v>2G/3G/4G</v>
          </cell>
          <cell r="G311" t="str">
            <v>ERICSSON</v>
          </cell>
          <cell r="H311" t="str">
            <v>MOOV</v>
          </cell>
          <cell r="I311" t="str">
            <v>YOPOUGON</v>
          </cell>
          <cell r="J311" t="str">
            <v>ABIDJAN</v>
          </cell>
          <cell r="K311" t="str">
            <v>ABIDJAN</v>
          </cell>
          <cell r="L311" t="str">
            <v>ABIDJAN</v>
          </cell>
          <cell r="M311" t="str">
            <v>YOPOUGON FICGAYO</v>
          </cell>
          <cell r="N311" t="str">
            <v>ABIDJAN</v>
          </cell>
        </row>
        <row r="312">
          <cell r="B312" t="str">
            <v>AC317</v>
          </cell>
          <cell r="C312" t="str">
            <v>CELIA</v>
          </cell>
          <cell r="D312" t="str">
            <v>-4.0822455</v>
          </cell>
          <cell r="E312" t="str">
            <v>5.35388409</v>
          </cell>
          <cell r="F312" t="str">
            <v>2G/3G/4G</v>
          </cell>
          <cell r="G312" t="str">
            <v>ERICSSON</v>
          </cell>
          <cell r="H312" t="str">
            <v>MOOV</v>
          </cell>
          <cell r="I312" t="str">
            <v>YOPOUGON</v>
          </cell>
          <cell r="J312" t="str">
            <v>ABIDJAN</v>
          </cell>
          <cell r="K312" t="str">
            <v>ABIDJAN</v>
          </cell>
          <cell r="L312" t="str">
            <v>ABIDJAN</v>
          </cell>
          <cell r="M312" t="str">
            <v>YOPOUGON FICGAYO</v>
          </cell>
          <cell r="N312" t="str">
            <v>ABIDJAN</v>
          </cell>
        </row>
        <row r="313">
          <cell r="B313" t="str">
            <v>AC318</v>
          </cell>
          <cell r="C313" t="str">
            <v>SIPOREX</v>
          </cell>
          <cell r="D313" t="str">
            <v>-4.07213058</v>
          </cell>
          <cell r="E313" t="str">
            <v>5.35463452</v>
          </cell>
          <cell r="F313" t="str">
            <v>2G/3G/4G</v>
          </cell>
          <cell r="G313" t="str">
            <v>ERICSSON</v>
          </cell>
          <cell r="H313" t="str">
            <v>IHS (MTN)</v>
          </cell>
          <cell r="I313" t="str">
            <v>YOPOUGON</v>
          </cell>
          <cell r="J313" t="str">
            <v>ABIDJAN</v>
          </cell>
          <cell r="K313" t="str">
            <v>ABIDJAN</v>
          </cell>
          <cell r="L313" t="str">
            <v>ABIDJAN</v>
          </cell>
          <cell r="M313" t="str">
            <v>YOPOUGON SABLE</v>
          </cell>
          <cell r="N313" t="str">
            <v>ABIDJAN</v>
          </cell>
        </row>
        <row r="314">
          <cell r="B314" t="str">
            <v>AC319</v>
          </cell>
          <cell r="C314" t="str">
            <v>BANCO</v>
          </cell>
          <cell r="D314" t="str">
            <v>-4.05272774</v>
          </cell>
          <cell r="E314" t="str">
            <v>5.35438</v>
          </cell>
          <cell r="F314" t="str">
            <v>2G/3G/4G</v>
          </cell>
          <cell r="G314" t="str">
            <v>ERICSSON</v>
          </cell>
          <cell r="H314" t="str">
            <v>MOOV</v>
          </cell>
          <cell r="I314" t="str">
            <v>YOPOUGON</v>
          </cell>
          <cell r="J314" t="str">
            <v>ABIDJAN</v>
          </cell>
          <cell r="K314" t="str">
            <v>ABIDJAN</v>
          </cell>
          <cell r="L314" t="str">
            <v>ABIDJAN</v>
          </cell>
          <cell r="M314" t="str">
            <v>YOPOUGON SABLE</v>
          </cell>
          <cell r="N314" t="str">
            <v>ABIDJAN</v>
          </cell>
        </row>
        <row r="315">
          <cell r="B315" t="str">
            <v>AC320</v>
          </cell>
          <cell r="C315" t="str">
            <v>PMI</v>
          </cell>
          <cell r="D315" t="str">
            <v>-4.07993</v>
          </cell>
          <cell r="E315" t="str">
            <v>5.34365</v>
          </cell>
          <cell r="F315" t="str">
            <v>2G/3G/4G</v>
          </cell>
          <cell r="G315" t="str">
            <v>ERICSSON</v>
          </cell>
          <cell r="H315" t="str">
            <v>MOOV</v>
          </cell>
          <cell r="I315" t="str">
            <v>YOPOUGON</v>
          </cell>
          <cell r="J315" t="str">
            <v>ABIDJAN</v>
          </cell>
          <cell r="K315" t="str">
            <v>ABIDJAN</v>
          </cell>
          <cell r="L315" t="str">
            <v>ABIDJAN</v>
          </cell>
          <cell r="M315" t="str">
            <v>YOPOUGON FICGAYO</v>
          </cell>
          <cell r="N315" t="str">
            <v>ABIDJAN</v>
          </cell>
        </row>
        <row r="316">
          <cell r="B316" t="str">
            <v>AC321</v>
          </cell>
          <cell r="C316" t="str">
            <v>LAVAGE</v>
          </cell>
          <cell r="D316" t="str">
            <v>-4.07339</v>
          </cell>
          <cell r="E316" t="str">
            <v>5.3392</v>
          </cell>
          <cell r="F316" t="str">
            <v>2G/3G/4G</v>
          </cell>
          <cell r="G316" t="str">
            <v>ERICSSON</v>
          </cell>
          <cell r="H316" t="str">
            <v>MOOV</v>
          </cell>
          <cell r="I316" t="str">
            <v>YOPOUGON</v>
          </cell>
          <cell r="J316" t="str">
            <v>ABIDJAN</v>
          </cell>
          <cell r="K316" t="str">
            <v>ABIDJAN</v>
          </cell>
          <cell r="L316" t="str">
            <v>ABIDJAN</v>
          </cell>
          <cell r="M316" t="str">
            <v>YOPOUGON SABLE</v>
          </cell>
          <cell r="N316" t="str">
            <v>ABIDJAN</v>
          </cell>
        </row>
        <row r="317">
          <cell r="B317" t="str">
            <v>AC322</v>
          </cell>
          <cell r="C317" t="str">
            <v>BIRANGO</v>
          </cell>
          <cell r="D317" t="str">
            <v>-4.06672</v>
          </cell>
          <cell r="E317" t="str">
            <v>5.34782386</v>
          </cell>
          <cell r="F317" t="str">
            <v>2G/3G/4G</v>
          </cell>
          <cell r="G317" t="str">
            <v>ERICSSON</v>
          </cell>
          <cell r="H317" t="str">
            <v>MOOV</v>
          </cell>
          <cell r="I317" t="str">
            <v>YOPOUGON</v>
          </cell>
          <cell r="J317" t="str">
            <v>ABIDJAN</v>
          </cell>
          <cell r="K317" t="str">
            <v>ABIDJAN</v>
          </cell>
          <cell r="L317" t="str">
            <v>ABIDJAN</v>
          </cell>
          <cell r="M317" t="str">
            <v>YOPOUGON SABLE</v>
          </cell>
          <cell r="N317" t="str">
            <v>ABIDJAN</v>
          </cell>
        </row>
        <row r="318">
          <cell r="B318" t="str">
            <v>AC323</v>
          </cell>
          <cell r="C318" t="str">
            <v>A7</v>
          </cell>
          <cell r="D318" t="str">
            <v>-4.0522725</v>
          </cell>
          <cell r="E318" t="str">
            <v>5.34140896</v>
          </cell>
          <cell r="F318" t="str">
            <v>2G/3G/4G</v>
          </cell>
          <cell r="G318" t="str">
            <v>ERICSSON</v>
          </cell>
          <cell r="H318" t="str">
            <v>MOOV</v>
          </cell>
          <cell r="I318" t="str">
            <v>YOPOUGON</v>
          </cell>
          <cell r="J318" t="str">
            <v>ABIDJAN</v>
          </cell>
          <cell r="K318" t="str">
            <v>ABIDJAN</v>
          </cell>
          <cell r="L318" t="str">
            <v>ABIDJAN</v>
          </cell>
          <cell r="M318" t="str">
            <v>YOPOUGON SABLE</v>
          </cell>
          <cell r="N318" t="str">
            <v>ABIDJAN</v>
          </cell>
        </row>
        <row r="319">
          <cell r="B319" t="str">
            <v>AC324</v>
          </cell>
          <cell r="C319" t="str">
            <v>KM17</v>
          </cell>
          <cell r="D319" t="str">
            <v>-4.13242673</v>
          </cell>
          <cell r="E319" t="str">
            <v>5.33789266</v>
          </cell>
          <cell r="F319" t="str">
            <v>2G/3G/4G</v>
          </cell>
          <cell r="G319" t="str">
            <v>ERICSSON</v>
          </cell>
          <cell r="H319" t="str">
            <v>MOOV</v>
          </cell>
          <cell r="I319" t="str">
            <v>ADIOPODOUME</v>
          </cell>
          <cell r="J319" t="str">
            <v>SONGON</v>
          </cell>
          <cell r="K319" t="str">
            <v>ABIDJAN</v>
          </cell>
          <cell r="L319" t="str">
            <v>ABIDJAN</v>
          </cell>
          <cell r="M319" t="str">
            <v>YOPOUGON FICGAYO</v>
          </cell>
          <cell r="N319" t="str">
            <v>ABIDJAN</v>
          </cell>
        </row>
        <row r="320">
          <cell r="B320" t="str">
            <v>AC325</v>
          </cell>
          <cell r="C320" t="str">
            <v>ACADEMIE</v>
          </cell>
          <cell r="D320" t="str">
            <v>-4.11567869</v>
          </cell>
          <cell r="E320" t="str">
            <v>5.31806989</v>
          </cell>
          <cell r="F320" t="str">
            <v>2G/3G/4G</v>
          </cell>
          <cell r="G320" t="str">
            <v>ERICSSON</v>
          </cell>
          <cell r="H320" t="str">
            <v>MOOV</v>
          </cell>
          <cell r="I320" t="str">
            <v>YOPOUGON</v>
          </cell>
          <cell r="J320" t="str">
            <v>ABIDJAN</v>
          </cell>
          <cell r="K320" t="str">
            <v>ABIDJAN</v>
          </cell>
          <cell r="L320" t="str">
            <v>ABIDJAN</v>
          </cell>
          <cell r="M320" t="str">
            <v>YOPOUGON FICGAYO</v>
          </cell>
          <cell r="N320" t="str">
            <v>ABIDJAN</v>
          </cell>
        </row>
        <row r="321">
          <cell r="B321" t="str">
            <v>AC326</v>
          </cell>
          <cell r="C321" t="str">
            <v>COPRIM</v>
          </cell>
          <cell r="D321" t="str">
            <v>-4.09627846</v>
          </cell>
          <cell r="E321" t="str">
            <v>5.32354971</v>
          </cell>
          <cell r="F321" t="str">
            <v>2G/3G/4G</v>
          </cell>
          <cell r="G321" t="str">
            <v>ERICSSON</v>
          </cell>
          <cell r="H321" t="str">
            <v>MOOV</v>
          </cell>
          <cell r="I321" t="str">
            <v>YOPOUGON</v>
          </cell>
          <cell r="J321" t="str">
            <v>ABIDJAN</v>
          </cell>
          <cell r="K321" t="str">
            <v>ABIDJAN</v>
          </cell>
          <cell r="L321" t="str">
            <v>ABIDJAN</v>
          </cell>
          <cell r="M321" t="str">
            <v>YOPOUGON FICGAYO</v>
          </cell>
          <cell r="N321" t="str">
            <v>ABIDJAN</v>
          </cell>
        </row>
        <row r="322">
          <cell r="B322" t="str">
            <v>AC327</v>
          </cell>
          <cell r="C322" t="str">
            <v>PALAIS</v>
          </cell>
          <cell r="D322" t="str">
            <v>-4.07283022</v>
          </cell>
          <cell r="E322" t="str">
            <v>5.32103127</v>
          </cell>
          <cell r="F322" t="str">
            <v>2G/3G/4G</v>
          </cell>
          <cell r="G322" t="str">
            <v>ERICSSON</v>
          </cell>
          <cell r="H322" t="str">
            <v>MOOV</v>
          </cell>
          <cell r="I322" t="str">
            <v>YOPOUGON</v>
          </cell>
          <cell r="J322" t="str">
            <v>ABIDJAN</v>
          </cell>
          <cell r="K322" t="str">
            <v>ABIDJAN</v>
          </cell>
          <cell r="L322" t="str">
            <v>ABIDJAN</v>
          </cell>
          <cell r="M322" t="str">
            <v>YOPOUGON SABLE</v>
          </cell>
          <cell r="N322" t="str">
            <v>ABIDJAN</v>
          </cell>
        </row>
        <row r="323">
          <cell r="B323" t="str">
            <v>AC328</v>
          </cell>
          <cell r="C323" t="str">
            <v>NAKOKO</v>
          </cell>
          <cell r="D323" t="str">
            <v>-4.05989318</v>
          </cell>
          <cell r="E323" t="str">
            <v>5.32813589</v>
          </cell>
          <cell r="F323" t="str">
            <v>2G/3G/4G</v>
          </cell>
          <cell r="G323" t="str">
            <v>ERICSSON</v>
          </cell>
          <cell r="H323" t="str">
            <v>MOOV</v>
          </cell>
          <cell r="I323" t="str">
            <v>YOPOUGON</v>
          </cell>
          <cell r="J323" t="str">
            <v>ABIDJAN</v>
          </cell>
          <cell r="K323" t="str">
            <v>ABIDJAN</v>
          </cell>
          <cell r="L323" t="str">
            <v>ABIDJAN</v>
          </cell>
          <cell r="M323" t="str">
            <v>YOPOUGON SABLE</v>
          </cell>
          <cell r="N323" t="str">
            <v>ABIDJAN</v>
          </cell>
        </row>
        <row r="324">
          <cell r="B324" t="str">
            <v>AC329</v>
          </cell>
          <cell r="C324" t="str">
            <v>TOIT_ROUGE</v>
          </cell>
          <cell r="D324" t="str">
            <v>-4.04941781</v>
          </cell>
          <cell r="E324" t="str">
            <v>5.32367655</v>
          </cell>
          <cell r="F324" t="str">
            <v>2G/3G/4G</v>
          </cell>
          <cell r="G324" t="str">
            <v>ERICSSON</v>
          </cell>
          <cell r="H324" t="str">
            <v>MOOV</v>
          </cell>
          <cell r="I324" t="str">
            <v>YOPOUGON</v>
          </cell>
          <cell r="J324" t="str">
            <v>ABIDJAN</v>
          </cell>
          <cell r="K324" t="str">
            <v>ABIDJAN</v>
          </cell>
          <cell r="L324" t="str">
            <v>ABIDJAN</v>
          </cell>
          <cell r="M324" t="str">
            <v>YOPOUGON SABLE</v>
          </cell>
          <cell r="N324" t="str">
            <v>ABIDJAN</v>
          </cell>
        </row>
        <row r="325">
          <cell r="B325" t="str">
            <v>AC330</v>
          </cell>
          <cell r="C325" t="str">
            <v>AZITO</v>
          </cell>
          <cell r="D325" t="str">
            <v>-4.086489</v>
          </cell>
          <cell r="E325" t="str">
            <v>5.306648</v>
          </cell>
          <cell r="F325" t="str">
            <v>2G/3G/4G</v>
          </cell>
          <cell r="G325" t="str">
            <v>ERICSSON</v>
          </cell>
          <cell r="H325" t="str">
            <v>MOOV</v>
          </cell>
          <cell r="I325" t="str">
            <v>YOPOUGON</v>
          </cell>
          <cell r="J325" t="str">
            <v>ABIDJAN</v>
          </cell>
          <cell r="K325" t="str">
            <v>ABIDJAN</v>
          </cell>
          <cell r="L325" t="str">
            <v>ABIDJAN</v>
          </cell>
          <cell r="M325" t="str">
            <v>YOPOUGON FICGAYO</v>
          </cell>
          <cell r="N325" t="str">
            <v>ABIDJAN</v>
          </cell>
        </row>
        <row r="326">
          <cell r="B326" t="str">
            <v>AC331</v>
          </cell>
          <cell r="C326" t="str">
            <v>AGBAN_VILLAGE</v>
          </cell>
          <cell r="D326" t="str">
            <v>-4.0329286</v>
          </cell>
          <cell r="E326" t="str">
            <v>5.35992993</v>
          </cell>
          <cell r="F326" t="str">
            <v>2G/3G/4G</v>
          </cell>
          <cell r="G326" t="str">
            <v>ERICSSON</v>
          </cell>
          <cell r="H326" t="str">
            <v>MOOV</v>
          </cell>
          <cell r="I326" t="str">
            <v>ATTECOUBE</v>
          </cell>
          <cell r="J326" t="str">
            <v>ABIDJAN</v>
          </cell>
          <cell r="K326" t="str">
            <v>ABIDJAN</v>
          </cell>
          <cell r="L326" t="str">
            <v>ABIDJAN</v>
          </cell>
          <cell r="M326" t="str">
            <v>PLATEAU</v>
          </cell>
          <cell r="N326" t="str">
            <v>ABIDJAN</v>
          </cell>
        </row>
        <row r="327">
          <cell r="B327" t="str">
            <v>AC332</v>
          </cell>
          <cell r="C327" t="str">
            <v>LATIN</v>
          </cell>
          <cell r="D327" t="str">
            <v>-4.0197</v>
          </cell>
          <cell r="E327" t="str">
            <v>5.3599</v>
          </cell>
          <cell r="F327" t="str">
            <v>2G/3G/4G</v>
          </cell>
          <cell r="G327" t="str">
            <v>ERICSSON</v>
          </cell>
          <cell r="H327" t="str">
            <v>MOOV</v>
          </cell>
          <cell r="I327" t="str">
            <v>ADJAME</v>
          </cell>
          <cell r="J327" t="str">
            <v>ABIDJAN</v>
          </cell>
          <cell r="K327" t="str">
            <v>ABIDJAN</v>
          </cell>
          <cell r="L327" t="str">
            <v>ABIDJAN</v>
          </cell>
          <cell r="M327" t="str">
            <v>PLATEAU</v>
          </cell>
          <cell r="N327" t="str">
            <v>ABIDJAN</v>
          </cell>
        </row>
        <row r="328">
          <cell r="B328" t="str">
            <v>AC333</v>
          </cell>
          <cell r="C328" t="str">
            <v>DJEDA</v>
          </cell>
          <cell r="D328" t="str">
            <v>-4.02786</v>
          </cell>
          <cell r="E328" t="str">
            <v>5.350776</v>
          </cell>
          <cell r="F328" t="str">
            <v>2G/3G/4G</v>
          </cell>
          <cell r="G328" t="str">
            <v>ERICSSON</v>
          </cell>
          <cell r="H328" t="str">
            <v>MOOV</v>
          </cell>
          <cell r="I328" t="str">
            <v>ADJAME</v>
          </cell>
          <cell r="J328" t="str">
            <v>ABIDJAN</v>
          </cell>
          <cell r="K328" t="str">
            <v>ABIDJAN</v>
          </cell>
          <cell r="L328" t="str">
            <v>ABIDJAN</v>
          </cell>
          <cell r="M328" t="str">
            <v>PLATEAU</v>
          </cell>
          <cell r="N328" t="str">
            <v>ABIDJAN</v>
          </cell>
        </row>
        <row r="329">
          <cell r="B329" t="str">
            <v>AC334</v>
          </cell>
          <cell r="C329" t="str">
            <v>STIF</v>
          </cell>
          <cell r="D329" t="str">
            <v>-4.0203476</v>
          </cell>
          <cell r="E329" t="str">
            <v>5.35399032</v>
          </cell>
          <cell r="F329" t="str">
            <v>2G/3G/4G</v>
          </cell>
          <cell r="G329" t="str">
            <v>ERICSSON</v>
          </cell>
          <cell r="H329" t="str">
            <v>MOOV</v>
          </cell>
          <cell r="I329" t="str">
            <v>ADJAME</v>
          </cell>
          <cell r="J329" t="str">
            <v>ABIDJAN</v>
          </cell>
          <cell r="K329" t="str">
            <v>ABIDJAN</v>
          </cell>
          <cell r="L329" t="str">
            <v>ABIDJAN</v>
          </cell>
          <cell r="M329" t="str">
            <v>PLATEAU</v>
          </cell>
          <cell r="N329" t="str">
            <v>ABIDJAN</v>
          </cell>
        </row>
        <row r="330">
          <cell r="B330" t="str">
            <v>AC335</v>
          </cell>
          <cell r="C330" t="str">
            <v>ATTECOUBE_EGLISE</v>
          </cell>
          <cell r="D330" t="str">
            <v>-4.033902</v>
          </cell>
          <cell r="E330" t="str">
            <v>5.344078</v>
          </cell>
          <cell r="F330" t="str">
            <v>2G/3G/4G</v>
          </cell>
          <cell r="G330" t="str">
            <v>ERICSSON</v>
          </cell>
          <cell r="H330" t="str">
            <v>MOOV</v>
          </cell>
          <cell r="I330" t="str">
            <v>ATTECOUBE</v>
          </cell>
          <cell r="J330" t="str">
            <v>ABIDJAN</v>
          </cell>
          <cell r="K330" t="str">
            <v>ABIDJAN</v>
          </cell>
          <cell r="L330" t="str">
            <v>ABIDJAN</v>
          </cell>
          <cell r="M330" t="str">
            <v>YOPOUGON SABLE</v>
          </cell>
          <cell r="N330" t="str">
            <v>ABIDJAN</v>
          </cell>
        </row>
        <row r="331">
          <cell r="B331" t="str">
            <v>AC336</v>
          </cell>
          <cell r="C331" t="str">
            <v>INST</v>
          </cell>
          <cell r="D331" t="str">
            <v>-4.0178477</v>
          </cell>
          <cell r="E331" t="str">
            <v>5.34845887</v>
          </cell>
          <cell r="F331" t="str">
            <v>2G/3G/4G</v>
          </cell>
          <cell r="G331" t="str">
            <v>ERICSSON</v>
          </cell>
          <cell r="H331" t="str">
            <v>MOOV</v>
          </cell>
          <cell r="I331" t="str">
            <v>ADJAME</v>
          </cell>
          <cell r="J331" t="str">
            <v>ABIDJAN</v>
          </cell>
          <cell r="K331" t="str">
            <v>ABIDJAN</v>
          </cell>
          <cell r="L331" t="str">
            <v>ABIDJAN</v>
          </cell>
          <cell r="M331" t="str">
            <v>PLATEAU</v>
          </cell>
          <cell r="N331" t="str">
            <v>ABIDJAN</v>
          </cell>
        </row>
        <row r="332">
          <cell r="B332" t="str">
            <v>AC338</v>
          </cell>
          <cell r="C332" t="str">
            <v>SITARAIL_P</v>
          </cell>
          <cell r="D332" t="str">
            <v>-4.02567323</v>
          </cell>
          <cell r="E332" t="str">
            <v>5.3275788</v>
          </cell>
          <cell r="F332" t="str">
            <v>2G/3G/4G</v>
          </cell>
          <cell r="G332" t="str">
            <v>ERICSSON</v>
          </cell>
          <cell r="H332" t="str">
            <v>MOOV</v>
          </cell>
          <cell r="I332" t="str">
            <v>PLATEAU</v>
          </cell>
          <cell r="J332" t="str">
            <v>ABIDJAN</v>
          </cell>
          <cell r="K332" t="str">
            <v>ABIDJAN</v>
          </cell>
          <cell r="L332" t="str">
            <v>ABIDJAN</v>
          </cell>
          <cell r="M332" t="str">
            <v>PLATEAU</v>
          </cell>
          <cell r="N332" t="str">
            <v>ABIDJAN</v>
          </cell>
        </row>
        <row r="333">
          <cell r="B333" t="str">
            <v>AC339</v>
          </cell>
          <cell r="C333" t="str">
            <v>STADE</v>
          </cell>
          <cell r="D333" t="str">
            <v>-4.01972624</v>
          </cell>
          <cell r="E333" t="str">
            <v>5.32749823</v>
          </cell>
          <cell r="F333" t="str">
            <v>2G/3G/4G</v>
          </cell>
          <cell r="G333" t="str">
            <v>ERICSSON</v>
          </cell>
          <cell r="H333" t="str">
            <v>MOOV</v>
          </cell>
          <cell r="I333" t="str">
            <v>PLATEAU</v>
          </cell>
          <cell r="J333" t="str">
            <v>ABIDJAN</v>
          </cell>
          <cell r="K333" t="str">
            <v>ABIDJAN</v>
          </cell>
          <cell r="L333" t="str">
            <v>ABIDJAN</v>
          </cell>
          <cell r="M333" t="str">
            <v>PLATEAU</v>
          </cell>
          <cell r="N333" t="str">
            <v>ABIDJAN</v>
          </cell>
        </row>
        <row r="334">
          <cell r="B334" t="str">
            <v>AC340</v>
          </cell>
          <cell r="C334" t="str">
            <v>CITE_RAN</v>
          </cell>
          <cell r="D334" t="str">
            <v>-4.02392342</v>
          </cell>
          <cell r="E334" t="str">
            <v>5.32264309</v>
          </cell>
          <cell r="F334" t="str">
            <v>2G/3G/4G</v>
          </cell>
          <cell r="G334" t="str">
            <v>ERICSSON</v>
          </cell>
          <cell r="H334" t="str">
            <v>MOOV</v>
          </cell>
          <cell r="I334" t="str">
            <v>PLATEAU</v>
          </cell>
          <cell r="J334" t="str">
            <v>ABIDJAN</v>
          </cell>
          <cell r="K334" t="str">
            <v>ABIDJAN</v>
          </cell>
          <cell r="L334" t="str">
            <v>ABIDJAN</v>
          </cell>
          <cell r="M334" t="str">
            <v>PLATEAU</v>
          </cell>
          <cell r="N334" t="str">
            <v>ABIDJAN</v>
          </cell>
        </row>
        <row r="335">
          <cell r="B335" t="str">
            <v>AC341</v>
          </cell>
          <cell r="C335" t="str">
            <v>PLATEAU_CITEPORT</v>
          </cell>
          <cell r="D335" t="str">
            <v>-4.014475</v>
          </cell>
          <cell r="E335" t="str">
            <v>5.322563</v>
          </cell>
          <cell r="F335" t="str">
            <v>2G/3G/4G/5G</v>
          </cell>
          <cell r="G335" t="str">
            <v>ERICSSON</v>
          </cell>
          <cell r="H335" t="str">
            <v>MOOV</v>
          </cell>
          <cell r="I335" t="str">
            <v>PLATEAU</v>
          </cell>
          <cell r="J335" t="str">
            <v>ABIDJAN</v>
          </cell>
          <cell r="K335" t="str">
            <v>ABIDJAN</v>
          </cell>
          <cell r="L335" t="str">
            <v>ABIDJAN</v>
          </cell>
          <cell r="M335" t="str">
            <v>PLATEAU</v>
          </cell>
          <cell r="N335" t="str">
            <v>ABIDJAN</v>
          </cell>
        </row>
        <row r="336">
          <cell r="B336" t="str">
            <v>AC342</v>
          </cell>
          <cell r="C336" t="str">
            <v>NASSA</v>
          </cell>
          <cell r="D336" t="str">
            <v>-4.0164684</v>
          </cell>
          <cell r="E336" t="str">
            <v>5.31641429</v>
          </cell>
          <cell r="F336" t="str">
            <v>2G/3G/4G</v>
          </cell>
          <cell r="G336" t="str">
            <v>ERICSSON</v>
          </cell>
          <cell r="H336" t="str">
            <v>MOOV</v>
          </cell>
          <cell r="I336" t="str">
            <v>PLATEAU</v>
          </cell>
          <cell r="J336" t="str">
            <v>ABIDJAN</v>
          </cell>
          <cell r="K336" t="str">
            <v>ABIDJAN</v>
          </cell>
          <cell r="L336" t="str">
            <v>ABIDJAN</v>
          </cell>
          <cell r="M336" t="str">
            <v>PLATEAU</v>
          </cell>
          <cell r="N336" t="str">
            <v>ABIDJAN</v>
          </cell>
        </row>
        <row r="337">
          <cell r="B337" t="str">
            <v>AC343</v>
          </cell>
          <cell r="C337" t="str">
            <v>SANTA_MARIA</v>
          </cell>
          <cell r="D337" t="str">
            <v>-4.012315</v>
          </cell>
          <cell r="E337" t="str">
            <v>5.338659</v>
          </cell>
          <cell r="F337" t="str">
            <v>2G/3G/4G</v>
          </cell>
          <cell r="G337" t="str">
            <v>ERICSSON</v>
          </cell>
          <cell r="H337" t="str">
            <v>MOOV</v>
          </cell>
          <cell r="I337" t="str">
            <v>COCODY</v>
          </cell>
          <cell r="J337" t="str">
            <v>ABIDJAN</v>
          </cell>
          <cell r="K337" t="str">
            <v>ABIDJAN</v>
          </cell>
          <cell r="L337" t="str">
            <v>ABIDJAN</v>
          </cell>
          <cell r="M337" t="str">
            <v>COCODY LATRILLE</v>
          </cell>
          <cell r="N337" t="str">
            <v>ABIDJAN</v>
          </cell>
        </row>
        <row r="338">
          <cell r="B338" t="str">
            <v>AC344</v>
          </cell>
          <cell r="C338" t="str">
            <v>INSAC</v>
          </cell>
          <cell r="D338" t="str">
            <v>-3.99690258</v>
          </cell>
          <cell r="E338" t="str">
            <v>5.34877368</v>
          </cell>
          <cell r="F338" t="str">
            <v>2G/3G/4G</v>
          </cell>
          <cell r="G338" t="str">
            <v>ERICSSON</v>
          </cell>
          <cell r="H338" t="str">
            <v>MOOV</v>
          </cell>
          <cell r="I338" t="str">
            <v>COCODY</v>
          </cell>
          <cell r="J338" t="str">
            <v>ABIDJAN</v>
          </cell>
          <cell r="K338" t="str">
            <v>ABIDJAN</v>
          </cell>
          <cell r="L338" t="str">
            <v>ABIDJAN</v>
          </cell>
          <cell r="M338" t="str">
            <v>COCODY CENTRE</v>
          </cell>
          <cell r="N338" t="str">
            <v>ABIDJAN</v>
          </cell>
        </row>
        <row r="339">
          <cell r="B339" t="str">
            <v>AC345</v>
          </cell>
          <cell r="C339" t="str">
            <v>ALLOCODROME</v>
          </cell>
          <cell r="D339" t="str">
            <v>-4.00014426</v>
          </cell>
          <cell r="E339" t="str">
            <v>5.33882777</v>
          </cell>
          <cell r="F339" t="str">
            <v>2G/3G/4G</v>
          </cell>
          <cell r="G339" t="str">
            <v>ERICSSON</v>
          </cell>
          <cell r="H339" t="str">
            <v>MOOV</v>
          </cell>
          <cell r="I339" t="str">
            <v>COCODY</v>
          </cell>
          <cell r="J339" t="str">
            <v>ABIDJAN</v>
          </cell>
          <cell r="K339" t="str">
            <v>ABIDJAN</v>
          </cell>
          <cell r="L339" t="str">
            <v>ABIDJAN</v>
          </cell>
          <cell r="M339" t="str">
            <v>COCODY CENTRE</v>
          </cell>
          <cell r="N339" t="str">
            <v>ABIDJAN</v>
          </cell>
        </row>
        <row r="340">
          <cell r="B340" t="str">
            <v>AC346</v>
          </cell>
          <cell r="C340" t="str">
            <v>ANONO_EGLISE</v>
          </cell>
          <cell r="D340" t="str">
            <v>-3.97107618</v>
          </cell>
          <cell r="E340" t="str">
            <v>5.34408446</v>
          </cell>
          <cell r="F340" t="str">
            <v>2G/3G/4G</v>
          </cell>
          <cell r="G340" t="str">
            <v>ERICSSON</v>
          </cell>
          <cell r="H340" t="str">
            <v>MOOV</v>
          </cell>
          <cell r="I340" t="str">
            <v>COCODY</v>
          </cell>
          <cell r="J340" t="str">
            <v>ABIDJAN</v>
          </cell>
          <cell r="K340" t="str">
            <v>ABIDJAN</v>
          </cell>
          <cell r="L340" t="str">
            <v>ABIDJAN</v>
          </cell>
          <cell r="M340" t="str">
            <v>COCODY CENTRE</v>
          </cell>
          <cell r="N340" t="str">
            <v>ABIDJAN</v>
          </cell>
        </row>
        <row r="341">
          <cell r="B341" t="str">
            <v>AC347</v>
          </cell>
          <cell r="C341" t="str">
            <v>ALLABRA</v>
          </cell>
          <cell r="D341" t="str">
            <v>-3.96435581</v>
          </cell>
          <cell r="E341" t="str">
            <v>5.35166594</v>
          </cell>
          <cell r="F341" t="str">
            <v>2G/3G/4G</v>
          </cell>
          <cell r="G341" t="str">
            <v>ERICSSON</v>
          </cell>
          <cell r="H341" t="str">
            <v>MOOV</v>
          </cell>
          <cell r="I341" t="str">
            <v>COCODY</v>
          </cell>
          <cell r="J341" t="str">
            <v>ABIDJAN</v>
          </cell>
          <cell r="K341" t="str">
            <v>ABIDJAN</v>
          </cell>
          <cell r="L341" t="str">
            <v>ABIDJAN</v>
          </cell>
          <cell r="M341" t="str">
            <v>COCODY CENTRE</v>
          </cell>
          <cell r="N341" t="str">
            <v>ABIDJAN</v>
          </cell>
        </row>
        <row r="342">
          <cell r="B342" t="str">
            <v>AC348</v>
          </cell>
          <cell r="C342" t="str">
            <v>FACE_DT</v>
          </cell>
          <cell r="D342" t="str">
            <v>-3.96133191</v>
          </cell>
          <cell r="E342" t="str">
            <v>5.34545659</v>
          </cell>
          <cell r="F342" t="str">
            <v>2G/3G/4G</v>
          </cell>
          <cell r="G342" t="str">
            <v>ERICSSON</v>
          </cell>
          <cell r="H342" t="str">
            <v>IHS (MTN)</v>
          </cell>
          <cell r="I342" t="str">
            <v>COCODY</v>
          </cell>
          <cell r="J342" t="str">
            <v>ABIDJAN</v>
          </cell>
          <cell r="K342" t="str">
            <v>ABIDJAN</v>
          </cell>
          <cell r="L342" t="str">
            <v>ABIDJAN</v>
          </cell>
          <cell r="M342" t="str">
            <v>COCODY CENTRE</v>
          </cell>
          <cell r="N342" t="str">
            <v>ABIDJAN</v>
          </cell>
        </row>
        <row r="343">
          <cell r="B343" t="str">
            <v>AC349</v>
          </cell>
          <cell r="C343" t="str">
            <v>SOLBENI</v>
          </cell>
          <cell r="D343" t="str">
            <v>-3.95818416</v>
          </cell>
          <cell r="E343" t="str">
            <v>5.32917097</v>
          </cell>
          <cell r="F343" t="str">
            <v>2G/3G/4G/5G</v>
          </cell>
          <cell r="G343" t="str">
            <v>ERICSSON</v>
          </cell>
          <cell r="H343" t="str">
            <v>MOOV</v>
          </cell>
          <cell r="I343" t="str">
            <v>COCODY</v>
          </cell>
          <cell r="J343" t="str">
            <v>ABIDJAN</v>
          </cell>
          <cell r="K343" t="str">
            <v>ABIDJAN</v>
          </cell>
          <cell r="L343" t="str">
            <v>ABIDJAN</v>
          </cell>
          <cell r="M343" t="str">
            <v>COCODY CENTRE</v>
          </cell>
          <cell r="N343" t="str">
            <v>ABIDJAN</v>
          </cell>
        </row>
        <row r="344">
          <cell r="B344" t="str">
            <v>AC350</v>
          </cell>
          <cell r="C344" t="str">
            <v>AKOUEDO</v>
          </cell>
          <cell r="D344" t="str">
            <v>-3.93883701</v>
          </cell>
          <cell r="E344" t="str">
            <v>5.35347845</v>
          </cell>
          <cell r="F344" t="str">
            <v>2G/3G/4G</v>
          </cell>
          <cell r="G344" t="str">
            <v>ERICSSON</v>
          </cell>
          <cell r="H344" t="str">
            <v>MOOV</v>
          </cell>
          <cell r="I344" t="str">
            <v>COCODY</v>
          </cell>
          <cell r="J344" t="str">
            <v>ABIDJAN</v>
          </cell>
          <cell r="K344" t="str">
            <v>ABIDJAN</v>
          </cell>
          <cell r="L344" t="str">
            <v>ABIDJAN</v>
          </cell>
          <cell r="M344" t="str">
            <v>COCODY CENTRE</v>
          </cell>
          <cell r="N344" t="str">
            <v>ABIDJAN</v>
          </cell>
        </row>
        <row r="345">
          <cell r="B345" t="str">
            <v>AC351</v>
          </cell>
          <cell r="C345" t="str">
            <v>BLANCHON</v>
          </cell>
          <cell r="D345" t="str">
            <v>-3.88083261</v>
          </cell>
          <cell r="E345" t="str">
            <v>5.35806018</v>
          </cell>
          <cell r="F345" t="str">
            <v>2G/3G/4G</v>
          </cell>
          <cell r="G345" t="str">
            <v>ERICSSON</v>
          </cell>
          <cell r="H345" t="str">
            <v>MOOV</v>
          </cell>
          <cell r="I345" t="str">
            <v>BINGERVILLE</v>
          </cell>
          <cell r="J345" t="str">
            <v>BINGERVILLE</v>
          </cell>
          <cell r="K345" t="str">
            <v>ABIDJAN</v>
          </cell>
          <cell r="L345" t="str">
            <v>ABIDJAN</v>
          </cell>
          <cell r="M345" t="str">
            <v>COCODY LATRILLE</v>
          </cell>
          <cell r="N345" t="str">
            <v>ABIDJAN</v>
          </cell>
        </row>
        <row r="346">
          <cell r="B346" t="str">
            <v>AC352</v>
          </cell>
          <cell r="C346" t="str">
            <v>DAGBA</v>
          </cell>
          <cell r="D346" t="str">
            <v>-3.8911938</v>
          </cell>
          <cell r="E346" t="str">
            <v>5.35228324</v>
          </cell>
          <cell r="F346" t="str">
            <v>2G/3G/4G</v>
          </cell>
          <cell r="G346" t="str">
            <v>ERICSSON</v>
          </cell>
          <cell r="H346" t="str">
            <v>MOOV</v>
          </cell>
          <cell r="I346" t="str">
            <v>BINGERVILLE</v>
          </cell>
          <cell r="J346" t="str">
            <v>BINGERVILLE</v>
          </cell>
          <cell r="K346" t="str">
            <v>ABIDJAN</v>
          </cell>
          <cell r="L346" t="str">
            <v>ABIDJAN</v>
          </cell>
          <cell r="M346" t="str">
            <v>COCODY LATRILLE</v>
          </cell>
          <cell r="N346" t="str">
            <v>ABIDJAN</v>
          </cell>
        </row>
        <row r="347">
          <cell r="B347" t="str">
            <v>AC353</v>
          </cell>
          <cell r="C347" t="str">
            <v>CERES</v>
          </cell>
          <cell r="D347" t="str">
            <v>-4.025854</v>
          </cell>
          <cell r="E347" t="str">
            <v>5.36935</v>
          </cell>
          <cell r="F347" t="str">
            <v>2G/3G/4G</v>
          </cell>
          <cell r="G347" t="str">
            <v>ERICSSON</v>
          </cell>
          <cell r="H347" t="str">
            <v>MOOV</v>
          </cell>
          <cell r="I347" t="str">
            <v>ADJAME</v>
          </cell>
          <cell r="J347" t="str">
            <v>ABIDJAN</v>
          </cell>
          <cell r="K347" t="str">
            <v>ABIDJAN</v>
          </cell>
          <cell r="L347" t="str">
            <v>ABIDJAN</v>
          </cell>
          <cell r="M347" t="str">
            <v>PLATEAU</v>
          </cell>
          <cell r="N347" t="str">
            <v>ABIDJAN</v>
          </cell>
        </row>
        <row r="348">
          <cell r="B348" t="str">
            <v>AC354</v>
          </cell>
          <cell r="C348" t="str">
            <v>MONTEE</v>
          </cell>
          <cell r="D348" t="str">
            <v>-4.01896656</v>
          </cell>
          <cell r="E348" t="str">
            <v>5.36470202</v>
          </cell>
          <cell r="F348" t="str">
            <v>2G/3G/4G</v>
          </cell>
          <cell r="G348" t="str">
            <v>ERICSSON</v>
          </cell>
          <cell r="H348" t="str">
            <v>MOOV</v>
          </cell>
          <cell r="I348" t="str">
            <v>ADJAME</v>
          </cell>
          <cell r="J348" t="str">
            <v>ABIDJAN</v>
          </cell>
          <cell r="K348" t="str">
            <v>ABIDJAN</v>
          </cell>
          <cell r="L348" t="str">
            <v>ABIDJAN</v>
          </cell>
          <cell r="M348" t="str">
            <v>PLATEAU</v>
          </cell>
          <cell r="N348" t="str">
            <v>ABIDJAN</v>
          </cell>
        </row>
        <row r="349">
          <cell r="B349" t="str">
            <v>AC355</v>
          </cell>
          <cell r="C349" t="str">
            <v>ENA</v>
          </cell>
          <cell r="D349" t="str">
            <v>-3.99797131</v>
          </cell>
          <cell r="E349" t="str">
            <v>5.36227637</v>
          </cell>
          <cell r="F349" t="str">
            <v>2G/3G/4G</v>
          </cell>
          <cell r="G349" t="str">
            <v>ERICSSON</v>
          </cell>
          <cell r="H349" t="str">
            <v>MOOV</v>
          </cell>
          <cell r="I349" t="str">
            <v>COCODY</v>
          </cell>
          <cell r="J349" t="str">
            <v>ABIDJAN</v>
          </cell>
          <cell r="K349" t="str">
            <v>ABIDJAN</v>
          </cell>
          <cell r="L349" t="str">
            <v>ABIDJAN</v>
          </cell>
          <cell r="M349" t="str">
            <v>COCODY LATRILLE</v>
          </cell>
          <cell r="N349" t="str">
            <v>ABIDJAN</v>
          </cell>
        </row>
        <row r="350">
          <cell r="B350" t="str">
            <v>AC356</v>
          </cell>
          <cell r="C350" t="str">
            <v>ANDRE_MALRAUD</v>
          </cell>
          <cell r="D350" t="str">
            <v>-3.97823277</v>
          </cell>
          <cell r="E350" t="str">
            <v>5.35558766</v>
          </cell>
          <cell r="F350" t="str">
            <v>2G/3G/4G</v>
          </cell>
          <cell r="G350" t="str">
            <v>ERICSSON</v>
          </cell>
          <cell r="H350" t="str">
            <v>MOOV</v>
          </cell>
          <cell r="I350" t="str">
            <v>COCODY</v>
          </cell>
          <cell r="J350" t="str">
            <v>ABIDJAN</v>
          </cell>
          <cell r="K350" t="str">
            <v>ABIDJAN</v>
          </cell>
          <cell r="L350" t="str">
            <v>ABIDJAN</v>
          </cell>
          <cell r="M350" t="str">
            <v>COCODY LATRILLE</v>
          </cell>
          <cell r="N350" t="str">
            <v>ABIDJAN</v>
          </cell>
        </row>
        <row r="351">
          <cell r="B351" t="str">
            <v>AC357</v>
          </cell>
          <cell r="C351" t="str">
            <v>RD_POINT_PALMERAIE</v>
          </cell>
          <cell r="D351" t="str">
            <v>-3.9602525</v>
          </cell>
          <cell r="E351" t="str">
            <v>5.36505937</v>
          </cell>
          <cell r="F351" t="str">
            <v>2G/3G/4G</v>
          </cell>
          <cell r="G351" t="str">
            <v>ERICSSON</v>
          </cell>
          <cell r="H351" t="str">
            <v>MOOV</v>
          </cell>
          <cell r="I351" t="str">
            <v>COCODY</v>
          </cell>
          <cell r="J351" t="str">
            <v>ABIDJAN</v>
          </cell>
          <cell r="K351" t="str">
            <v>ABIDJAN</v>
          </cell>
          <cell r="L351" t="str">
            <v>ABIDJAN</v>
          </cell>
          <cell r="M351" t="str">
            <v>COCODY LATRILLE</v>
          </cell>
          <cell r="N351" t="str">
            <v>ABIDJAN</v>
          </cell>
        </row>
        <row r="352">
          <cell r="B352" t="str">
            <v>AC358</v>
          </cell>
          <cell r="C352" t="str">
            <v>DIVIN_AMOUR</v>
          </cell>
          <cell r="D352" t="str">
            <v>-3.95110861</v>
          </cell>
          <cell r="E352" t="str">
            <v>5.38136423</v>
          </cell>
          <cell r="F352" t="str">
            <v>2G/3G/4G</v>
          </cell>
          <cell r="G352" t="str">
            <v>ERICSSON</v>
          </cell>
          <cell r="H352" t="str">
            <v>MOOV</v>
          </cell>
          <cell r="I352" t="str">
            <v>COCODY</v>
          </cell>
          <cell r="J352" t="str">
            <v>ABIDJAN</v>
          </cell>
          <cell r="K352" t="str">
            <v>ABIDJAN</v>
          </cell>
          <cell r="L352" t="str">
            <v>ABIDJAN</v>
          </cell>
          <cell r="M352" t="str">
            <v>COCODY LATRILLE</v>
          </cell>
          <cell r="N352" t="str">
            <v>ABIDJAN</v>
          </cell>
        </row>
        <row r="353">
          <cell r="B353" t="str">
            <v>AC359</v>
          </cell>
          <cell r="C353" t="str">
            <v>AVICENNE</v>
          </cell>
          <cell r="D353" t="str">
            <v>-3.95788986</v>
          </cell>
          <cell r="E353" t="str">
            <v>5.37202794</v>
          </cell>
          <cell r="F353" t="str">
            <v>2G/3G/4G</v>
          </cell>
          <cell r="G353" t="str">
            <v>ERICSSON</v>
          </cell>
          <cell r="H353" t="str">
            <v>MOOV</v>
          </cell>
          <cell r="I353" t="str">
            <v>COCODY</v>
          </cell>
          <cell r="J353" t="str">
            <v>ABIDJAN</v>
          </cell>
          <cell r="K353" t="str">
            <v>ABIDJAN</v>
          </cell>
          <cell r="L353" t="str">
            <v>ABIDJAN</v>
          </cell>
          <cell r="M353" t="str">
            <v>COCODY LATRILLE</v>
          </cell>
          <cell r="N353" t="str">
            <v>ABIDJAN</v>
          </cell>
        </row>
        <row r="354">
          <cell r="B354" t="str">
            <v>AC360</v>
          </cell>
          <cell r="C354" t="str">
            <v>EMERAUD</v>
          </cell>
          <cell r="D354" t="str">
            <v>-3.9784214</v>
          </cell>
          <cell r="E354" t="str">
            <v>5.37203156</v>
          </cell>
          <cell r="F354" t="str">
            <v>2G/3G/4G</v>
          </cell>
          <cell r="G354" t="str">
            <v>ERICSSON</v>
          </cell>
          <cell r="H354" t="str">
            <v>MOOV</v>
          </cell>
          <cell r="I354" t="str">
            <v>COCODY</v>
          </cell>
          <cell r="J354" t="str">
            <v>ABIDJAN</v>
          </cell>
          <cell r="K354" t="str">
            <v>ABIDJAN</v>
          </cell>
          <cell r="L354" t="str">
            <v>ABIDJAN</v>
          </cell>
          <cell r="M354" t="str">
            <v>COCODY LATRILLE</v>
          </cell>
          <cell r="N354" t="str">
            <v>ABIDJAN</v>
          </cell>
        </row>
        <row r="355">
          <cell r="B355" t="str">
            <v>AC361</v>
          </cell>
          <cell r="C355" t="str">
            <v>12ème_ARRDT</v>
          </cell>
          <cell r="D355" t="str">
            <v>-3.99332</v>
          </cell>
          <cell r="E355" t="str">
            <v>5.374231</v>
          </cell>
          <cell r="F355" t="str">
            <v>2G/3G/4G</v>
          </cell>
          <cell r="G355" t="str">
            <v>ERICSSON</v>
          </cell>
          <cell r="H355" t="str">
            <v>MOOV</v>
          </cell>
          <cell r="I355" t="str">
            <v>COCODY</v>
          </cell>
          <cell r="J355" t="str">
            <v>ABIDJAN</v>
          </cell>
          <cell r="K355" t="str">
            <v>ABIDJAN</v>
          </cell>
          <cell r="L355" t="str">
            <v>ABIDJAN</v>
          </cell>
          <cell r="M355" t="str">
            <v>COCODY LATRILLE</v>
          </cell>
          <cell r="N355" t="str">
            <v>ABIDJAN</v>
          </cell>
        </row>
        <row r="356">
          <cell r="B356" t="str">
            <v>AC362</v>
          </cell>
          <cell r="C356" t="str">
            <v>CASHIVOIRE_LATRILLE</v>
          </cell>
          <cell r="D356" t="str">
            <v>-3.99147324</v>
          </cell>
          <cell r="E356" t="str">
            <v>5.38439335</v>
          </cell>
          <cell r="F356" t="str">
            <v>2G/3G/4G</v>
          </cell>
          <cell r="G356" t="str">
            <v>ERICSSON</v>
          </cell>
          <cell r="H356" t="str">
            <v>MOOV</v>
          </cell>
          <cell r="I356" t="str">
            <v>COCODY</v>
          </cell>
          <cell r="J356" t="str">
            <v>ABIDJAN</v>
          </cell>
          <cell r="K356" t="str">
            <v>ABIDJAN</v>
          </cell>
          <cell r="L356" t="str">
            <v>ABIDJAN</v>
          </cell>
          <cell r="M356" t="str">
            <v>COCODY LATRILLE</v>
          </cell>
          <cell r="N356" t="str">
            <v>ABIDJAN</v>
          </cell>
        </row>
        <row r="357">
          <cell r="B357" t="str">
            <v>AC363</v>
          </cell>
          <cell r="C357" t="str">
            <v>SOLEIL</v>
          </cell>
          <cell r="D357" t="str">
            <v>-3.977344</v>
          </cell>
          <cell r="E357" t="str">
            <v>5.395479</v>
          </cell>
          <cell r="F357" t="str">
            <v>2G/3G/4G</v>
          </cell>
          <cell r="G357" t="str">
            <v>ERICSSON</v>
          </cell>
          <cell r="H357" t="str">
            <v>MOOV</v>
          </cell>
          <cell r="I357" t="str">
            <v>COCODY</v>
          </cell>
          <cell r="J357" t="str">
            <v>ABIDJAN</v>
          </cell>
          <cell r="K357" t="str">
            <v>ABIDJAN</v>
          </cell>
          <cell r="L357" t="str">
            <v>ABIDJAN</v>
          </cell>
          <cell r="M357" t="str">
            <v>COCODY LATRILLE</v>
          </cell>
          <cell r="N357" t="str">
            <v>ABIDJAN</v>
          </cell>
        </row>
        <row r="358">
          <cell r="B358" t="str">
            <v>AC364</v>
          </cell>
          <cell r="C358" t="str">
            <v>LOREADE</v>
          </cell>
          <cell r="D358" t="str">
            <v>-3.98400316</v>
          </cell>
          <cell r="E358" t="str">
            <v>5.3972225</v>
          </cell>
          <cell r="F358" t="str">
            <v>2G/3G/4G</v>
          </cell>
          <cell r="G358" t="str">
            <v>ERICSSON</v>
          </cell>
          <cell r="H358" t="str">
            <v>MOOV</v>
          </cell>
          <cell r="I358" t="str">
            <v>COCODY</v>
          </cell>
          <cell r="J358" t="str">
            <v>ABIDJAN</v>
          </cell>
          <cell r="K358" t="str">
            <v>ABIDJAN</v>
          </cell>
          <cell r="L358" t="str">
            <v>ABIDJAN</v>
          </cell>
          <cell r="M358" t="str">
            <v>COCODY LATRILLE</v>
          </cell>
          <cell r="N358" t="str">
            <v>ABIDJAN</v>
          </cell>
        </row>
        <row r="359">
          <cell r="B359" t="str">
            <v>AC365</v>
          </cell>
          <cell r="C359" t="str">
            <v>STAR_2</v>
          </cell>
          <cell r="D359" t="str">
            <v>-3.98753447</v>
          </cell>
          <cell r="E359" t="str">
            <v>5.40432629</v>
          </cell>
          <cell r="F359" t="str">
            <v>2G/3G/4G</v>
          </cell>
          <cell r="G359" t="str">
            <v>ERICSSON</v>
          </cell>
          <cell r="H359" t="str">
            <v>MOOV</v>
          </cell>
          <cell r="I359" t="str">
            <v>COCODY</v>
          </cell>
          <cell r="J359" t="str">
            <v>ABIDJAN</v>
          </cell>
          <cell r="K359" t="str">
            <v>ABIDJAN</v>
          </cell>
          <cell r="L359" t="str">
            <v>ABIDJAN</v>
          </cell>
          <cell r="M359" t="str">
            <v>COCODY LATRILLE</v>
          </cell>
          <cell r="N359" t="str">
            <v>ABIDJAN</v>
          </cell>
        </row>
        <row r="360">
          <cell r="B360" t="str">
            <v>AC366</v>
          </cell>
          <cell r="C360" t="str">
            <v>COCO_SERVICE</v>
          </cell>
          <cell r="D360" t="str">
            <v>-4.01505286</v>
          </cell>
          <cell r="E360" t="str">
            <v>5.40457938</v>
          </cell>
          <cell r="F360" t="str">
            <v>2G/3G/4G</v>
          </cell>
          <cell r="G360" t="str">
            <v>ERICSSON</v>
          </cell>
          <cell r="H360" t="str">
            <v>MOOV</v>
          </cell>
          <cell r="I360" t="str">
            <v>ABOBO</v>
          </cell>
          <cell r="J360" t="str">
            <v>ABIDJAN</v>
          </cell>
          <cell r="K360" t="str">
            <v>ABIDJAN</v>
          </cell>
          <cell r="L360" t="str">
            <v>ABIDJAN</v>
          </cell>
          <cell r="M360" t="str">
            <v>ABOBO</v>
          </cell>
          <cell r="N360" t="str">
            <v>ABIDJAN</v>
          </cell>
        </row>
        <row r="361">
          <cell r="B361" t="str">
            <v>AC367</v>
          </cell>
          <cell r="C361" t="str">
            <v>PAPAYER</v>
          </cell>
          <cell r="D361" t="str">
            <v>-3.98085966</v>
          </cell>
          <cell r="E361" t="str">
            <v>5.33335937</v>
          </cell>
          <cell r="F361" t="str">
            <v>2G/3G/4G</v>
          </cell>
          <cell r="G361" t="str">
            <v>ERICSSON</v>
          </cell>
          <cell r="H361" t="str">
            <v>MOOV</v>
          </cell>
          <cell r="I361" t="str">
            <v>COCODY</v>
          </cell>
          <cell r="J361" t="str">
            <v>ABIDJAN</v>
          </cell>
          <cell r="K361" t="str">
            <v>ABIDJAN</v>
          </cell>
          <cell r="L361" t="str">
            <v>ABIDJAN</v>
          </cell>
          <cell r="M361" t="str">
            <v>COCODY CENTRE</v>
          </cell>
          <cell r="N361" t="str">
            <v>ABIDJAN</v>
          </cell>
        </row>
        <row r="362">
          <cell r="B362" t="str">
            <v>AC368</v>
          </cell>
          <cell r="C362" t="str">
            <v>ARCADES</v>
          </cell>
          <cell r="D362" t="str">
            <v>-3.97631099</v>
          </cell>
          <cell r="E362" t="str">
            <v>5.40681378</v>
          </cell>
          <cell r="F362" t="str">
            <v>2G/3G/4G</v>
          </cell>
          <cell r="G362" t="str">
            <v>ERICSSON</v>
          </cell>
          <cell r="H362" t="str">
            <v>MOOV</v>
          </cell>
          <cell r="I362" t="str">
            <v>COCODY</v>
          </cell>
          <cell r="J362" t="str">
            <v>ABIDJAN</v>
          </cell>
          <cell r="K362" t="str">
            <v>ABIDJAN</v>
          </cell>
          <cell r="L362" t="str">
            <v>ABIDJAN</v>
          </cell>
          <cell r="M362" t="str">
            <v>COCODY LATRILLE</v>
          </cell>
          <cell r="N362" t="str">
            <v>ABIDJAN</v>
          </cell>
        </row>
        <row r="363">
          <cell r="B363" t="str">
            <v>AC369</v>
          </cell>
          <cell r="C363" t="str">
            <v>COUVENT</v>
          </cell>
          <cell r="D363" t="str">
            <v>-3.98545</v>
          </cell>
          <cell r="E363" t="str">
            <v>5.41718</v>
          </cell>
          <cell r="F363" t="str">
            <v>2G/3G/4G</v>
          </cell>
          <cell r="G363" t="str">
            <v>ERICSSON</v>
          </cell>
          <cell r="H363" t="str">
            <v>MOOV</v>
          </cell>
          <cell r="I363" t="str">
            <v>COCODY</v>
          </cell>
          <cell r="J363" t="str">
            <v>ABIDJAN</v>
          </cell>
          <cell r="K363" t="str">
            <v>ABIDJAN</v>
          </cell>
          <cell r="L363" t="str">
            <v>ABIDJAN</v>
          </cell>
          <cell r="M363" t="str">
            <v>ABOBO</v>
          </cell>
          <cell r="N363" t="str">
            <v>ABIDJAN</v>
          </cell>
        </row>
        <row r="364">
          <cell r="B364" t="str">
            <v>AC370</v>
          </cell>
          <cell r="C364" t="str">
            <v>CAFEIER</v>
          </cell>
          <cell r="D364" t="str">
            <v>-3.98409</v>
          </cell>
          <cell r="E364" t="str">
            <v>5.41273</v>
          </cell>
          <cell r="F364" t="str">
            <v>2G/3G/4G</v>
          </cell>
          <cell r="G364" t="str">
            <v>ERICSSON</v>
          </cell>
          <cell r="H364" t="str">
            <v>MOOV</v>
          </cell>
          <cell r="I364" t="str">
            <v>COCODY</v>
          </cell>
          <cell r="J364" t="str">
            <v>ABIDJAN</v>
          </cell>
          <cell r="K364" t="str">
            <v>ABIDJAN</v>
          </cell>
          <cell r="L364" t="str">
            <v>ABIDJAN</v>
          </cell>
          <cell r="M364" t="str">
            <v>COCODY LATRILLE</v>
          </cell>
          <cell r="N364" t="str">
            <v>ABIDJAN</v>
          </cell>
        </row>
        <row r="365">
          <cell r="B365" t="str">
            <v>AC371</v>
          </cell>
          <cell r="C365" t="str">
            <v>COCOTIER</v>
          </cell>
          <cell r="D365" t="str">
            <v>-3.98490052</v>
          </cell>
          <cell r="E365" t="str">
            <v>5.42194154</v>
          </cell>
          <cell r="F365" t="str">
            <v>2G/3G/4G</v>
          </cell>
          <cell r="G365" t="str">
            <v>ERICSSON</v>
          </cell>
          <cell r="H365" t="str">
            <v>MOOV</v>
          </cell>
          <cell r="I365" t="str">
            <v>COCODY</v>
          </cell>
          <cell r="J365" t="str">
            <v>ABIDJAN</v>
          </cell>
          <cell r="K365" t="str">
            <v>ABIDJAN</v>
          </cell>
          <cell r="L365" t="str">
            <v>ABIDJAN</v>
          </cell>
          <cell r="M365" t="str">
            <v>COCODY LATRILLE</v>
          </cell>
          <cell r="N365" t="str">
            <v>ABIDJAN</v>
          </cell>
        </row>
        <row r="366">
          <cell r="B366" t="str">
            <v>AC372</v>
          </cell>
          <cell r="C366" t="str">
            <v>NDOTRE</v>
          </cell>
          <cell r="D366" t="str">
            <v>-4.06200018</v>
          </cell>
          <cell r="E366" t="str">
            <v>5.44502953</v>
          </cell>
          <cell r="F366" t="str">
            <v>2G/3G/4G</v>
          </cell>
          <cell r="G366" t="str">
            <v>ERICSSON</v>
          </cell>
          <cell r="H366" t="str">
            <v>MOOV</v>
          </cell>
          <cell r="I366" t="str">
            <v>ABOBO</v>
          </cell>
          <cell r="J366" t="str">
            <v>ABIDJAN</v>
          </cell>
          <cell r="K366" t="str">
            <v>ABIDJAN</v>
          </cell>
          <cell r="L366" t="str">
            <v>ABIDJAN</v>
          </cell>
          <cell r="M366" t="str">
            <v>ABOBO</v>
          </cell>
          <cell r="N366" t="str">
            <v>ABIDJAN</v>
          </cell>
        </row>
        <row r="367">
          <cell r="B367" t="str">
            <v>AC373</v>
          </cell>
          <cell r="C367" t="str">
            <v>VESSO</v>
          </cell>
          <cell r="D367" t="str">
            <v>-4.0325765</v>
          </cell>
          <cell r="E367" t="str">
            <v>5.44512591</v>
          </cell>
          <cell r="F367" t="str">
            <v>2G/3G/4G</v>
          </cell>
          <cell r="G367" t="str">
            <v>ERICSSON</v>
          </cell>
          <cell r="H367" t="str">
            <v>MOOV</v>
          </cell>
          <cell r="I367" t="str">
            <v>ABOBO</v>
          </cell>
          <cell r="J367" t="str">
            <v>ABIDJAN</v>
          </cell>
          <cell r="K367" t="str">
            <v>ABIDJAN</v>
          </cell>
          <cell r="L367" t="str">
            <v>ABIDJAN</v>
          </cell>
          <cell r="M367" t="str">
            <v>ABOBO</v>
          </cell>
          <cell r="N367" t="str">
            <v>ABIDJAN</v>
          </cell>
        </row>
        <row r="368">
          <cell r="B368" t="str">
            <v>AC374</v>
          </cell>
          <cell r="C368" t="str">
            <v>MATERNITE</v>
          </cell>
          <cell r="D368" t="str">
            <v>-4.00723298</v>
          </cell>
          <cell r="E368" t="str">
            <v>5.44567534</v>
          </cell>
          <cell r="F368" t="str">
            <v>2G/3G/4G</v>
          </cell>
          <cell r="G368" t="str">
            <v>ERICSSON</v>
          </cell>
          <cell r="H368" t="str">
            <v>MOOV</v>
          </cell>
          <cell r="I368" t="str">
            <v>ABOBO</v>
          </cell>
          <cell r="J368" t="str">
            <v>ABIDJAN</v>
          </cell>
          <cell r="K368" t="str">
            <v>ABIDJAN</v>
          </cell>
          <cell r="L368" t="str">
            <v>ABIDJAN</v>
          </cell>
          <cell r="M368" t="str">
            <v>ABOBO</v>
          </cell>
          <cell r="N368" t="str">
            <v>ABIDJAN</v>
          </cell>
        </row>
        <row r="369">
          <cell r="B369" t="str">
            <v>AC375</v>
          </cell>
          <cell r="C369" t="str">
            <v>ANONKOI_KOUTE</v>
          </cell>
          <cell r="D369" t="str">
            <v>-4.046012</v>
          </cell>
          <cell r="E369" t="str">
            <v>5.43244876</v>
          </cell>
          <cell r="F369" t="str">
            <v>2G/3G/4G</v>
          </cell>
          <cell r="G369" t="str">
            <v>ERICSSON</v>
          </cell>
          <cell r="H369" t="str">
            <v>MOOV</v>
          </cell>
          <cell r="I369" t="str">
            <v>ABOBO</v>
          </cell>
          <cell r="J369" t="str">
            <v>ABIDJAN</v>
          </cell>
          <cell r="K369" t="str">
            <v>ABIDJAN</v>
          </cell>
          <cell r="L369" t="str">
            <v>ABIDJAN</v>
          </cell>
          <cell r="M369" t="str">
            <v>ABOBO</v>
          </cell>
          <cell r="N369" t="str">
            <v>ABIDJAN</v>
          </cell>
        </row>
        <row r="370">
          <cell r="B370" t="str">
            <v>AC376</v>
          </cell>
          <cell r="C370" t="str">
            <v>AVOCATIER</v>
          </cell>
          <cell r="D370" t="str">
            <v>-4.02620898</v>
          </cell>
          <cell r="E370" t="str">
            <v>5.44255894</v>
          </cell>
          <cell r="F370" t="str">
            <v>2G/3G/4G</v>
          </cell>
          <cell r="G370" t="str">
            <v>ERICSSON</v>
          </cell>
          <cell r="H370" t="str">
            <v>MOOV</v>
          </cell>
          <cell r="I370" t="str">
            <v>ABOBO</v>
          </cell>
          <cell r="J370" t="str">
            <v>ABIDJAN</v>
          </cell>
          <cell r="K370" t="str">
            <v>ABIDJAN</v>
          </cell>
          <cell r="L370" t="str">
            <v>ABIDJAN</v>
          </cell>
          <cell r="M370" t="str">
            <v>ABOBO</v>
          </cell>
          <cell r="N370" t="str">
            <v>ABIDJAN</v>
          </cell>
        </row>
        <row r="371">
          <cell r="B371" t="str">
            <v>AC377</v>
          </cell>
          <cell r="C371" t="str">
            <v>MATENIN</v>
          </cell>
          <cell r="D371" t="str">
            <v>-4.02019221</v>
          </cell>
          <cell r="E371" t="str">
            <v>5.43922248</v>
          </cell>
          <cell r="F371" t="str">
            <v>2G/3G/4G</v>
          </cell>
          <cell r="G371" t="str">
            <v>ERICSSON</v>
          </cell>
          <cell r="H371" t="str">
            <v>MOOV</v>
          </cell>
          <cell r="I371" t="str">
            <v>ABOBO</v>
          </cell>
          <cell r="J371" t="str">
            <v>ABIDJAN</v>
          </cell>
          <cell r="K371" t="str">
            <v>ABIDJAN</v>
          </cell>
          <cell r="L371" t="str">
            <v>ABIDJAN</v>
          </cell>
          <cell r="M371" t="str">
            <v>ABOBO</v>
          </cell>
          <cell r="N371" t="str">
            <v>ABIDJAN</v>
          </cell>
        </row>
        <row r="372">
          <cell r="B372" t="str">
            <v>AC378</v>
          </cell>
          <cell r="C372" t="str">
            <v>TERMINUS</v>
          </cell>
          <cell r="D372" t="str">
            <v>-4.01167372</v>
          </cell>
          <cell r="E372" t="str">
            <v>5.43488613</v>
          </cell>
          <cell r="F372" t="str">
            <v>2G/3G/4G</v>
          </cell>
          <cell r="G372" t="str">
            <v>ERICSSON</v>
          </cell>
          <cell r="H372" t="str">
            <v>MOOV</v>
          </cell>
          <cell r="I372" t="str">
            <v>ABOBO</v>
          </cell>
          <cell r="J372" t="str">
            <v>ABIDJAN</v>
          </cell>
          <cell r="K372" t="str">
            <v>ABIDJAN</v>
          </cell>
          <cell r="L372" t="str">
            <v>ABIDJAN</v>
          </cell>
          <cell r="M372" t="str">
            <v>ABOBO</v>
          </cell>
          <cell r="N372" t="str">
            <v>ABIDJAN</v>
          </cell>
        </row>
        <row r="373">
          <cell r="B373" t="str">
            <v>AC379</v>
          </cell>
          <cell r="C373" t="str">
            <v>PLAQUE</v>
          </cell>
          <cell r="D373" t="str">
            <v>-4.00573</v>
          </cell>
          <cell r="E373" t="str">
            <v>5.43233</v>
          </cell>
          <cell r="F373" t="str">
            <v>2G/3G/4G</v>
          </cell>
          <cell r="G373" t="str">
            <v>ERICSSON</v>
          </cell>
          <cell r="H373" t="str">
            <v>MOOV</v>
          </cell>
          <cell r="I373" t="str">
            <v>ABOBO</v>
          </cell>
          <cell r="J373" t="str">
            <v>ABIDJAN</v>
          </cell>
          <cell r="K373" t="str">
            <v>ABIDJAN</v>
          </cell>
          <cell r="L373" t="str">
            <v>ABIDJAN</v>
          </cell>
          <cell r="M373" t="str">
            <v>ABOBO</v>
          </cell>
          <cell r="N373" t="str">
            <v>ABIDJAN</v>
          </cell>
        </row>
        <row r="374">
          <cell r="B374" t="str">
            <v>AC380</v>
          </cell>
          <cell r="C374" t="str">
            <v>LYMA</v>
          </cell>
          <cell r="D374" t="str">
            <v>-4.01520137</v>
          </cell>
          <cell r="E374" t="str">
            <v>5.42866623</v>
          </cell>
          <cell r="F374" t="str">
            <v>2G/3G/4G</v>
          </cell>
          <cell r="G374" t="str">
            <v>ERICSSON</v>
          </cell>
          <cell r="H374" t="str">
            <v>MOOV</v>
          </cell>
          <cell r="I374" t="str">
            <v>ABOBO</v>
          </cell>
          <cell r="J374" t="str">
            <v>ABIDJAN</v>
          </cell>
          <cell r="K374" t="str">
            <v>ABIDJAN</v>
          </cell>
          <cell r="L374" t="str">
            <v>ABIDJAN</v>
          </cell>
          <cell r="M374" t="str">
            <v>ABOBO</v>
          </cell>
          <cell r="N374" t="str">
            <v>ABIDJAN</v>
          </cell>
        </row>
        <row r="375">
          <cell r="B375" t="str">
            <v>AC381</v>
          </cell>
          <cell r="C375" t="str">
            <v>LYMA2</v>
          </cell>
          <cell r="D375" t="str">
            <v>-4.01017998</v>
          </cell>
          <cell r="E375" t="str">
            <v>5.42676613</v>
          </cell>
          <cell r="F375" t="str">
            <v>2G/3G/4G</v>
          </cell>
          <cell r="G375" t="str">
            <v>ERICSSON</v>
          </cell>
          <cell r="H375" t="str">
            <v>MOOV</v>
          </cell>
          <cell r="I375" t="str">
            <v>ABOBO</v>
          </cell>
          <cell r="J375" t="str">
            <v>ABIDJAN</v>
          </cell>
          <cell r="K375" t="str">
            <v>ABIDJAN</v>
          </cell>
          <cell r="L375" t="str">
            <v>ABIDJAN</v>
          </cell>
          <cell r="M375" t="str">
            <v>ABOBO</v>
          </cell>
          <cell r="N375" t="str">
            <v>ABIDJAN</v>
          </cell>
        </row>
        <row r="376">
          <cell r="B376" t="str">
            <v>AC382</v>
          </cell>
          <cell r="C376" t="str">
            <v>KENEDY</v>
          </cell>
          <cell r="D376" t="str">
            <v>-4.00015152</v>
          </cell>
          <cell r="E376" t="str">
            <v>5.42612251</v>
          </cell>
          <cell r="F376" t="str">
            <v>2G/3G/4G</v>
          </cell>
          <cell r="G376" t="str">
            <v>ERICSSON</v>
          </cell>
          <cell r="H376" t="str">
            <v>MOOV</v>
          </cell>
          <cell r="I376" t="str">
            <v>ABOBO</v>
          </cell>
          <cell r="J376" t="str">
            <v>ABIDJAN</v>
          </cell>
          <cell r="K376" t="str">
            <v>ABIDJAN</v>
          </cell>
          <cell r="L376" t="str">
            <v>ABIDJAN</v>
          </cell>
          <cell r="M376" t="str">
            <v>ABOBO</v>
          </cell>
          <cell r="N376" t="str">
            <v>ABIDJAN</v>
          </cell>
        </row>
        <row r="377">
          <cell r="B377" t="str">
            <v>AC383</v>
          </cell>
          <cell r="C377" t="str">
            <v>KIYALA</v>
          </cell>
          <cell r="D377" t="str">
            <v>-3.988743</v>
          </cell>
          <cell r="E377" t="str">
            <v>5.430962</v>
          </cell>
          <cell r="F377" t="str">
            <v>2G/3G/4G</v>
          </cell>
          <cell r="G377" t="str">
            <v>ERICSSON</v>
          </cell>
          <cell r="H377" t="str">
            <v>MOOV</v>
          </cell>
          <cell r="I377" t="str">
            <v>ABOBO</v>
          </cell>
          <cell r="J377" t="str">
            <v>ABIDJAN</v>
          </cell>
          <cell r="K377" t="str">
            <v>ABIDJAN</v>
          </cell>
          <cell r="L377" t="str">
            <v>ABIDJAN</v>
          </cell>
          <cell r="M377" t="str">
            <v>ABOBO</v>
          </cell>
          <cell r="N377" t="str">
            <v>ABIDJAN</v>
          </cell>
        </row>
        <row r="378">
          <cell r="B378" t="str">
            <v>AC384</v>
          </cell>
          <cell r="C378" t="str">
            <v>PHARM_KENEDY</v>
          </cell>
          <cell r="D378" t="str">
            <v>-4.00359829</v>
          </cell>
          <cell r="E378" t="str">
            <v>5.42005656</v>
          </cell>
          <cell r="F378" t="str">
            <v>2G/3G/4G</v>
          </cell>
          <cell r="G378" t="str">
            <v>ERICSSON</v>
          </cell>
          <cell r="H378" t="str">
            <v>MOOV</v>
          </cell>
          <cell r="I378" t="str">
            <v>ABOBO</v>
          </cell>
          <cell r="J378" t="str">
            <v>ABIDJAN</v>
          </cell>
          <cell r="K378" t="str">
            <v>ABIDJAN</v>
          </cell>
          <cell r="L378" t="str">
            <v>ABIDJAN</v>
          </cell>
          <cell r="M378" t="str">
            <v>ABOBO</v>
          </cell>
          <cell r="N378" t="str">
            <v>ABIDJAN</v>
          </cell>
        </row>
        <row r="379">
          <cell r="B379" t="str">
            <v>AC385</v>
          </cell>
          <cell r="C379" t="str">
            <v>ABOBO_GARE</v>
          </cell>
          <cell r="D379" t="str">
            <v>-4.01278</v>
          </cell>
          <cell r="E379" t="str">
            <v>5.41633277</v>
          </cell>
          <cell r="F379" t="str">
            <v>2G/3G/4G</v>
          </cell>
          <cell r="G379" t="str">
            <v>ERICSSON</v>
          </cell>
          <cell r="H379" t="str">
            <v>MOOV</v>
          </cell>
          <cell r="I379" t="str">
            <v>ABOBO</v>
          </cell>
          <cell r="J379" t="str">
            <v>ABIDJAN</v>
          </cell>
          <cell r="K379" t="str">
            <v>ABIDJAN</v>
          </cell>
          <cell r="L379" t="str">
            <v>ABIDJAN</v>
          </cell>
          <cell r="M379" t="str">
            <v>ABOBO</v>
          </cell>
          <cell r="N379" t="str">
            <v>ABIDJAN</v>
          </cell>
        </row>
        <row r="380">
          <cell r="B380" t="str">
            <v>AC386</v>
          </cell>
          <cell r="C380" t="str">
            <v>21ème_RRDT</v>
          </cell>
          <cell r="D380" t="str">
            <v>-4.02468104</v>
          </cell>
          <cell r="E380" t="str">
            <v>5.41965038</v>
          </cell>
          <cell r="F380" t="str">
            <v>2G/3G/4G</v>
          </cell>
          <cell r="G380" t="str">
            <v>ERICSSON</v>
          </cell>
          <cell r="H380" t="str">
            <v>MOOV</v>
          </cell>
          <cell r="I380" t="str">
            <v>ABOBO</v>
          </cell>
          <cell r="J380" t="str">
            <v>ABIDJAN</v>
          </cell>
          <cell r="K380" t="str">
            <v>ABIDJAN</v>
          </cell>
          <cell r="L380" t="str">
            <v>ABIDJAN</v>
          </cell>
          <cell r="M380" t="str">
            <v>ABOBO</v>
          </cell>
          <cell r="N380" t="str">
            <v>ABIDJAN</v>
          </cell>
        </row>
        <row r="381">
          <cell r="B381" t="str">
            <v>AC387</v>
          </cell>
          <cell r="C381" t="str">
            <v>PORT</v>
          </cell>
          <cell r="D381" t="str">
            <v>-4.019896</v>
          </cell>
          <cell r="E381" t="str">
            <v>5.304605</v>
          </cell>
          <cell r="F381" t="str">
            <v>2G/3G/4G</v>
          </cell>
          <cell r="G381" t="str">
            <v>ERICSSON</v>
          </cell>
          <cell r="H381" t="str">
            <v>MOOV</v>
          </cell>
          <cell r="I381" t="str">
            <v>TREICHVILLE</v>
          </cell>
          <cell r="J381" t="str">
            <v>ABIDJAN</v>
          </cell>
          <cell r="K381" t="str">
            <v>ABIDJAN</v>
          </cell>
          <cell r="L381" t="str">
            <v>ABIDJAN</v>
          </cell>
          <cell r="M381" t="str">
            <v>PLATEAU</v>
          </cell>
          <cell r="N381" t="str">
            <v>ABIDJAN</v>
          </cell>
        </row>
        <row r="382">
          <cell r="B382" t="str">
            <v>AC388</v>
          </cell>
          <cell r="C382" t="str">
            <v>TREICHENTER</v>
          </cell>
          <cell r="D382" t="str">
            <v>-4.01561753</v>
          </cell>
          <cell r="E382" t="str">
            <v>5.30929718</v>
          </cell>
          <cell r="F382" t="str">
            <v>2G/3G/4G</v>
          </cell>
          <cell r="G382" t="str">
            <v>ERICSSON</v>
          </cell>
          <cell r="H382" t="str">
            <v>MOOV</v>
          </cell>
          <cell r="I382" t="str">
            <v>TREICHVILLE</v>
          </cell>
          <cell r="J382" t="str">
            <v>ABIDJAN</v>
          </cell>
          <cell r="K382" t="str">
            <v>ABIDJAN</v>
          </cell>
          <cell r="L382" t="str">
            <v>ABIDJAN</v>
          </cell>
          <cell r="M382" t="str">
            <v>PLATEAU</v>
          </cell>
          <cell r="N382" t="str">
            <v>ABIDJAN</v>
          </cell>
        </row>
        <row r="383">
          <cell r="B383" t="str">
            <v>AC389</v>
          </cell>
          <cell r="C383" t="str">
            <v>COBAT</v>
          </cell>
          <cell r="D383" t="str">
            <v>-4.00415488</v>
          </cell>
          <cell r="E383" t="str">
            <v>5.31339529</v>
          </cell>
          <cell r="F383" t="str">
            <v>2G/3G/4G</v>
          </cell>
          <cell r="G383" t="str">
            <v>ERICSSON</v>
          </cell>
          <cell r="H383" t="str">
            <v>MOOV</v>
          </cell>
          <cell r="I383" t="str">
            <v>TREICHVILLE</v>
          </cell>
          <cell r="J383" t="str">
            <v>ABIDJAN</v>
          </cell>
          <cell r="K383" t="str">
            <v>ABIDJAN</v>
          </cell>
          <cell r="L383" t="str">
            <v>ABIDJAN</v>
          </cell>
          <cell r="M383" t="str">
            <v>PLATEAU</v>
          </cell>
          <cell r="N383" t="str">
            <v>ABIDJAN</v>
          </cell>
        </row>
        <row r="384">
          <cell r="B384" t="str">
            <v>AC390</v>
          </cell>
          <cell r="C384" t="str">
            <v>ALPHA16</v>
          </cell>
          <cell r="D384" t="str">
            <v>-4.00957259</v>
          </cell>
          <cell r="E384" t="str">
            <v>5.30437748</v>
          </cell>
          <cell r="F384" t="str">
            <v>2G/3G/4G</v>
          </cell>
          <cell r="G384" t="str">
            <v>ERICSSON</v>
          </cell>
          <cell r="H384" t="str">
            <v>MOOV</v>
          </cell>
          <cell r="I384" t="str">
            <v>TREICHVILLE</v>
          </cell>
          <cell r="J384" t="str">
            <v>ABIDJAN</v>
          </cell>
          <cell r="K384" t="str">
            <v>ABIDJAN</v>
          </cell>
          <cell r="L384" t="str">
            <v>ABIDJAN</v>
          </cell>
          <cell r="M384" t="str">
            <v>PLATEAU</v>
          </cell>
          <cell r="N384" t="str">
            <v>ABIDJAN</v>
          </cell>
        </row>
        <row r="385">
          <cell r="B385" t="str">
            <v>AC391</v>
          </cell>
          <cell r="C385" t="str">
            <v>FOYER_PROT</v>
          </cell>
          <cell r="D385" t="str">
            <v>-4.00873715</v>
          </cell>
          <cell r="E385" t="str">
            <v>5.30114068</v>
          </cell>
          <cell r="F385" t="str">
            <v>2G/3G/4G</v>
          </cell>
          <cell r="G385" t="str">
            <v>ERICSSON</v>
          </cell>
          <cell r="H385" t="str">
            <v>MOOV</v>
          </cell>
          <cell r="I385" t="str">
            <v>TREICHVILLE</v>
          </cell>
          <cell r="J385" t="str">
            <v>ABIDJAN</v>
          </cell>
          <cell r="K385" t="str">
            <v>ABIDJAN</v>
          </cell>
          <cell r="L385" t="str">
            <v>ABIDJAN</v>
          </cell>
          <cell r="M385" t="str">
            <v>PLATEAU</v>
          </cell>
          <cell r="N385" t="str">
            <v>ABIDJAN</v>
          </cell>
        </row>
        <row r="386">
          <cell r="B386" t="str">
            <v>AC392</v>
          </cell>
          <cell r="C386" t="str">
            <v>TREICHMEC</v>
          </cell>
          <cell r="D386" t="str">
            <v>-4.00501517</v>
          </cell>
          <cell r="E386" t="str">
            <v>5.30411355</v>
          </cell>
          <cell r="F386" t="str">
            <v>2G/3G/4G</v>
          </cell>
          <cell r="G386" t="str">
            <v>ERICSSON</v>
          </cell>
          <cell r="H386" t="str">
            <v>MOOV</v>
          </cell>
          <cell r="I386" t="str">
            <v>TREICHVILLE</v>
          </cell>
          <cell r="J386" t="str">
            <v>ABIDJAN</v>
          </cell>
          <cell r="K386" t="str">
            <v>ABIDJAN</v>
          </cell>
          <cell r="L386" t="str">
            <v>ABIDJAN</v>
          </cell>
          <cell r="M386" t="str">
            <v>PLATEAU</v>
          </cell>
          <cell r="N386" t="str">
            <v>ABIDJAN</v>
          </cell>
        </row>
        <row r="387">
          <cell r="B387" t="str">
            <v>AC393</v>
          </cell>
          <cell r="C387" t="str">
            <v>TREICH_SOREF</v>
          </cell>
          <cell r="D387" t="str">
            <v>-4.00050013</v>
          </cell>
          <cell r="E387" t="str">
            <v>5.29655007</v>
          </cell>
          <cell r="F387" t="str">
            <v>2G/3G/4G</v>
          </cell>
          <cell r="G387" t="str">
            <v>ERICSSON</v>
          </cell>
          <cell r="H387" t="str">
            <v>MOOV</v>
          </cell>
          <cell r="I387" t="str">
            <v>TREICHVILLE</v>
          </cell>
          <cell r="J387" t="str">
            <v>ABIDJAN</v>
          </cell>
          <cell r="K387" t="str">
            <v>ABIDJAN</v>
          </cell>
          <cell r="L387" t="str">
            <v>ABIDJAN</v>
          </cell>
          <cell r="M387" t="str">
            <v>PLATEAU</v>
          </cell>
          <cell r="N387" t="str">
            <v>ABIDJAN</v>
          </cell>
        </row>
        <row r="388">
          <cell r="B388" t="str">
            <v>AC394</v>
          </cell>
          <cell r="C388" t="str">
            <v>MARC_POSTE</v>
          </cell>
          <cell r="D388" t="str">
            <v>-3.98652904</v>
          </cell>
          <cell r="E388" t="str">
            <v>5.30638654</v>
          </cell>
          <cell r="F388" t="str">
            <v>2G/3G/4G</v>
          </cell>
          <cell r="G388" t="str">
            <v>ERICSSON</v>
          </cell>
          <cell r="H388" t="str">
            <v>MOOV</v>
          </cell>
          <cell r="I388" t="str">
            <v>MARCORY</v>
          </cell>
          <cell r="J388" t="str">
            <v>ABIDJAN</v>
          </cell>
          <cell r="K388" t="str">
            <v>ABIDJAN</v>
          </cell>
          <cell r="L388" t="str">
            <v>ABIDJAN</v>
          </cell>
          <cell r="M388" t="str">
            <v>MARCORY</v>
          </cell>
          <cell r="N388" t="str">
            <v>ABIDJAN</v>
          </cell>
        </row>
        <row r="389">
          <cell r="B389" t="str">
            <v>AC395</v>
          </cell>
          <cell r="C389" t="str">
            <v>MARC_GROUP</v>
          </cell>
          <cell r="D389" t="str">
            <v>-3.980275</v>
          </cell>
          <cell r="E389" t="str">
            <v>5.30228889</v>
          </cell>
          <cell r="F389" t="str">
            <v>2G/3G/4G</v>
          </cell>
          <cell r="G389" t="str">
            <v>ERICSSON</v>
          </cell>
          <cell r="H389" t="str">
            <v>MOOV</v>
          </cell>
          <cell r="I389" t="str">
            <v>MARCORY</v>
          </cell>
          <cell r="J389" t="str">
            <v>ABIDJAN</v>
          </cell>
          <cell r="K389" t="str">
            <v>ABIDJAN</v>
          </cell>
          <cell r="L389" t="str">
            <v>ABIDJAN</v>
          </cell>
          <cell r="M389" t="str">
            <v>MARCORY</v>
          </cell>
          <cell r="N389" t="str">
            <v>ABIDJAN</v>
          </cell>
        </row>
        <row r="390">
          <cell r="B390" t="str">
            <v>AC396</v>
          </cell>
          <cell r="C390" t="str">
            <v>AEROPORT_FHB</v>
          </cell>
          <cell r="D390" t="str">
            <v>-3.932133</v>
          </cell>
          <cell r="E390" t="str">
            <v>5.254936</v>
          </cell>
          <cell r="F390" t="str">
            <v>2G/3G/4G/5G</v>
          </cell>
          <cell r="G390" t="str">
            <v>HUAWEI</v>
          </cell>
          <cell r="H390" t="str">
            <v>MOOV</v>
          </cell>
          <cell r="I390" t="str">
            <v>PORT-BOUET</v>
          </cell>
          <cell r="J390" t="str">
            <v>ABIDJAN</v>
          </cell>
          <cell r="K390" t="str">
            <v>ABIDJAN</v>
          </cell>
          <cell r="L390" t="str">
            <v>ABIDJAN</v>
          </cell>
          <cell r="M390" t="str">
            <v>MARCORY</v>
          </cell>
          <cell r="N390" t="str">
            <v>ABIDJAN</v>
          </cell>
        </row>
        <row r="391">
          <cell r="B391" t="str">
            <v>AC397</v>
          </cell>
          <cell r="C391" t="str">
            <v>ST_PIERRE_ANOUM</v>
          </cell>
          <cell r="D391" t="str">
            <v>-3.97194</v>
          </cell>
          <cell r="E391" t="str">
            <v>5.31001</v>
          </cell>
          <cell r="F391" t="str">
            <v>2G/3G/4G</v>
          </cell>
          <cell r="G391" t="str">
            <v>ERICSSON</v>
          </cell>
          <cell r="H391" t="str">
            <v>MOOV</v>
          </cell>
          <cell r="I391" t="str">
            <v>MARCORY</v>
          </cell>
          <cell r="J391" t="str">
            <v>ABIDJAN</v>
          </cell>
          <cell r="K391" t="str">
            <v>ABIDJAN</v>
          </cell>
          <cell r="L391" t="str">
            <v>ABIDJAN</v>
          </cell>
          <cell r="M391" t="str">
            <v>MARCORY</v>
          </cell>
          <cell r="N391" t="str">
            <v>ABIDJAN</v>
          </cell>
        </row>
        <row r="392">
          <cell r="B392" t="str">
            <v>AC398</v>
          </cell>
          <cell r="C392" t="str">
            <v>CANAL</v>
          </cell>
          <cell r="D392" t="str">
            <v>-3.96871723</v>
          </cell>
          <cell r="E392" t="str">
            <v>5.30143982</v>
          </cell>
          <cell r="F392" t="str">
            <v>2G/3G/4G</v>
          </cell>
          <cell r="G392" t="str">
            <v>ERICSSON</v>
          </cell>
          <cell r="H392" t="str">
            <v>MOOV</v>
          </cell>
          <cell r="I392" t="str">
            <v>MARCORY</v>
          </cell>
          <cell r="J392" t="str">
            <v>ABIDJAN</v>
          </cell>
          <cell r="K392" t="str">
            <v>ABIDJAN</v>
          </cell>
          <cell r="L392" t="str">
            <v>ABIDJAN</v>
          </cell>
          <cell r="M392" t="str">
            <v>MARCORY</v>
          </cell>
          <cell r="N392" t="str">
            <v>ABIDJAN</v>
          </cell>
        </row>
        <row r="393">
          <cell r="B393" t="str">
            <v>AC399</v>
          </cell>
          <cell r="C393" t="str">
            <v>MARC_SIDECI</v>
          </cell>
          <cell r="D393" t="str">
            <v>-3.96995391</v>
          </cell>
          <cell r="E393" t="str">
            <v>5.29592028</v>
          </cell>
          <cell r="F393" t="str">
            <v>2G/3G/4G</v>
          </cell>
          <cell r="G393" t="str">
            <v>ERICSSON</v>
          </cell>
          <cell r="H393" t="str">
            <v>MOOV</v>
          </cell>
          <cell r="I393" t="str">
            <v>MARCORY</v>
          </cell>
          <cell r="J393" t="str">
            <v>ABIDJAN</v>
          </cell>
          <cell r="K393" t="str">
            <v>ABIDJAN</v>
          </cell>
          <cell r="L393" t="str">
            <v>ABIDJAN</v>
          </cell>
          <cell r="M393" t="str">
            <v>MARCORY</v>
          </cell>
          <cell r="N393" t="str">
            <v>ABIDJAN</v>
          </cell>
        </row>
        <row r="394">
          <cell r="B394" t="str">
            <v>AC400</v>
          </cell>
          <cell r="C394" t="str">
            <v>STBENOIT</v>
          </cell>
          <cell r="D394" t="str">
            <v>-3.95355</v>
          </cell>
          <cell r="E394" t="str">
            <v>5.30368</v>
          </cell>
          <cell r="F394" t="str">
            <v>2G/3G/4G</v>
          </cell>
          <cell r="G394" t="str">
            <v>ERICSSON</v>
          </cell>
          <cell r="H394" t="str">
            <v>MOOV</v>
          </cell>
          <cell r="I394" t="str">
            <v>KOUMASSI</v>
          </cell>
          <cell r="J394" t="str">
            <v>ABIDJAN</v>
          </cell>
          <cell r="K394" t="str">
            <v>ABIDJAN</v>
          </cell>
          <cell r="L394" t="str">
            <v>ABIDJAN</v>
          </cell>
          <cell r="M394" t="str">
            <v>MARCORY</v>
          </cell>
          <cell r="N394" t="str">
            <v>ABIDJAN</v>
          </cell>
        </row>
        <row r="395">
          <cell r="B395" t="str">
            <v>AC401</v>
          </cell>
          <cell r="C395" t="str">
            <v>MARCHER_POULET</v>
          </cell>
          <cell r="D395" t="str">
            <v>-3.95793</v>
          </cell>
          <cell r="E395" t="str">
            <v>5.30008</v>
          </cell>
          <cell r="F395" t="str">
            <v>2G/3G/4G</v>
          </cell>
          <cell r="G395" t="str">
            <v>ERICSSON</v>
          </cell>
          <cell r="H395" t="str">
            <v>MOOV</v>
          </cell>
          <cell r="I395" t="str">
            <v>KOUMASSI</v>
          </cell>
          <cell r="J395" t="str">
            <v>ABIDJAN</v>
          </cell>
          <cell r="K395" t="str">
            <v>ABIDJAN</v>
          </cell>
          <cell r="L395" t="str">
            <v>ABIDJAN</v>
          </cell>
          <cell r="M395" t="str">
            <v>MARCORY</v>
          </cell>
          <cell r="N395" t="str">
            <v>ABIDJAN</v>
          </cell>
        </row>
        <row r="396">
          <cell r="B396" t="str">
            <v>AC402</v>
          </cell>
          <cell r="C396" t="str">
            <v>KOUM_CELESTE</v>
          </cell>
          <cell r="D396" t="str">
            <v>-3.94955719</v>
          </cell>
          <cell r="E396" t="str">
            <v>5.29985947</v>
          </cell>
          <cell r="F396" t="str">
            <v>2G/3G/4G</v>
          </cell>
          <cell r="G396" t="str">
            <v>ERICSSON</v>
          </cell>
          <cell r="H396" t="str">
            <v>MOOV</v>
          </cell>
          <cell r="I396" t="str">
            <v>KOUMASSI</v>
          </cell>
          <cell r="J396" t="str">
            <v>ABIDJAN</v>
          </cell>
          <cell r="K396" t="str">
            <v>ABIDJAN</v>
          </cell>
          <cell r="L396" t="str">
            <v>ABIDJAN</v>
          </cell>
          <cell r="M396" t="str">
            <v>MARCORY</v>
          </cell>
          <cell r="N396" t="str">
            <v>ABIDJAN</v>
          </cell>
        </row>
        <row r="397">
          <cell r="B397" t="str">
            <v>AC403</v>
          </cell>
          <cell r="C397" t="str">
            <v>PHANIE</v>
          </cell>
          <cell r="D397" t="str">
            <v>-3.94836701</v>
          </cell>
          <cell r="E397" t="str">
            <v>5.31230764</v>
          </cell>
          <cell r="F397" t="str">
            <v>2G/3G/4G</v>
          </cell>
          <cell r="G397" t="str">
            <v>ERICSSON</v>
          </cell>
          <cell r="H397" t="str">
            <v>MOOV</v>
          </cell>
          <cell r="I397" t="str">
            <v>KOUMASSI</v>
          </cell>
          <cell r="J397" t="str">
            <v>ABIDJAN</v>
          </cell>
          <cell r="K397" t="str">
            <v>ABIDJAN</v>
          </cell>
          <cell r="L397" t="str">
            <v>ABIDJAN</v>
          </cell>
          <cell r="M397" t="str">
            <v>MARCORY</v>
          </cell>
          <cell r="N397" t="str">
            <v>ABIDJAN</v>
          </cell>
        </row>
        <row r="398">
          <cell r="B398" t="str">
            <v>AC404</v>
          </cell>
          <cell r="C398" t="str">
            <v>AKLOMIAMBLA</v>
          </cell>
          <cell r="D398" t="str">
            <v>-3.9451</v>
          </cell>
          <cell r="E398" t="str">
            <v>5.30525</v>
          </cell>
          <cell r="F398" t="str">
            <v>2G/3G/4G</v>
          </cell>
          <cell r="G398" t="str">
            <v>ERICSSON</v>
          </cell>
          <cell r="H398" t="str">
            <v>MOOV</v>
          </cell>
          <cell r="I398" t="str">
            <v>KOUMASSI</v>
          </cell>
          <cell r="J398" t="str">
            <v>ABIDJAN</v>
          </cell>
          <cell r="K398" t="str">
            <v>ABIDJAN</v>
          </cell>
          <cell r="L398" t="str">
            <v>ABIDJAN</v>
          </cell>
          <cell r="M398" t="str">
            <v>MARCORY</v>
          </cell>
          <cell r="N398" t="str">
            <v>ABIDJAN</v>
          </cell>
        </row>
        <row r="399">
          <cell r="B399" t="str">
            <v>AC405</v>
          </cell>
          <cell r="C399" t="str">
            <v>MERCEDES</v>
          </cell>
          <cell r="D399" t="str">
            <v>-3.97651</v>
          </cell>
          <cell r="E399" t="str">
            <v>5.28537</v>
          </cell>
          <cell r="F399" t="str">
            <v>2G/3G/4G</v>
          </cell>
          <cell r="G399" t="str">
            <v>ERICSSON</v>
          </cell>
          <cell r="H399" t="str">
            <v>IHS</v>
          </cell>
          <cell r="I399" t="str">
            <v>MARCORY</v>
          </cell>
          <cell r="J399" t="str">
            <v>ABIDJAN</v>
          </cell>
          <cell r="K399" t="str">
            <v>ABIDJAN</v>
          </cell>
          <cell r="L399" t="str">
            <v>ABIDJAN</v>
          </cell>
          <cell r="M399" t="str">
            <v>MARCORY</v>
          </cell>
          <cell r="N399" t="str">
            <v>ABIDJAN</v>
          </cell>
        </row>
        <row r="400">
          <cell r="B400" t="str">
            <v>AC406</v>
          </cell>
          <cell r="C400" t="str">
            <v>ANSAR</v>
          </cell>
          <cell r="D400" t="str">
            <v>-3.96222147</v>
          </cell>
          <cell r="E400" t="str">
            <v>5.26138841</v>
          </cell>
          <cell r="F400" t="str">
            <v>2G/3G/4G</v>
          </cell>
          <cell r="G400" t="str">
            <v>HUAWEI</v>
          </cell>
          <cell r="H400" t="str">
            <v>MOOV</v>
          </cell>
          <cell r="I400" t="str">
            <v>PORT-BOUET</v>
          </cell>
          <cell r="J400" t="str">
            <v>ABIDJAN</v>
          </cell>
          <cell r="K400" t="str">
            <v>ABIDJAN</v>
          </cell>
          <cell r="L400" t="str">
            <v>ABIDJAN</v>
          </cell>
          <cell r="M400" t="str">
            <v>MARCORY</v>
          </cell>
          <cell r="N400" t="str">
            <v>ABIDJAN</v>
          </cell>
        </row>
        <row r="401">
          <cell r="B401" t="str">
            <v>AC407</v>
          </cell>
          <cell r="C401" t="str">
            <v>CEG</v>
          </cell>
          <cell r="D401" t="str">
            <v>-3.96015433</v>
          </cell>
          <cell r="E401" t="str">
            <v>5.25496944</v>
          </cell>
          <cell r="F401" t="str">
            <v>2G/3G/4G</v>
          </cell>
          <cell r="G401" t="str">
            <v>HUAWEI</v>
          </cell>
          <cell r="H401" t="str">
            <v>MOOV</v>
          </cell>
          <cell r="I401" t="str">
            <v>PORT-BOUET</v>
          </cell>
          <cell r="J401" t="str">
            <v>ABIDJAN</v>
          </cell>
          <cell r="K401" t="str">
            <v>ABIDJAN</v>
          </cell>
          <cell r="L401" t="str">
            <v>ABIDJAN</v>
          </cell>
          <cell r="M401" t="str">
            <v>MARCORY</v>
          </cell>
          <cell r="N401" t="str">
            <v>ABIDJAN</v>
          </cell>
        </row>
        <row r="402">
          <cell r="B402" t="str">
            <v>AC409</v>
          </cell>
          <cell r="C402" t="str">
            <v>SIMAT</v>
          </cell>
          <cell r="D402" t="str">
            <v>-4.00953184</v>
          </cell>
          <cell r="E402" t="str">
            <v>5.26807031</v>
          </cell>
          <cell r="F402" t="str">
            <v>2G/3G/4G</v>
          </cell>
          <cell r="G402" t="str">
            <v>ERICSSON</v>
          </cell>
          <cell r="H402" t="str">
            <v>MOOV</v>
          </cell>
          <cell r="I402" t="str">
            <v>TREICHVILLE</v>
          </cell>
          <cell r="J402" t="str">
            <v>ABIDJAN</v>
          </cell>
          <cell r="K402" t="str">
            <v>ABIDJAN</v>
          </cell>
          <cell r="L402" t="str">
            <v>ABIDJAN</v>
          </cell>
          <cell r="M402" t="str">
            <v>PLATEAU</v>
          </cell>
          <cell r="N402" t="str">
            <v>ABIDJAN</v>
          </cell>
        </row>
        <row r="403">
          <cell r="B403" t="str">
            <v>AC410</v>
          </cell>
          <cell r="C403" t="str">
            <v>VIGA</v>
          </cell>
          <cell r="D403" t="str">
            <v>-3.99552453</v>
          </cell>
          <cell r="E403" t="str">
            <v>5.31122033</v>
          </cell>
          <cell r="F403" t="str">
            <v>2G/3G/4G</v>
          </cell>
          <cell r="G403" t="str">
            <v>ERICSSON</v>
          </cell>
          <cell r="H403" t="str">
            <v>MOOV</v>
          </cell>
          <cell r="I403" t="str">
            <v>MARCORY</v>
          </cell>
          <cell r="J403" t="str">
            <v>ABIDJAN</v>
          </cell>
          <cell r="K403" t="str">
            <v>ABIDJAN</v>
          </cell>
          <cell r="L403" t="str">
            <v>ABIDJAN</v>
          </cell>
          <cell r="M403" t="str">
            <v>MARCORY</v>
          </cell>
          <cell r="N403" t="str">
            <v>ABIDJAN</v>
          </cell>
        </row>
        <row r="404">
          <cell r="B404" t="str">
            <v>AC411</v>
          </cell>
          <cell r="C404" t="str">
            <v>GORGE_DOR</v>
          </cell>
          <cell r="D404" t="str">
            <v>-3.98478117</v>
          </cell>
          <cell r="E404" t="str">
            <v>5.28532302</v>
          </cell>
          <cell r="F404" t="str">
            <v>2G/3G/4G</v>
          </cell>
          <cell r="G404" t="str">
            <v>ERICSSON</v>
          </cell>
          <cell r="H404" t="str">
            <v>MOOV</v>
          </cell>
          <cell r="I404" t="str">
            <v>MARCORY</v>
          </cell>
          <cell r="J404" t="str">
            <v>ABIDJAN</v>
          </cell>
          <cell r="K404" t="str">
            <v>ABIDJAN</v>
          </cell>
          <cell r="L404" t="str">
            <v>ABIDJAN</v>
          </cell>
          <cell r="M404" t="str">
            <v>MARCORY</v>
          </cell>
          <cell r="N404" t="str">
            <v>ABIDJAN</v>
          </cell>
        </row>
        <row r="405">
          <cell r="B405" t="str">
            <v>AC412</v>
          </cell>
          <cell r="C405" t="str">
            <v>CNRA</v>
          </cell>
          <cell r="D405" t="str">
            <v>-3.837105</v>
          </cell>
          <cell r="E405" t="str">
            <v>5.279906</v>
          </cell>
          <cell r="F405" t="str">
            <v>2G/3G/4G</v>
          </cell>
          <cell r="G405" t="str">
            <v>HUAWEI</v>
          </cell>
          <cell r="H405" t="str">
            <v>MOOV</v>
          </cell>
          <cell r="I405" t="str">
            <v>PORT-BOUET</v>
          </cell>
          <cell r="J405" t="str">
            <v>ABIDJAN</v>
          </cell>
          <cell r="K405" t="str">
            <v>ABIDJAN</v>
          </cell>
          <cell r="L405" t="str">
            <v>ABIDJAN</v>
          </cell>
          <cell r="M405" t="str">
            <v>MARCORY</v>
          </cell>
          <cell r="N405" t="str">
            <v>ABIDJAN</v>
          </cell>
        </row>
        <row r="406">
          <cell r="B406" t="str">
            <v>AC413</v>
          </cell>
          <cell r="C406" t="str">
            <v>SEMINAIRE</v>
          </cell>
          <cell r="D406" t="str">
            <v>-4.0599333</v>
          </cell>
          <cell r="E406" t="str">
            <v>5.50141039</v>
          </cell>
          <cell r="F406" t="str">
            <v>2G/3G/4G</v>
          </cell>
          <cell r="G406" t="str">
            <v>ERICSSON</v>
          </cell>
          <cell r="H406" t="str">
            <v>MOOV</v>
          </cell>
          <cell r="I406" t="str">
            <v>ANYAMA</v>
          </cell>
          <cell r="J406" t="str">
            <v>ANYAMA</v>
          </cell>
          <cell r="K406" t="str">
            <v>ABIDJAN</v>
          </cell>
          <cell r="L406" t="str">
            <v>ABIDJAN</v>
          </cell>
          <cell r="M406" t="str">
            <v>ABOBO</v>
          </cell>
          <cell r="N406" t="str">
            <v>ABIDJAN</v>
          </cell>
        </row>
        <row r="407">
          <cell r="B407" t="str">
            <v>AC414</v>
          </cell>
          <cell r="C407" t="str">
            <v>SOLIBRA</v>
          </cell>
          <cell r="D407" t="str">
            <v>-3.99540035</v>
          </cell>
          <cell r="E407" t="str">
            <v>5.30130701</v>
          </cell>
          <cell r="F407" t="str">
            <v>2G/3G/4G</v>
          </cell>
          <cell r="G407" t="str">
            <v>ERICSSON</v>
          </cell>
          <cell r="H407" t="str">
            <v>MOOV</v>
          </cell>
          <cell r="I407" t="str">
            <v>TREICHVILLE</v>
          </cell>
          <cell r="J407" t="str">
            <v>ABIDJAN</v>
          </cell>
          <cell r="K407" t="str">
            <v>ABIDJAN</v>
          </cell>
          <cell r="L407" t="str">
            <v>ABIDJAN</v>
          </cell>
          <cell r="M407" t="str">
            <v>PLATEAU</v>
          </cell>
          <cell r="N407" t="str">
            <v>ABIDJAN</v>
          </cell>
        </row>
        <row r="408">
          <cell r="B408" t="str">
            <v>ET829</v>
          </cell>
          <cell r="C408" t="str">
            <v>NEW_GD_MOSQUEE</v>
          </cell>
          <cell r="D408" t="str">
            <v>-3.966416</v>
          </cell>
          <cell r="E408" t="str">
            <v>5.291213</v>
          </cell>
          <cell r="F408" t="str">
            <v>2G/3G/4G</v>
          </cell>
          <cell r="G408" t="str">
            <v>ERICSSON</v>
          </cell>
          <cell r="H408" t="str">
            <v>MOOV</v>
          </cell>
          <cell r="I408" t="str">
            <v>KOUMASSI</v>
          </cell>
          <cell r="J408" t="str">
            <v>ABIDJAN</v>
          </cell>
          <cell r="K408" t="str">
            <v>ABIDJAN</v>
          </cell>
          <cell r="L408" t="str">
            <v>ABIDJAN</v>
          </cell>
          <cell r="M408" t="str">
            <v>MARCORY</v>
          </cell>
          <cell r="N408" t="str">
            <v>ABIDJAN</v>
          </cell>
        </row>
        <row r="409">
          <cell r="B409" t="str">
            <v>AC416</v>
          </cell>
          <cell r="C409" t="str">
            <v>PTI_MARCHE</v>
          </cell>
          <cell r="D409" t="str">
            <v>-3.95917111</v>
          </cell>
          <cell r="E409" t="str">
            <v>5.2845762</v>
          </cell>
          <cell r="F409" t="str">
            <v>2G/3G/4G</v>
          </cell>
          <cell r="G409" t="str">
            <v>ERICSSON</v>
          </cell>
          <cell r="H409" t="str">
            <v>MOOV</v>
          </cell>
          <cell r="I409" t="str">
            <v>KOUMASSI</v>
          </cell>
          <cell r="J409" t="str">
            <v>ABIDJAN</v>
          </cell>
          <cell r="K409" t="str">
            <v>ABIDJAN</v>
          </cell>
          <cell r="L409" t="str">
            <v>ABIDJAN</v>
          </cell>
          <cell r="M409" t="str">
            <v>MARCORY</v>
          </cell>
          <cell r="N409" t="str">
            <v>ABIDJAN</v>
          </cell>
        </row>
        <row r="410">
          <cell r="B410" t="str">
            <v>AC417</v>
          </cell>
          <cell r="C410" t="str">
            <v>BIETRY</v>
          </cell>
          <cell r="D410" t="str">
            <v>-3.97451964</v>
          </cell>
          <cell r="E410" t="str">
            <v>5.27842865</v>
          </cell>
          <cell r="F410" t="str">
            <v>2G/3G/4G</v>
          </cell>
          <cell r="G410" t="str">
            <v>ERICSSON</v>
          </cell>
          <cell r="H410" t="str">
            <v>MOOV</v>
          </cell>
          <cell r="I410" t="str">
            <v>MARCORY</v>
          </cell>
          <cell r="J410" t="str">
            <v>ABIDJAN</v>
          </cell>
          <cell r="K410" t="str">
            <v>ABIDJAN</v>
          </cell>
          <cell r="L410" t="str">
            <v>ABIDJAN</v>
          </cell>
          <cell r="M410" t="str">
            <v>MARCORY</v>
          </cell>
          <cell r="N410" t="str">
            <v>ABIDJAN</v>
          </cell>
        </row>
        <row r="411">
          <cell r="B411" t="str">
            <v>AC418</v>
          </cell>
          <cell r="C411" t="str">
            <v>BEOUELAYAN_CIT</v>
          </cell>
          <cell r="D411" t="str">
            <v>-7.8858</v>
          </cell>
          <cell r="E411" t="str">
            <v>6.5411</v>
          </cell>
          <cell r="F411" t="str">
            <v>2G/3G/4G</v>
          </cell>
          <cell r="G411" t="str">
            <v>HUAWEI</v>
          </cell>
          <cell r="H411" t="str">
            <v>IHS (CIT)</v>
          </cell>
          <cell r="I411" t="str">
            <v>BEOUE</v>
          </cell>
          <cell r="J411" t="str">
            <v>ZEAGLO</v>
          </cell>
          <cell r="K411" t="str">
            <v>BLOLEQUIN</v>
          </cell>
          <cell r="L411" t="str">
            <v>CAVALLY</v>
          </cell>
          <cell r="M411" t="str">
            <v>MAN</v>
          </cell>
          <cell r="N411" t="str">
            <v>UPCOUNTRY</v>
          </cell>
        </row>
        <row r="412">
          <cell r="B412" t="str">
            <v>AC419</v>
          </cell>
          <cell r="C412" t="str">
            <v>YAM_KPANGBASSOU</v>
          </cell>
          <cell r="D412" t="str">
            <v>-5.24265</v>
          </cell>
          <cell r="E412" t="str">
            <v>6.82089</v>
          </cell>
          <cell r="F412" t="str">
            <v>2G/3G/4G</v>
          </cell>
          <cell r="G412" t="str">
            <v>HUAWEI</v>
          </cell>
          <cell r="H412" t="str">
            <v>MOOV</v>
          </cell>
          <cell r="I412" t="str">
            <v>YAMOUSSOUKRO</v>
          </cell>
          <cell r="J412" t="str">
            <v>YAMOUSSOUKRO</v>
          </cell>
          <cell r="K412" t="str">
            <v>YAMOUSSOUKRO</v>
          </cell>
          <cell r="L412" t="str">
            <v>YAMOUSSOUKRO</v>
          </cell>
          <cell r="M412" t="str">
            <v>YAMOUSSOUKRO</v>
          </cell>
          <cell r="N412" t="str">
            <v>UPCOUNTRY</v>
          </cell>
        </row>
        <row r="413">
          <cell r="B413" t="str">
            <v>AC420</v>
          </cell>
          <cell r="C413" t="str">
            <v>YAM_CAFOP</v>
          </cell>
          <cell r="D413" t="str">
            <v>-5.2804</v>
          </cell>
          <cell r="E413" t="str">
            <v>6.863</v>
          </cell>
          <cell r="F413" t="str">
            <v>2G/3G/4G</v>
          </cell>
          <cell r="G413" t="str">
            <v>HUAWEI</v>
          </cell>
          <cell r="H413" t="str">
            <v>MOOV</v>
          </cell>
          <cell r="I413" t="str">
            <v>YAMOUSSOUKRO</v>
          </cell>
          <cell r="J413" t="str">
            <v>YAMOUSSOUKRO</v>
          </cell>
          <cell r="K413" t="str">
            <v>YAMOUSSOUKRO</v>
          </cell>
          <cell r="L413" t="str">
            <v>YAMOUSSOUKRO</v>
          </cell>
          <cell r="M413" t="str">
            <v>YAMOUSSOUKRO</v>
          </cell>
          <cell r="N413" t="str">
            <v>UPCOUNTRY</v>
          </cell>
        </row>
        <row r="414">
          <cell r="B414" t="str">
            <v>AC421</v>
          </cell>
          <cell r="C414" t="str">
            <v>YAM_BARRAGE</v>
          </cell>
          <cell r="D414" t="str">
            <v>-5.2315</v>
          </cell>
          <cell r="E414" t="str">
            <v>6.7645</v>
          </cell>
          <cell r="F414" t="str">
            <v>2G/3G/4G</v>
          </cell>
          <cell r="G414" t="str">
            <v>HUAWEI</v>
          </cell>
          <cell r="H414" t="str">
            <v>MOOV</v>
          </cell>
          <cell r="I414" t="str">
            <v>YAMOUSSOUKRO</v>
          </cell>
          <cell r="J414" t="str">
            <v>YAMOUSSOUKRO</v>
          </cell>
          <cell r="K414" t="str">
            <v>YAMOUSSOUKRO</v>
          </cell>
          <cell r="L414" t="str">
            <v>YAMOUSSOUKRO</v>
          </cell>
          <cell r="M414" t="str">
            <v>YAMOUSSOUKRO</v>
          </cell>
          <cell r="N414" t="str">
            <v>UPCOUNTRY</v>
          </cell>
        </row>
        <row r="415">
          <cell r="B415" t="str">
            <v>AC422</v>
          </cell>
          <cell r="C415" t="str">
            <v>MONT_TONPKI</v>
          </cell>
          <cell r="D415" t="str">
            <v>-7.6361</v>
          </cell>
          <cell r="E415" t="str">
            <v>7.4513</v>
          </cell>
          <cell r="F415" t="str">
            <v>2G/3G/4G</v>
          </cell>
          <cell r="G415" t="str">
            <v>HUAWEI</v>
          </cell>
          <cell r="H415" t="str">
            <v>IDT</v>
          </cell>
          <cell r="I415" t="str">
            <v>MONT TOMPKI</v>
          </cell>
          <cell r="J415" t="str">
            <v>MAN</v>
          </cell>
          <cell r="K415" t="str">
            <v>MAN</v>
          </cell>
          <cell r="L415" t="str">
            <v>TONKPI</v>
          </cell>
          <cell r="M415" t="str">
            <v>MAN</v>
          </cell>
          <cell r="N415" t="str">
            <v>UPCOUNTRY</v>
          </cell>
        </row>
        <row r="416">
          <cell r="B416" t="str">
            <v>AC423</v>
          </cell>
          <cell r="C416" t="str">
            <v>GUEZON</v>
          </cell>
          <cell r="D416" t="str">
            <v>-7.1169999</v>
          </cell>
          <cell r="E416" t="str">
            <v>6.73967076</v>
          </cell>
          <cell r="F416" t="str">
            <v>2G/3G/4G</v>
          </cell>
          <cell r="G416" t="str">
            <v>HUAWEI</v>
          </cell>
          <cell r="H416" t="str">
            <v>MOOV</v>
          </cell>
          <cell r="I416" t="str">
            <v>GUEZON</v>
          </cell>
          <cell r="J416" t="str">
            <v>GUEZON</v>
          </cell>
          <cell r="K416" t="str">
            <v>DUEKOUE</v>
          </cell>
          <cell r="L416" t="str">
            <v>GUEMON</v>
          </cell>
          <cell r="M416" t="str">
            <v>MAN</v>
          </cell>
          <cell r="N416" t="str">
            <v>UPCOUNTRY</v>
          </cell>
        </row>
        <row r="417">
          <cell r="B417" t="str">
            <v>AC424</v>
          </cell>
          <cell r="C417" t="str">
            <v>BONOUA_MARCHE</v>
          </cell>
          <cell r="D417" t="str">
            <v>-3.59959</v>
          </cell>
          <cell r="E417" t="str">
            <v>5.27534</v>
          </cell>
          <cell r="F417" t="str">
            <v>2G/3G/4G</v>
          </cell>
          <cell r="G417" t="str">
            <v>HUAWEI</v>
          </cell>
          <cell r="H417" t="str">
            <v>MOOV</v>
          </cell>
          <cell r="I417" t="str">
            <v>BONOUA</v>
          </cell>
          <cell r="J417" t="str">
            <v>BONOUA</v>
          </cell>
          <cell r="K417" t="str">
            <v>GRAND-BASSAM</v>
          </cell>
          <cell r="L417" t="str">
            <v>SUD-COMOE</v>
          </cell>
          <cell r="M417" t="str">
            <v>MARCORY</v>
          </cell>
          <cell r="N417" t="str">
            <v>UPCOUNTRY</v>
          </cell>
        </row>
        <row r="418">
          <cell r="B418" t="str">
            <v>AC425</v>
          </cell>
          <cell r="C418" t="str">
            <v>LOGOUALE</v>
          </cell>
          <cell r="D418" t="str">
            <v>-7.5494</v>
          </cell>
          <cell r="E418" t="str">
            <v>7.1136</v>
          </cell>
          <cell r="F418" t="str">
            <v>2G/3G/4G</v>
          </cell>
          <cell r="G418" t="str">
            <v>HUAWEI</v>
          </cell>
          <cell r="H418" t="str">
            <v>MOOV</v>
          </cell>
          <cell r="I418" t="str">
            <v>LOGOUALE</v>
          </cell>
          <cell r="J418" t="str">
            <v>LOGOUALE</v>
          </cell>
          <cell r="K418" t="str">
            <v>MAN</v>
          </cell>
          <cell r="L418" t="str">
            <v>TONKPI</v>
          </cell>
          <cell r="M418" t="str">
            <v>MAN</v>
          </cell>
          <cell r="N418" t="str">
            <v>UPCOUNTRY</v>
          </cell>
        </row>
        <row r="419">
          <cell r="B419" t="str">
            <v>AC426</v>
          </cell>
          <cell r="C419" t="str">
            <v>IMPROBOIS</v>
          </cell>
          <cell r="D419" t="str">
            <v>-3.85453998</v>
          </cell>
          <cell r="E419" t="str">
            <v>6.12011004</v>
          </cell>
          <cell r="F419" t="str">
            <v>2G/3G/4G</v>
          </cell>
          <cell r="G419" t="str">
            <v>ERICSSON</v>
          </cell>
          <cell r="H419" t="str">
            <v>MOOV</v>
          </cell>
          <cell r="I419" t="str">
            <v>ADZOPE</v>
          </cell>
          <cell r="J419" t="str">
            <v>ADZOPE</v>
          </cell>
          <cell r="K419" t="str">
            <v>ADZOPE</v>
          </cell>
          <cell r="L419" t="str">
            <v>LA ME</v>
          </cell>
          <cell r="M419" t="str">
            <v>ABENGOUROU</v>
          </cell>
          <cell r="N419" t="str">
            <v>UPCOUNTRY</v>
          </cell>
        </row>
        <row r="420">
          <cell r="B420" t="str">
            <v>AC427</v>
          </cell>
          <cell r="C420" t="str">
            <v>FACOBLY</v>
          </cell>
          <cell r="D420" t="str">
            <v>-7.382952</v>
          </cell>
          <cell r="E420" t="str">
            <v>7.381084</v>
          </cell>
          <cell r="F420" t="str">
            <v>2G/3G/4G</v>
          </cell>
          <cell r="G420" t="str">
            <v>HUAWEI</v>
          </cell>
          <cell r="H420" t="str">
            <v>MOOV</v>
          </cell>
          <cell r="I420" t="str">
            <v>FACOBLY</v>
          </cell>
          <cell r="J420" t="str">
            <v>FACOBLY</v>
          </cell>
          <cell r="K420" t="str">
            <v>FACOBLY</v>
          </cell>
          <cell r="L420" t="str">
            <v>GUEMON</v>
          </cell>
          <cell r="M420" t="str">
            <v>MAN</v>
          </cell>
          <cell r="N420" t="str">
            <v>UPCOUNTRY</v>
          </cell>
        </row>
        <row r="421">
          <cell r="B421" t="str">
            <v>AC428</v>
          </cell>
          <cell r="C421" t="str">
            <v>BKE_COMMERCE</v>
          </cell>
          <cell r="D421" t="str">
            <v>-5.0292051</v>
          </cell>
          <cell r="E421" t="str">
            <v>7.6767733</v>
          </cell>
          <cell r="F421" t="str">
            <v>2G/3G/4G</v>
          </cell>
          <cell r="G421" t="str">
            <v>HUAWEI</v>
          </cell>
          <cell r="H421" t="str">
            <v>MOOV</v>
          </cell>
          <cell r="I421" t="str">
            <v>BOUAKE</v>
          </cell>
          <cell r="J421" t="str">
            <v>BOUAKE</v>
          </cell>
          <cell r="K421" t="str">
            <v>BOUAKE</v>
          </cell>
          <cell r="L421" t="str">
            <v>GBEKE</v>
          </cell>
          <cell r="M421" t="str">
            <v>BOUAKE</v>
          </cell>
          <cell r="N421" t="str">
            <v>UPCOUNTRY</v>
          </cell>
        </row>
        <row r="422">
          <cell r="B422" t="str">
            <v>AC429</v>
          </cell>
          <cell r="C422" t="str">
            <v>BKE_BOPHOR</v>
          </cell>
          <cell r="D422" t="str">
            <v>-5.0427972</v>
          </cell>
          <cell r="E422" t="str">
            <v>7.7155937</v>
          </cell>
          <cell r="F422" t="str">
            <v>2G/3G/4G</v>
          </cell>
          <cell r="G422" t="str">
            <v>HUAWEI</v>
          </cell>
          <cell r="H422" t="str">
            <v>MOOV</v>
          </cell>
          <cell r="I422" t="str">
            <v>BOUAKE</v>
          </cell>
          <cell r="J422" t="str">
            <v>BOUAKE</v>
          </cell>
          <cell r="K422" t="str">
            <v>BOUAKE</v>
          </cell>
          <cell r="L422" t="str">
            <v>GBEKE</v>
          </cell>
          <cell r="M422" t="str">
            <v>BOUAKE</v>
          </cell>
          <cell r="N422" t="str">
            <v>UPCOUNTRY</v>
          </cell>
        </row>
        <row r="423">
          <cell r="B423" t="str">
            <v>AC430</v>
          </cell>
          <cell r="C423" t="str">
            <v>BKE_DAR_ES_SALAM_II</v>
          </cell>
          <cell r="D423" t="str">
            <v>-5.0301777</v>
          </cell>
          <cell r="E423" t="str">
            <v>7.723079</v>
          </cell>
          <cell r="F423" t="str">
            <v>2G/3G/4G</v>
          </cell>
          <cell r="G423" t="str">
            <v>HUAWEI</v>
          </cell>
          <cell r="H423" t="str">
            <v>MOOV</v>
          </cell>
          <cell r="I423" t="str">
            <v>BOUAKE</v>
          </cell>
          <cell r="J423" t="str">
            <v>BOUAKE</v>
          </cell>
          <cell r="K423" t="str">
            <v>BOUAKE</v>
          </cell>
          <cell r="L423" t="str">
            <v>GBEKE</v>
          </cell>
          <cell r="M423" t="str">
            <v>BOUAKE</v>
          </cell>
          <cell r="N423" t="str">
            <v>UPCOUNTRY</v>
          </cell>
        </row>
        <row r="424">
          <cell r="B424" t="str">
            <v>AC431</v>
          </cell>
          <cell r="C424" t="str">
            <v>BKE_OLIENOU</v>
          </cell>
          <cell r="D424" t="str">
            <v>-4.9907801</v>
          </cell>
          <cell r="E424" t="str">
            <v>7.6962698</v>
          </cell>
          <cell r="F424" t="str">
            <v>2G/3G/4G</v>
          </cell>
          <cell r="G424" t="str">
            <v>HUAWEI</v>
          </cell>
          <cell r="H424" t="str">
            <v>MOOV</v>
          </cell>
          <cell r="I424" t="str">
            <v>BOUAKE</v>
          </cell>
          <cell r="J424" t="str">
            <v>BOUAKE</v>
          </cell>
          <cell r="K424" t="str">
            <v>BOUAKE</v>
          </cell>
          <cell r="L424" t="str">
            <v>GBEKE</v>
          </cell>
          <cell r="M424" t="str">
            <v>BOUAKE</v>
          </cell>
          <cell r="N424" t="str">
            <v>UPCOUNTRY</v>
          </cell>
        </row>
        <row r="425">
          <cell r="B425" t="str">
            <v>AC432</v>
          </cell>
          <cell r="C425" t="str">
            <v>BKE_KONANKANKRO</v>
          </cell>
          <cell r="D425" t="str">
            <v>-5.0717858</v>
          </cell>
          <cell r="E425" t="str">
            <v>7.7199397</v>
          </cell>
          <cell r="F425" t="str">
            <v>2G/3G/4G</v>
          </cell>
          <cell r="G425" t="str">
            <v>HUAWEI</v>
          </cell>
          <cell r="H425" t="str">
            <v>MOOV</v>
          </cell>
          <cell r="I425" t="str">
            <v>BOUAKE</v>
          </cell>
          <cell r="J425" t="str">
            <v>BOUAKE</v>
          </cell>
          <cell r="K425" t="str">
            <v>BOUAKE</v>
          </cell>
          <cell r="L425" t="str">
            <v>GBEKE</v>
          </cell>
          <cell r="M425" t="str">
            <v>BOUAKE</v>
          </cell>
          <cell r="N425" t="str">
            <v>UPCOUNTRY</v>
          </cell>
        </row>
        <row r="426">
          <cell r="B426" t="str">
            <v>AC433</v>
          </cell>
          <cell r="C426" t="str">
            <v>BKE_KOUTCHAKRO</v>
          </cell>
          <cell r="D426" t="str">
            <v>-5.0236757</v>
          </cell>
          <cell r="E426" t="str">
            <v>7.7361177</v>
          </cell>
          <cell r="F426" t="str">
            <v>2G/3G/4G</v>
          </cell>
          <cell r="G426" t="str">
            <v>HUAWEI</v>
          </cell>
          <cell r="H426" t="str">
            <v>MOOV</v>
          </cell>
          <cell r="I426" t="str">
            <v>BOUAKE</v>
          </cell>
          <cell r="J426" t="str">
            <v>BOUAKE</v>
          </cell>
          <cell r="K426" t="str">
            <v>BOUAKE</v>
          </cell>
          <cell r="L426" t="str">
            <v>GBEKE</v>
          </cell>
          <cell r="M426" t="str">
            <v>BOUAKE</v>
          </cell>
          <cell r="N426" t="str">
            <v>UPCOUNTRY</v>
          </cell>
        </row>
        <row r="427">
          <cell r="B427" t="str">
            <v>AC434</v>
          </cell>
          <cell r="C427" t="str">
            <v>BKE_CHATEAU</v>
          </cell>
          <cell r="D427" t="str">
            <v>-5.0664214</v>
          </cell>
          <cell r="E427" t="str">
            <v>7.6749644</v>
          </cell>
          <cell r="F427" t="str">
            <v>2G/3G/4G</v>
          </cell>
          <cell r="G427" t="str">
            <v>HUAWEI</v>
          </cell>
          <cell r="H427" t="str">
            <v>MOOV</v>
          </cell>
          <cell r="I427" t="str">
            <v>BOUAKE</v>
          </cell>
          <cell r="J427" t="str">
            <v>BOUAKE</v>
          </cell>
          <cell r="K427" t="str">
            <v>BOUAKE</v>
          </cell>
          <cell r="L427" t="str">
            <v>GBEKE</v>
          </cell>
          <cell r="M427" t="str">
            <v>BOUAKE</v>
          </cell>
          <cell r="N427" t="str">
            <v>UPCOUNTRY</v>
          </cell>
        </row>
        <row r="428">
          <cell r="B428" t="str">
            <v>AC435</v>
          </cell>
          <cell r="C428" t="str">
            <v>BKE_ODIENEKOURANI</v>
          </cell>
          <cell r="D428" t="str">
            <v>-5.0628377</v>
          </cell>
          <cell r="E428" t="str">
            <v>7.6995206</v>
          </cell>
          <cell r="F428" t="str">
            <v>2G/3G/4G</v>
          </cell>
          <cell r="G428" t="str">
            <v>HUAWEI</v>
          </cell>
          <cell r="H428" t="str">
            <v>MOOV</v>
          </cell>
          <cell r="I428" t="str">
            <v>BOUAKE</v>
          </cell>
          <cell r="J428" t="str">
            <v>BOUAKE</v>
          </cell>
          <cell r="K428" t="str">
            <v>BOUAKE</v>
          </cell>
          <cell r="L428" t="str">
            <v>GBEKE</v>
          </cell>
          <cell r="M428" t="str">
            <v>BOUAKE</v>
          </cell>
          <cell r="N428" t="str">
            <v>UPCOUNTRY</v>
          </cell>
        </row>
        <row r="429">
          <cell r="B429" t="str">
            <v>AC436</v>
          </cell>
          <cell r="C429" t="str">
            <v>FERKE_SUCAF</v>
          </cell>
          <cell r="D429" t="str">
            <v>-5.268905</v>
          </cell>
          <cell r="E429" t="str">
            <v>9.517526</v>
          </cell>
          <cell r="F429" t="str">
            <v>2G/3G/4G</v>
          </cell>
          <cell r="G429" t="str">
            <v>HUAWEI</v>
          </cell>
          <cell r="H429" t="str">
            <v>MOOV</v>
          </cell>
          <cell r="I429" t="str">
            <v>VILLAGE CADRES SODESUCRE</v>
          </cell>
          <cell r="J429" t="str">
            <v>FERKESSEDOUGOU</v>
          </cell>
          <cell r="K429" t="str">
            <v>FERKESSEDOUGOU</v>
          </cell>
          <cell r="L429" t="str">
            <v>TCHOLOGO</v>
          </cell>
          <cell r="M429" t="str">
            <v>KORHOGO</v>
          </cell>
          <cell r="N429" t="str">
            <v>UPCOUNTRY</v>
          </cell>
        </row>
        <row r="430">
          <cell r="B430" t="str">
            <v>AC437</v>
          </cell>
          <cell r="C430" t="str">
            <v>FERKE2</v>
          </cell>
          <cell r="D430" t="str">
            <v>-5.298819</v>
          </cell>
          <cell r="E430" t="str">
            <v>9.301859</v>
          </cell>
          <cell r="F430" t="str">
            <v>2G/3G/4G</v>
          </cell>
          <cell r="G430" t="str">
            <v>HUAWEI</v>
          </cell>
          <cell r="H430" t="str">
            <v>MOOV</v>
          </cell>
          <cell r="I430" t="str">
            <v>SUCAF-CI-VILLAGE1</v>
          </cell>
          <cell r="J430" t="str">
            <v>BADIKAHA</v>
          </cell>
          <cell r="K430" t="str">
            <v>NIAKARAMADOUGOU</v>
          </cell>
          <cell r="L430" t="str">
            <v>HAMBOL</v>
          </cell>
          <cell r="M430" t="str">
            <v>KORHOGO</v>
          </cell>
          <cell r="N430" t="str">
            <v>UPCOUNTRY</v>
          </cell>
        </row>
        <row r="431">
          <cell r="B431" t="str">
            <v>AC438</v>
          </cell>
          <cell r="C431" t="str">
            <v>BOROTOU_KORO</v>
          </cell>
          <cell r="D431" t="str">
            <v>-7.218409</v>
          </cell>
          <cell r="E431" t="str">
            <v>8.488475</v>
          </cell>
          <cell r="F431" t="str">
            <v>2G/3G/4G</v>
          </cell>
          <cell r="G431" t="str">
            <v>HUAWEI</v>
          </cell>
          <cell r="H431" t="str">
            <v>MOOV</v>
          </cell>
          <cell r="I431" t="str">
            <v>BOROTOU-KORO</v>
          </cell>
          <cell r="J431" t="str">
            <v>KORO</v>
          </cell>
          <cell r="K431" t="str">
            <v>KORO</v>
          </cell>
          <cell r="L431" t="str">
            <v>BAFING</v>
          </cell>
          <cell r="M431" t="str">
            <v>MAN</v>
          </cell>
          <cell r="N431" t="str">
            <v>UPCOUNTRY</v>
          </cell>
        </row>
        <row r="432">
          <cell r="B432" t="str">
            <v>AC439</v>
          </cell>
          <cell r="C432" t="str">
            <v>ZUENOULA_CPLX</v>
          </cell>
          <cell r="D432" t="str">
            <v>-6.126961</v>
          </cell>
          <cell r="E432" t="str">
            <v>7.600383</v>
          </cell>
          <cell r="F432" t="str">
            <v>2G/3G/4G</v>
          </cell>
          <cell r="G432" t="str">
            <v>HUAWEI</v>
          </cell>
          <cell r="H432" t="str">
            <v>MOOV</v>
          </cell>
          <cell r="I432" t="str">
            <v>COMPLEXE SUCRIER</v>
          </cell>
          <cell r="J432" t="str">
            <v>ZANZRA</v>
          </cell>
          <cell r="K432" t="str">
            <v>ZUENOULA</v>
          </cell>
          <cell r="L432" t="str">
            <v>MARAHOUE</v>
          </cell>
          <cell r="M432" t="str">
            <v>YAMOUSSOUKRO</v>
          </cell>
          <cell r="N432" t="str">
            <v>UPCOUNTRY</v>
          </cell>
        </row>
        <row r="433">
          <cell r="B433" t="str">
            <v>AC440</v>
          </cell>
          <cell r="C433" t="str">
            <v>BAKO</v>
          </cell>
          <cell r="D433" t="str">
            <v>-7.6061</v>
          </cell>
          <cell r="E433" t="str">
            <v>9.1408</v>
          </cell>
          <cell r="F433" t="str">
            <v>2G/3G/4G</v>
          </cell>
          <cell r="G433" t="str">
            <v>HUAWEI</v>
          </cell>
          <cell r="H433" t="str">
            <v>MOOV</v>
          </cell>
          <cell r="I433" t="str">
            <v>BAKO</v>
          </cell>
          <cell r="J433" t="str">
            <v>BAKO</v>
          </cell>
          <cell r="K433" t="str">
            <v>ODIENNE</v>
          </cell>
          <cell r="L433" t="str">
            <v>KABADOUGOU</v>
          </cell>
          <cell r="M433" t="str">
            <v>MAN</v>
          </cell>
          <cell r="N433" t="str">
            <v>UPCOUNTRY</v>
          </cell>
        </row>
        <row r="434">
          <cell r="B434" t="str">
            <v>AC441</v>
          </cell>
          <cell r="C434" t="str">
            <v>MAHAPLEU</v>
          </cell>
          <cell r="D434" t="str">
            <v>-7.9357</v>
          </cell>
          <cell r="E434" t="str">
            <v>7.2284</v>
          </cell>
          <cell r="F434" t="str">
            <v>2G/3G/4G</v>
          </cell>
          <cell r="G434" t="str">
            <v>HUAWEI</v>
          </cell>
          <cell r="H434" t="str">
            <v>MOOV</v>
          </cell>
          <cell r="I434" t="str">
            <v>MAHAPLEU</v>
          </cell>
          <cell r="J434" t="str">
            <v>MAHAPLEU</v>
          </cell>
          <cell r="K434" t="str">
            <v>DANANE</v>
          </cell>
          <cell r="L434" t="str">
            <v>TONKPI</v>
          </cell>
          <cell r="M434" t="str">
            <v>MAN</v>
          </cell>
          <cell r="N434" t="str">
            <v>UPCOUNTRY</v>
          </cell>
        </row>
        <row r="435">
          <cell r="B435" t="str">
            <v>AC442</v>
          </cell>
          <cell r="C435" t="str">
            <v>BOUANDOUGOU</v>
          </cell>
          <cell r="D435" t="str">
            <v>-5.6625635</v>
          </cell>
          <cell r="E435" t="str">
            <v>8.212338</v>
          </cell>
          <cell r="F435" t="str">
            <v>2G/3G/4G</v>
          </cell>
          <cell r="G435" t="str">
            <v>HUAWEI</v>
          </cell>
          <cell r="H435" t="str">
            <v>MOOV</v>
          </cell>
          <cell r="I435" t="str">
            <v>BOUANDOUGOU</v>
          </cell>
          <cell r="J435" t="str">
            <v>BOUANDOUGOU</v>
          </cell>
          <cell r="K435" t="str">
            <v>MANKONO</v>
          </cell>
          <cell r="L435" t="str">
            <v>BERE</v>
          </cell>
          <cell r="M435" t="str">
            <v>BOUAKE</v>
          </cell>
          <cell r="N435" t="str">
            <v>UPCOUNTRY</v>
          </cell>
        </row>
        <row r="436">
          <cell r="B436" t="str">
            <v>AC443</v>
          </cell>
          <cell r="C436" t="str">
            <v>BEOUMI</v>
          </cell>
          <cell r="D436" t="str">
            <v>-5.571526</v>
          </cell>
          <cell r="E436" t="str">
            <v>7.6784403</v>
          </cell>
          <cell r="F436" t="str">
            <v>2G/3G/4G</v>
          </cell>
          <cell r="G436" t="str">
            <v>HUAWEI</v>
          </cell>
          <cell r="H436" t="str">
            <v>IHS (CIT)</v>
          </cell>
          <cell r="I436" t="str">
            <v>BEOUMI</v>
          </cell>
          <cell r="J436" t="str">
            <v>BEOUMI</v>
          </cell>
          <cell r="K436" t="str">
            <v>BEOUMI</v>
          </cell>
          <cell r="L436" t="str">
            <v>GBEKE</v>
          </cell>
          <cell r="M436" t="str">
            <v>BOUAKE</v>
          </cell>
          <cell r="N436" t="str">
            <v>UPCOUNTRY</v>
          </cell>
        </row>
        <row r="437">
          <cell r="B437" t="str">
            <v>AC444</v>
          </cell>
          <cell r="C437" t="str">
            <v>BINHOUYE</v>
          </cell>
          <cell r="D437" t="str">
            <v>-8.3156</v>
          </cell>
          <cell r="E437" t="str">
            <v>6.7844</v>
          </cell>
          <cell r="F437" t="str">
            <v>2G/3G/4G</v>
          </cell>
          <cell r="G437" t="str">
            <v>HUAWEI</v>
          </cell>
          <cell r="H437" t="str">
            <v>MOOV</v>
          </cell>
          <cell r="I437" t="str">
            <v>BIN-HOUYE</v>
          </cell>
          <cell r="J437" t="str">
            <v>BIN-HOUYE</v>
          </cell>
          <cell r="K437" t="str">
            <v>ZOUAN-HOUNIEN</v>
          </cell>
          <cell r="L437" t="str">
            <v>TONKPI</v>
          </cell>
          <cell r="M437" t="str">
            <v>MAN</v>
          </cell>
          <cell r="N437" t="str">
            <v>UPCOUNTRY</v>
          </cell>
        </row>
        <row r="438">
          <cell r="B438" t="str">
            <v>AC445</v>
          </cell>
          <cell r="C438" t="str">
            <v>BLOLEQUIN</v>
          </cell>
          <cell r="D438" t="str">
            <v>-8.009895</v>
          </cell>
          <cell r="E438" t="str">
            <v>6.575354</v>
          </cell>
          <cell r="F438" t="str">
            <v>2G/3G/4G</v>
          </cell>
          <cell r="G438" t="str">
            <v>HUAWEI</v>
          </cell>
          <cell r="H438" t="str">
            <v>MOOV</v>
          </cell>
          <cell r="I438" t="str">
            <v>BLOLEQUIN</v>
          </cell>
          <cell r="J438" t="str">
            <v>BLOLEQUIN</v>
          </cell>
          <cell r="K438" t="str">
            <v>BLOLEQUIN</v>
          </cell>
          <cell r="L438" t="str">
            <v>CAVALLY</v>
          </cell>
          <cell r="M438" t="str">
            <v>MAN</v>
          </cell>
          <cell r="N438" t="str">
            <v>UPCOUNTRY</v>
          </cell>
        </row>
        <row r="439">
          <cell r="B439" t="str">
            <v>AC446</v>
          </cell>
          <cell r="C439" t="str">
            <v>BONIEREDOUGOU</v>
          </cell>
          <cell r="D439" t="str">
            <v>-4.7189315</v>
          </cell>
          <cell r="E439" t="str">
            <v>8.3674192</v>
          </cell>
          <cell r="F439" t="str">
            <v>2G/3G/4G</v>
          </cell>
          <cell r="G439" t="str">
            <v>HUAWEI</v>
          </cell>
          <cell r="H439" t="str">
            <v>MOOV</v>
          </cell>
          <cell r="I439" t="str">
            <v>BONIEREDOUGOU</v>
          </cell>
          <cell r="J439" t="str">
            <v>BONIEREDOUGOU</v>
          </cell>
          <cell r="K439" t="str">
            <v>DABAKALA</v>
          </cell>
          <cell r="L439" t="str">
            <v>HAMBOL</v>
          </cell>
          <cell r="M439" t="str">
            <v>BOUAKE</v>
          </cell>
          <cell r="N439" t="str">
            <v>UPCOUNTRY</v>
          </cell>
        </row>
        <row r="440">
          <cell r="B440" t="str">
            <v>AC447</v>
          </cell>
          <cell r="C440" t="str">
            <v>BONOUFLA</v>
          </cell>
          <cell r="D440" t="str">
            <v>-6.4818</v>
          </cell>
          <cell r="E440" t="str">
            <v>7.1369</v>
          </cell>
          <cell r="F440" t="str">
            <v>2G/3G/4G</v>
          </cell>
          <cell r="G440" t="str">
            <v>HUAWEI</v>
          </cell>
          <cell r="H440" t="str">
            <v>MOOV</v>
          </cell>
          <cell r="I440" t="str">
            <v>BONOUFLA</v>
          </cell>
          <cell r="J440" t="str">
            <v>VAVOUA</v>
          </cell>
          <cell r="K440" t="str">
            <v>VAVOUA</v>
          </cell>
          <cell r="L440" t="str">
            <v>HAUT-SASSANDRA</v>
          </cell>
          <cell r="M440" t="str">
            <v>DALOA</v>
          </cell>
          <cell r="N440" t="str">
            <v>UPCOUNTRY</v>
          </cell>
        </row>
        <row r="441">
          <cell r="B441" t="str">
            <v>AC448</v>
          </cell>
          <cell r="C441" t="str">
            <v>BOTRO</v>
          </cell>
          <cell r="D441" t="str">
            <v>-5.3076891</v>
          </cell>
          <cell r="E441" t="str">
            <v>7.8315653</v>
          </cell>
          <cell r="F441" t="str">
            <v>2G/3G/4G</v>
          </cell>
          <cell r="G441" t="str">
            <v>HUAWEI</v>
          </cell>
          <cell r="H441" t="str">
            <v>MOOV</v>
          </cell>
          <cell r="I441" t="str">
            <v>BOTRO</v>
          </cell>
          <cell r="J441" t="str">
            <v>BOTRO</v>
          </cell>
          <cell r="K441" t="str">
            <v>BOTRO</v>
          </cell>
          <cell r="L441" t="str">
            <v>GBEKE</v>
          </cell>
          <cell r="M441" t="str">
            <v>BOUAKE</v>
          </cell>
          <cell r="N441" t="str">
            <v>UPCOUNTRY</v>
          </cell>
        </row>
        <row r="442">
          <cell r="B442" t="str">
            <v>AC449</v>
          </cell>
          <cell r="C442" t="str">
            <v>BUYO</v>
          </cell>
          <cell r="D442" t="str">
            <v>-7.0031</v>
          </cell>
          <cell r="E442" t="str">
            <v>6.2542</v>
          </cell>
          <cell r="F442" t="str">
            <v>2G/3G/4G</v>
          </cell>
          <cell r="G442" t="str">
            <v>HUAWEI</v>
          </cell>
          <cell r="H442" t="str">
            <v>MOOV</v>
          </cell>
          <cell r="I442" t="str">
            <v>BUYO</v>
          </cell>
          <cell r="J442" t="str">
            <v>BUYO</v>
          </cell>
          <cell r="K442" t="str">
            <v>BUYO</v>
          </cell>
          <cell r="L442" t="str">
            <v>NAWA</v>
          </cell>
          <cell r="M442" t="str">
            <v>SOUBRE</v>
          </cell>
          <cell r="N442" t="str">
            <v>UPCOUNTRY</v>
          </cell>
        </row>
        <row r="443">
          <cell r="B443" t="str">
            <v>AC450</v>
          </cell>
          <cell r="C443" t="str">
            <v>DIGBAPIA</v>
          </cell>
          <cell r="D443" t="str">
            <v>-6.6261</v>
          </cell>
          <cell r="E443" t="str">
            <v>6.8322</v>
          </cell>
          <cell r="F443" t="str">
            <v>2G/3G/4G</v>
          </cell>
          <cell r="G443" t="str">
            <v>HUAWEI</v>
          </cell>
          <cell r="H443" t="str">
            <v>MOOV</v>
          </cell>
          <cell r="I443" t="str">
            <v>DIGBAPIA</v>
          </cell>
          <cell r="J443" t="str">
            <v>GBOGUHE</v>
          </cell>
          <cell r="K443" t="str">
            <v>DALOA</v>
          </cell>
          <cell r="L443" t="str">
            <v>HAUT-SASSANDRA</v>
          </cell>
          <cell r="M443" t="str">
            <v>DALOA</v>
          </cell>
          <cell r="N443" t="str">
            <v>UPCOUNTRY</v>
          </cell>
        </row>
        <row r="444">
          <cell r="B444" t="str">
            <v>AC451</v>
          </cell>
          <cell r="C444" t="str">
            <v>DIKODOUGOU</v>
          </cell>
          <cell r="D444" t="str">
            <v>-5.773556</v>
          </cell>
          <cell r="E444" t="str">
            <v>9.068722</v>
          </cell>
          <cell r="F444" t="str">
            <v>2G/3G/4G</v>
          </cell>
          <cell r="G444" t="str">
            <v>HUAWEI</v>
          </cell>
          <cell r="H444" t="str">
            <v>MOOV</v>
          </cell>
          <cell r="I444" t="str">
            <v>DIKODOUGOU</v>
          </cell>
          <cell r="J444" t="str">
            <v>DIKODOUGOU</v>
          </cell>
          <cell r="K444" t="str">
            <v>DIKODOUGOU</v>
          </cell>
          <cell r="L444" t="str">
            <v>PORO</v>
          </cell>
          <cell r="M444" t="str">
            <v>KORHOGO</v>
          </cell>
          <cell r="N444" t="str">
            <v>UPCOUNTRY</v>
          </cell>
        </row>
        <row r="445">
          <cell r="B445" t="str">
            <v>AC452</v>
          </cell>
          <cell r="C445" t="str">
            <v>DJEBONOUA</v>
          </cell>
          <cell r="D445" t="str">
            <v>-5.0691801</v>
          </cell>
          <cell r="E445" t="str">
            <v>7.5256765</v>
          </cell>
          <cell r="F445" t="str">
            <v>2G/3G/4G</v>
          </cell>
          <cell r="G445" t="str">
            <v>HUAWEI</v>
          </cell>
          <cell r="H445" t="str">
            <v>MOOV</v>
          </cell>
          <cell r="I445" t="str">
            <v>DJEBONOUA</v>
          </cell>
          <cell r="J445" t="str">
            <v>DJEBONOUA</v>
          </cell>
          <cell r="K445" t="str">
            <v>BOUAKE</v>
          </cell>
          <cell r="L445" t="str">
            <v>GBEKE</v>
          </cell>
          <cell r="M445" t="str">
            <v>BOUAKE</v>
          </cell>
          <cell r="N445" t="str">
            <v>UPCOUNTRY</v>
          </cell>
        </row>
        <row r="446">
          <cell r="B446" t="str">
            <v>AC453</v>
          </cell>
          <cell r="C446" t="str">
            <v>DUALLA</v>
          </cell>
          <cell r="D446" t="str">
            <v>-6.5424</v>
          </cell>
          <cell r="E446" t="str">
            <v>8.1166</v>
          </cell>
          <cell r="F446" t="str">
            <v>2G/3G/4G</v>
          </cell>
          <cell r="G446" t="str">
            <v>HUAWEI</v>
          </cell>
          <cell r="H446" t="str">
            <v>IHS (CIT)</v>
          </cell>
          <cell r="I446" t="str">
            <v>DUALLA</v>
          </cell>
          <cell r="J446" t="str">
            <v>DUALLA</v>
          </cell>
          <cell r="K446" t="str">
            <v>SEGUELA</v>
          </cell>
          <cell r="L446" t="str">
            <v>WORODOUGOU</v>
          </cell>
          <cell r="M446" t="str">
            <v>DALOA</v>
          </cell>
          <cell r="N446" t="str">
            <v>UPCOUNTRY</v>
          </cell>
        </row>
        <row r="447">
          <cell r="B447" t="str">
            <v>AC454</v>
          </cell>
          <cell r="C447" t="str">
            <v>TOUVRE</v>
          </cell>
          <cell r="D447" t="str">
            <v>-6.5031</v>
          </cell>
          <cell r="E447" t="str">
            <v>9.9059</v>
          </cell>
          <cell r="F447" t="str">
            <v>2G/3G/4G</v>
          </cell>
          <cell r="G447" t="str">
            <v>HUAWEI</v>
          </cell>
          <cell r="H447" t="str">
            <v>IHS (CIT)</v>
          </cell>
          <cell r="I447" t="str">
            <v>TOUNVRE</v>
          </cell>
          <cell r="J447" t="str">
            <v>GBON</v>
          </cell>
          <cell r="K447" t="str">
            <v>KOUTO</v>
          </cell>
          <cell r="L447" t="str">
            <v>BAGOUE</v>
          </cell>
          <cell r="M447" t="str">
            <v>KORHOGO</v>
          </cell>
          <cell r="N447" t="str">
            <v>UPCOUNTRY</v>
          </cell>
        </row>
        <row r="448">
          <cell r="B448" t="str">
            <v>AC455</v>
          </cell>
          <cell r="C448" t="str">
            <v>GABIADJI</v>
          </cell>
          <cell r="D448" t="str">
            <v>-6.55832</v>
          </cell>
          <cell r="E448" t="str">
            <v>5.02021</v>
          </cell>
          <cell r="F448" t="str">
            <v>2G/3G/4G</v>
          </cell>
          <cell r="G448" t="str">
            <v>HUAWEI</v>
          </cell>
          <cell r="H448" t="str">
            <v>MOOV</v>
          </cell>
          <cell r="I448" t="str">
            <v>GABIADJI</v>
          </cell>
          <cell r="J448" t="str">
            <v>GABIADJI</v>
          </cell>
          <cell r="K448" t="str">
            <v>SAN-PEDRO</v>
          </cell>
          <cell r="L448" t="str">
            <v>SAN-PEDRO</v>
          </cell>
          <cell r="M448" t="str">
            <v>SAN-PEDRO</v>
          </cell>
          <cell r="N448" t="str">
            <v>UPCOUNTRY</v>
          </cell>
        </row>
        <row r="449">
          <cell r="B449" t="str">
            <v>AC456</v>
          </cell>
          <cell r="C449" t="str">
            <v>GUESSABO</v>
          </cell>
          <cell r="D449" t="str">
            <v>-6.953689</v>
          </cell>
          <cell r="E449" t="str">
            <v>6.736641</v>
          </cell>
          <cell r="F449" t="str">
            <v>2G/3G/4G</v>
          </cell>
          <cell r="G449" t="str">
            <v>HUAWEI</v>
          </cell>
          <cell r="H449" t="str">
            <v>MOOV</v>
          </cell>
          <cell r="I449" t="str">
            <v>GUESSABO</v>
          </cell>
          <cell r="J449" t="str">
            <v>GUESSABO</v>
          </cell>
          <cell r="K449" t="str">
            <v>ZOUKOUGBEU</v>
          </cell>
          <cell r="L449" t="str">
            <v>HAUT-SASSANDRA</v>
          </cell>
          <cell r="M449" t="str">
            <v>DALOA</v>
          </cell>
          <cell r="N449" t="str">
            <v>UPCOUNTRY</v>
          </cell>
        </row>
        <row r="450">
          <cell r="B450" t="str">
            <v>AC457</v>
          </cell>
          <cell r="C450" t="str">
            <v>GUEYO</v>
          </cell>
          <cell r="D450" t="str">
            <v>-6.072204</v>
          </cell>
          <cell r="E450" t="str">
            <v>5.691986</v>
          </cell>
          <cell r="F450" t="str">
            <v>2G/3G/4G</v>
          </cell>
          <cell r="G450" t="str">
            <v>HUAWEI</v>
          </cell>
          <cell r="H450" t="str">
            <v>IHS (CIT)</v>
          </cell>
          <cell r="I450" t="str">
            <v>GUEYO</v>
          </cell>
          <cell r="J450" t="str">
            <v>GUEYO</v>
          </cell>
          <cell r="K450" t="str">
            <v>GUEYO</v>
          </cell>
          <cell r="L450" t="str">
            <v>NAWA</v>
          </cell>
          <cell r="M450" t="str">
            <v>SOUBRE</v>
          </cell>
          <cell r="N450" t="str">
            <v>UPCOUNTRY</v>
          </cell>
        </row>
        <row r="451">
          <cell r="B451" t="str">
            <v>AC458</v>
          </cell>
          <cell r="C451" t="str">
            <v>GUITRY</v>
          </cell>
          <cell r="D451" t="str">
            <v>-5.2416984</v>
          </cell>
          <cell r="E451" t="str">
            <v>5.52829556</v>
          </cell>
          <cell r="F451" t="str">
            <v>2G/3G/4G</v>
          </cell>
          <cell r="G451" t="str">
            <v>ERICSSON</v>
          </cell>
          <cell r="H451" t="str">
            <v>IHS (CIT)</v>
          </cell>
          <cell r="I451" t="str">
            <v>GUITRY</v>
          </cell>
          <cell r="J451" t="str">
            <v>GUITRY</v>
          </cell>
          <cell r="K451" t="str">
            <v>GUITRY</v>
          </cell>
          <cell r="L451" t="str">
            <v>LOH-DJIBOUA</v>
          </cell>
          <cell r="M451" t="str">
            <v>DIVO</v>
          </cell>
          <cell r="N451" t="str">
            <v>UPCOUNTRY</v>
          </cell>
        </row>
        <row r="452">
          <cell r="B452" t="str">
            <v>AC459</v>
          </cell>
          <cell r="C452" t="str">
            <v>KOSSOU</v>
          </cell>
          <cell r="D452" t="str">
            <v>-5.4781</v>
          </cell>
          <cell r="E452" t="str">
            <v>7.0054</v>
          </cell>
          <cell r="F452" t="str">
            <v>2G/3G/4G</v>
          </cell>
          <cell r="G452" t="str">
            <v>HUAWEI</v>
          </cell>
          <cell r="H452" t="str">
            <v>MOOV</v>
          </cell>
          <cell r="I452" t="str">
            <v>KOSSOU</v>
          </cell>
          <cell r="J452" t="str">
            <v>KOSSOU</v>
          </cell>
          <cell r="K452" t="str">
            <v>YAMOUSSOUKRO</v>
          </cell>
          <cell r="L452" t="str">
            <v>YAMOUSSOUKRO</v>
          </cell>
          <cell r="M452" t="str">
            <v>YAMOUSSOUKRO</v>
          </cell>
          <cell r="N452" t="str">
            <v>UPCOUNTRY</v>
          </cell>
        </row>
        <row r="453">
          <cell r="B453" t="str">
            <v>AC460</v>
          </cell>
          <cell r="C453" t="str">
            <v>SIEMPURGO</v>
          </cell>
          <cell r="D453" t="str">
            <v>-6.1988</v>
          </cell>
          <cell r="E453" t="str">
            <v>9.5188</v>
          </cell>
          <cell r="F453" t="str">
            <v>2G/3G/4G</v>
          </cell>
          <cell r="G453" t="str">
            <v>HUAWEI</v>
          </cell>
          <cell r="H453" t="str">
            <v>MOOV</v>
          </cell>
          <cell r="I453" t="str">
            <v>SIEMPURGO</v>
          </cell>
          <cell r="J453" t="str">
            <v>SIEMPURGO</v>
          </cell>
          <cell r="K453" t="str">
            <v>BOUNDIALI</v>
          </cell>
          <cell r="L453" t="str">
            <v>BAGOUE</v>
          </cell>
          <cell r="M453" t="str">
            <v>KORHOGO</v>
          </cell>
          <cell r="N453" t="str">
            <v>UPCOUNTRY</v>
          </cell>
        </row>
        <row r="454">
          <cell r="B454" t="str">
            <v>AC461</v>
          </cell>
          <cell r="C454" t="str">
            <v>RAGGI</v>
          </cell>
          <cell r="D454" t="str">
            <v>-3.7288</v>
          </cell>
          <cell r="E454" t="str">
            <v>5.19427</v>
          </cell>
          <cell r="F454" t="str">
            <v>2G/3G/4G</v>
          </cell>
          <cell r="G454" t="str">
            <v>HUAWEI</v>
          </cell>
          <cell r="H454" t="str">
            <v>IHS (OCI)</v>
          </cell>
          <cell r="I454" t="str">
            <v>GRAND-BASSAM</v>
          </cell>
          <cell r="J454" t="str">
            <v>GRAND-BASSAM</v>
          </cell>
          <cell r="K454" t="str">
            <v>GRAND-BASSAM</v>
          </cell>
          <cell r="L454" t="str">
            <v>SUD-COMOE</v>
          </cell>
          <cell r="M454" t="str">
            <v>MARCORY</v>
          </cell>
          <cell r="N454" t="str">
            <v>UPCOUNTRY</v>
          </cell>
        </row>
        <row r="455">
          <cell r="B455" t="str">
            <v>AC462</v>
          </cell>
          <cell r="C455" t="str">
            <v>CAR_MOPOYEM</v>
          </cell>
          <cell r="D455" t="str">
            <v>-4.39677</v>
          </cell>
          <cell r="E455" t="str">
            <v>5.33063</v>
          </cell>
          <cell r="F455" t="str">
            <v>2G/3G/4G</v>
          </cell>
          <cell r="G455" t="str">
            <v>ERICSSON</v>
          </cell>
          <cell r="H455" t="str">
            <v>MOOV</v>
          </cell>
          <cell r="I455" t="str">
            <v>DABOU</v>
          </cell>
          <cell r="J455" t="str">
            <v>DABOU</v>
          </cell>
          <cell r="K455" t="str">
            <v>DABOU</v>
          </cell>
          <cell r="L455" t="str">
            <v>GRANDS-PONTS</v>
          </cell>
          <cell r="M455" t="str">
            <v>YOPOUGON FICGAYO</v>
          </cell>
          <cell r="N455" t="str">
            <v>UPCOUNTRY</v>
          </cell>
        </row>
        <row r="456">
          <cell r="B456" t="str">
            <v>AC463</v>
          </cell>
          <cell r="C456" t="str">
            <v>NGATTADOLIKRO</v>
          </cell>
          <cell r="D456" t="str">
            <v>-5.142043</v>
          </cell>
          <cell r="E456" t="str">
            <v>7.280958</v>
          </cell>
          <cell r="F456" t="str">
            <v>2G/3G/4G</v>
          </cell>
          <cell r="G456" t="str">
            <v>HUAWEI</v>
          </cell>
          <cell r="H456" t="str">
            <v>MOOV</v>
          </cell>
          <cell r="I456" t="str">
            <v>NGATTADOLIKRO</v>
          </cell>
          <cell r="J456" t="str">
            <v>TIEBISSOU</v>
          </cell>
          <cell r="K456" t="str">
            <v>TIEBISSOU</v>
          </cell>
          <cell r="L456" t="str">
            <v>BELIER</v>
          </cell>
          <cell r="M456" t="str">
            <v>BOUAKE</v>
          </cell>
          <cell r="N456" t="str">
            <v>UPCOUNTRY</v>
          </cell>
        </row>
        <row r="457">
          <cell r="B457" t="str">
            <v>AC464</v>
          </cell>
          <cell r="C457" t="str">
            <v>OUELLE</v>
          </cell>
          <cell r="D457" t="str">
            <v>-4.013</v>
          </cell>
          <cell r="E457" t="str">
            <v>7.2974</v>
          </cell>
          <cell r="F457" t="str">
            <v>2G/3G/4G</v>
          </cell>
          <cell r="G457" t="str">
            <v>HUAWEI</v>
          </cell>
          <cell r="H457" t="str">
            <v>MOOV</v>
          </cell>
          <cell r="I457" t="str">
            <v>OUELLE</v>
          </cell>
          <cell r="J457" t="str">
            <v>OUELLE</v>
          </cell>
          <cell r="K457" t="str">
            <v>DAOUKRO</v>
          </cell>
          <cell r="L457" t="str">
            <v>IFFOU</v>
          </cell>
          <cell r="M457" t="str">
            <v>ABENGOUROU</v>
          </cell>
          <cell r="N457" t="str">
            <v>UPCOUNTRY</v>
          </cell>
        </row>
        <row r="458">
          <cell r="B458" t="str">
            <v>AC465</v>
          </cell>
          <cell r="C458" t="str">
            <v>POGO</v>
          </cell>
          <cell r="D458" t="str">
            <v>-5.627465</v>
          </cell>
          <cell r="E458" t="str">
            <v>10.433938</v>
          </cell>
          <cell r="F458" t="str">
            <v>2G/3G/4G</v>
          </cell>
          <cell r="G458" t="str">
            <v>HUAWEI</v>
          </cell>
          <cell r="H458" t="str">
            <v>MOOV</v>
          </cell>
          <cell r="I458" t="str">
            <v>POGO</v>
          </cell>
          <cell r="J458" t="str">
            <v>TOUMOUKORO</v>
          </cell>
          <cell r="K458" t="str">
            <v>OUANGOLODOUGOU</v>
          </cell>
          <cell r="L458" t="str">
            <v>TCHOLOGO</v>
          </cell>
          <cell r="M458" t="str">
            <v>KORHOGO</v>
          </cell>
          <cell r="N458" t="str">
            <v>UPCOUNTRY</v>
          </cell>
        </row>
        <row r="459">
          <cell r="B459" t="str">
            <v>AC466</v>
          </cell>
          <cell r="C459" t="str">
            <v>SAKASSOU</v>
          </cell>
          <cell r="D459" t="str">
            <v>-5.2923154</v>
          </cell>
          <cell r="E459" t="str">
            <v>7.4469416</v>
          </cell>
          <cell r="F459" t="str">
            <v>2G/3G/4G</v>
          </cell>
          <cell r="G459" t="str">
            <v>HUAWEI</v>
          </cell>
          <cell r="H459" t="str">
            <v>IHS (CIT)</v>
          </cell>
          <cell r="I459" t="str">
            <v>SAKASSOU</v>
          </cell>
          <cell r="J459" t="str">
            <v>DIBRI-ASRIKRO</v>
          </cell>
          <cell r="K459" t="str">
            <v>SAKASSOU</v>
          </cell>
          <cell r="L459" t="str">
            <v>GBEKE</v>
          </cell>
          <cell r="M459" t="str">
            <v>BOUAKE</v>
          </cell>
          <cell r="N459" t="str">
            <v>UPCOUNTRY</v>
          </cell>
        </row>
        <row r="460">
          <cell r="B460" t="str">
            <v>AC467</v>
          </cell>
          <cell r="C460" t="str">
            <v>SANGOUINE</v>
          </cell>
          <cell r="D460" t="str">
            <v>-7.7779</v>
          </cell>
          <cell r="E460" t="str">
            <v>7.2711</v>
          </cell>
          <cell r="F460" t="str">
            <v>2G/3G/4G</v>
          </cell>
          <cell r="G460" t="str">
            <v>HUAWEI</v>
          </cell>
          <cell r="H460" t="str">
            <v>MOOV</v>
          </cell>
          <cell r="I460" t="str">
            <v>SANGOUINE</v>
          </cell>
          <cell r="J460" t="str">
            <v>SANGOUINE</v>
          </cell>
          <cell r="K460" t="str">
            <v>MAN</v>
          </cell>
          <cell r="L460" t="str">
            <v>TONKPI</v>
          </cell>
          <cell r="M460" t="str">
            <v>MAN</v>
          </cell>
          <cell r="N460" t="str">
            <v>UPCOUNTRY</v>
          </cell>
        </row>
        <row r="461">
          <cell r="B461" t="str">
            <v>AC468</v>
          </cell>
          <cell r="C461" t="str">
            <v>TAABO</v>
          </cell>
          <cell r="D461" t="str">
            <v>-5.072574</v>
          </cell>
          <cell r="E461" t="str">
            <v>6.271544</v>
          </cell>
          <cell r="F461" t="str">
            <v>2G/3G/4G</v>
          </cell>
          <cell r="G461" t="str">
            <v>HUAWEI</v>
          </cell>
          <cell r="H461" t="str">
            <v>MOOV</v>
          </cell>
          <cell r="I461" t="str">
            <v>TAABO</v>
          </cell>
          <cell r="J461" t="str">
            <v>TAABO</v>
          </cell>
          <cell r="K461" t="str">
            <v>TAABO</v>
          </cell>
          <cell r="L461" t="str">
            <v>AGNEBY-TIASSA</v>
          </cell>
          <cell r="M461" t="str">
            <v>YAMOUSSOUKRO</v>
          </cell>
          <cell r="N461" t="str">
            <v>UPCOUNTRY</v>
          </cell>
        </row>
        <row r="462">
          <cell r="B462" t="str">
            <v>AC469</v>
          </cell>
          <cell r="C462" t="str">
            <v>TOMONO</v>
          </cell>
          <cell r="D462" t="str">
            <v>-6.1045054</v>
          </cell>
          <cell r="E462" t="str">
            <v>8.3308806</v>
          </cell>
          <cell r="F462" t="str">
            <v>2G/3G/4G</v>
          </cell>
          <cell r="G462" t="str">
            <v>HUAWEI</v>
          </cell>
          <cell r="H462" t="str">
            <v>MOOV</v>
          </cell>
          <cell r="I462" t="str">
            <v>TOMONO</v>
          </cell>
          <cell r="J462" t="str">
            <v>MANKONO</v>
          </cell>
          <cell r="K462" t="str">
            <v>MANKONO</v>
          </cell>
          <cell r="L462" t="str">
            <v>BERE</v>
          </cell>
          <cell r="M462" t="str">
            <v>BOUAKE</v>
          </cell>
          <cell r="N462" t="str">
            <v>UPCOUNTRY</v>
          </cell>
        </row>
        <row r="463">
          <cell r="B463" t="str">
            <v>AC470</v>
          </cell>
          <cell r="C463" t="str">
            <v>TORTIYA</v>
          </cell>
          <cell r="D463" t="str">
            <v>-5.6834408</v>
          </cell>
          <cell r="E463" t="str">
            <v>8.77030841</v>
          </cell>
          <cell r="F463" t="str">
            <v>2G/3G/4G</v>
          </cell>
          <cell r="G463" t="str">
            <v>HUAWEI</v>
          </cell>
          <cell r="H463" t="str">
            <v>MOOV</v>
          </cell>
          <cell r="I463" t="str">
            <v>TORTIYA</v>
          </cell>
          <cell r="J463" t="str">
            <v>TORTIYA</v>
          </cell>
          <cell r="K463" t="str">
            <v>NIAKARAMADOUGOU</v>
          </cell>
          <cell r="L463" t="str">
            <v>HAMBOL</v>
          </cell>
          <cell r="M463" t="str">
            <v>KORHOGO</v>
          </cell>
          <cell r="N463" t="str">
            <v>UPCOUNTRY</v>
          </cell>
        </row>
        <row r="464">
          <cell r="B464" t="str">
            <v>AC471</v>
          </cell>
          <cell r="C464" t="str">
            <v>TOURO</v>
          </cell>
          <cell r="D464" t="str">
            <v>-5.0716618</v>
          </cell>
          <cell r="E464" t="str">
            <v>7.9981613</v>
          </cell>
          <cell r="F464" t="str">
            <v>2G/3G/4G</v>
          </cell>
          <cell r="G464" t="str">
            <v>HUAWEI</v>
          </cell>
          <cell r="H464" t="str">
            <v>CIT</v>
          </cell>
          <cell r="I464" t="str">
            <v>TOUROGARE</v>
          </cell>
          <cell r="J464" t="str">
            <v>KATIOLA</v>
          </cell>
          <cell r="K464" t="str">
            <v>KATIOLA</v>
          </cell>
          <cell r="L464" t="str">
            <v>HAMBOL</v>
          </cell>
          <cell r="M464" t="str">
            <v>BOUAKE</v>
          </cell>
          <cell r="N464" t="str">
            <v>UPCOUNTRY</v>
          </cell>
        </row>
        <row r="465">
          <cell r="B465" t="str">
            <v>AC472</v>
          </cell>
          <cell r="C465" t="str">
            <v>GOUANA</v>
          </cell>
          <cell r="D465" t="str">
            <v>-7.6846</v>
          </cell>
          <cell r="E465" t="str">
            <v>8.0706</v>
          </cell>
          <cell r="F465" t="str">
            <v>2G/3G/4G</v>
          </cell>
          <cell r="G465" t="str">
            <v>HUAWEI</v>
          </cell>
          <cell r="H465" t="str">
            <v>MOOV</v>
          </cell>
          <cell r="I465" t="str">
            <v>GOUANA</v>
          </cell>
          <cell r="J465" t="str">
            <v>FOUNGBESSO</v>
          </cell>
          <cell r="K465" t="str">
            <v>TOUBA</v>
          </cell>
          <cell r="L465" t="str">
            <v>BAFING</v>
          </cell>
          <cell r="M465" t="str">
            <v>MAN</v>
          </cell>
          <cell r="N465" t="str">
            <v>UPCOUNTRY</v>
          </cell>
        </row>
        <row r="466">
          <cell r="B466" t="str">
            <v>AC473</v>
          </cell>
          <cell r="C466" t="str">
            <v>AHEREMOU</v>
          </cell>
          <cell r="D466" t="str">
            <v>-4.92890053</v>
          </cell>
          <cell r="E466" t="str">
            <v>6.25169583</v>
          </cell>
          <cell r="F466" t="str">
            <v>2G/3G/4G</v>
          </cell>
          <cell r="G466" t="str">
            <v>ERICSSON</v>
          </cell>
          <cell r="H466" t="str">
            <v>MOOV</v>
          </cell>
          <cell r="I466" t="str">
            <v>AHEREMOU 2</v>
          </cell>
          <cell r="J466" t="str">
            <v>PACCOBO</v>
          </cell>
          <cell r="K466" t="str">
            <v>TAABO</v>
          </cell>
          <cell r="L466" t="str">
            <v>AGNEBY-TIASSA</v>
          </cell>
          <cell r="M466" t="str">
            <v>YAMOUSSOUKRO</v>
          </cell>
          <cell r="N466" t="str">
            <v>UPCOUNTRY</v>
          </cell>
        </row>
        <row r="467">
          <cell r="B467" t="str">
            <v>AC474</v>
          </cell>
          <cell r="C467" t="str">
            <v>ASSOUNVOUE</v>
          </cell>
          <cell r="D467" t="str">
            <v>-4.9816153</v>
          </cell>
          <cell r="E467" t="str">
            <v>6.48149982</v>
          </cell>
          <cell r="F467" t="str">
            <v>2G/3G/4G</v>
          </cell>
          <cell r="G467" t="str">
            <v>HUAWEI</v>
          </cell>
          <cell r="H467" t="str">
            <v>IHS (CIT)</v>
          </cell>
          <cell r="I467" t="str">
            <v>ASSOUNVOUE</v>
          </cell>
          <cell r="J467" t="str">
            <v>TOUMODI</v>
          </cell>
          <cell r="K467" t="str">
            <v>TOUMODI</v>
          </cell>
          <cell r="L467" t="str">
            <v>BELIER</v>
          </cell>
          <cell r="M467" t="str">
            <v>YAMOUSSOUKRO</v>
          </cell>
          <cell r="N467" t="str">
            <v>UPCOUNTRY</v>
          </cell>
        </row>
        <row r="468">
          <cell r="B468" t="str">
            <v>AC475</v>
          </cell>
          <cell r="C468" t="str">
            <v>NDOUKAHAKRO</v>
          </cell>
          <cell r="D468" t="str">
            <v>-5.1474</v>
          </cell>
          <cell r="E468" t="str">
            <v>6.6864</v>
          </cell>
          <cell r="F468" t="str">
            <v>2G/3G/4G</v>
          </cell>
          <cell r="G468" t="str">
            <v>HUAWEI</v>
          </cell>
          <cell r="H468" t="str">
            <v>MOOV</v>
          </cell>
          <cell r="I468" t="str">
            <v>NDOUKAHAKRO</v>
          </cell>
          <cell r="J468" t="str">
            <v>TOUMODI</v>
          </cell>
          <cell r="K468" t="str">
            <v>TOUMODI</v>
          </cell>
          <cell r="L468" t="str">
            <v>BELIER</v>
          </cell>
          <cell r="M468" t="str">
            <v>YAMOUSSOUKRO</v>
          </cell>
          <cell r="N468" t="str">
            <v>UPCOUNTRY</v>
          </cell>
        </row>
        <row r="469">
          <cell r="B469" t="str">
            <v>AC476</v>
          </cell>
          <cell r="C469" t="str">
            <v>DJEKANOU</v>
          </cell>
          <cell r="D469" t="str">
            <v>-5.1123</v>
          </cell>
          <cell r="E469" t="str">
            <v>6.4723</v>
          </cell>
          <cell r="F469" t="str">
            <v>2G/3G/4G</v>
          </cell>
          <cell r="G469" t="str">
            <v>HUAWEI</v>
          </cell>
          <cell r="H469" t="str">
            <v>MOOV</v>
          </cell>
          <cell r="I469" t="str">
            <v>DJEKANOU</v>
          </cell>
          <cell r="J469" t="str">
            <v>DJEKANOU</v>
          </cell>
          <cell r="K469" t="str">
            <v>DJEKANOU</v>
          </cell>
          <cell r="L469" t="str">
            <v>BELIER</v>
          </cell>
          <cell r="M469" t="str">
            <v>YAMOUSSOUKRO</v>
          </cell>
          <cell r="N469" t="str">
            <v>UPCOUNTRY</v>
          </cell>
        </row>
        <row r="470">
          <cell r="B470" t="str">
            <v>AC477</v>
          </cell>
          <cell r="C470" t="str">
            <v>RAPID_GRAH</v>
          </cell>
          <cell r="D470" t="str">
            <v>-6.6406</v>
          </cell>
          <cell r="E470" t="str">
            <v>5.0966</v>
          </cell>
          <cell r="F470" t="str">
            <v>2G/3G/4G</v>
          </cell>
          <cell r="G470" t="str">
            <v>HUAWEI</v>
          </cell>
          <cell r="H470" t="str">
            <v>MOOV</v>
          </cell>
          <cell r="I470" t="str">
            <v>TORTIYA</v>
          </cell>
          <cell r="J470" t="str">
            <v>DOBA</v>
          </cell>
          <cell r="K470" t="str">
            <v>SAN-PEDRO</v>
          </cell>
          <cell r="L470" t="str">
            <v>SAN-PEDRO</v>
          </cell>
          <cell r="M470" t="str">
            <v>SAN-PEDRO</v>
          </cell>
          <cell r="N470" t="str">
            <v>UPCOUNTRY</v>
          </cell>
        </row>
        <row r="471">
          <cell r="B471" t="str">
            <v>AC478</v>
          </cell>
          <cell r="C471" t="str">
            <v>TOUIH</v>
          </cell>
          <cell r="D471" t="str">
            <v>-6.526978</v>
          </cell>
          <cell r="E471" t="str">
            <v>5.258072</v>
          </cell>
          <cell r="F471" t="str">
            <v>2G/3G/4G</v>
          </cell>
          <cell r="G471" t="str">
            <v>HUAWEI</v>
          </cell>
          <cell r="H471" t="str">
            <v>MOOV</v>
          </cell>
          <cell r="I471" t="str">
            <v>TOUIH</v>
          </cell>
          <cell r="J471" t="str">
            <v>GABIADJI</v>
          </cell>
          <cell r="K471" t="str">
            <v>SAN-PEDRO</v>
          </cell>
          <cell r="L471" t="str">
            <v>SAN-PEDRO</v>
          </cell>
          <cell r="M471" t="str">
            <v>SOUBRE</v>
          </cell>
          <cell r="N471" t="str">
            <v>UPCOUNTRY</v>
          </cell>
        </row>
        <row r="472">
          <cell r="B472" t="str">
            <v>AC479</v>
          </cell>
          <cell r="C472" t="str">
            <v>KOREADJI</v>
          </cell>
          <cell r="D472" t="str">
            <v>-6.591689</v>
          </cell>
          <cell r="E472" t="str">
            <v>5.53872</v>
          </cell>
          <cell r="F472" t="str">
            <v>2G/3G/4G</v>
          </cell>
          <cell r="G472" t="str">
            <v>HUAWEI</v>
          </cell>
          <cell r="H472" t="str">
            <v>MOOV</v>
          </cell>
          <cell r="I472" t="str">
            <v>KOREAGUI 1</v>
          </cell>
          <cell r="J472" t="str">
            <v>OUPOYO</v>
          </cell>
          <cell r="K472" t="str">
            <v>MEAGUI</v>
          </cell>
          <cell r="L472" t="str">
            <v>NAWA</v>
          </cell>
          <cell r="M472" t="str">
            <v>SOUBRE</v>
          </cell>
          <cell r="N472" t="str">
            <v>UPCOUNTRY</v>
          </cell>
        </row>
        <row r="473">
          <cell r="B473" t="str">
            <v>AC480</v>
          </cell>
          <cell r="C473" t="str">
            <v>TAI</v>
          </cell>
          <cell r="D473" t="str">
            <v>-7.468407</v>
          </cell>
          <cell r="E473" t="str">
            <v>5.879985</v>
          </cell>
          <cell r="F473" t="str">
            <v>2G/3G/4G</v>
          </cell>
          <cell r="G473" t="str">
            <v>HUAWEI</v>
          </cell>
          <cell r="H473" t="str">
            <v>IHS (CIT)</v>
          </cell>
          <cell r="I473" t="str">
            <v>TAI</v>
          </cell>
          <cell r="J473" t="str">
            <v>TAI</v>
          </cell>
          <cell r="K473" t="str">
            <v>TAI</v>
          </cell>
          <cell r="L473" t="str">
            <v>CAVALLY</v>
          </cell>
          <cell r="M473" t="str">
            <v>MAN</v>
          </cell>
          <cell r="N473" t="str">
            <v>UPCOUNTRY</v>
          </cell>
        </row>
        <row r="474">
          <cell r="B474" t="str">
            <v>AC481</v>
          </cell>
          <cell r="C474" t="str">
            <v>KOKUMBO</v>
          </cell>
          <cell r="D474" t="str">
            <v>-5.257572</v>
          </cell>
          <cell r="E474" t="str">
            <v>6.545408</v>
          </cell>
          <cell r="F474" t="str">
            <v>2G/3G/4G</v>
          </cell>
          <cell r="G474" t="str">
            <v>HUAWEI</v>
          </cell>
          <cell r="H474" t="str">
            <v>MOOV</v>
          </cell>
          <cell r="I474" t="str">
            <v>KOKUMBO</v>
          </cell>
          <cell r="J474" t="str">
            <v>KOKUMBO</v>
          </cell>
          <cell r="K474" t="str">
            <v>TOUMODI</v>
          </cell>
          <cell r="L474" t="str">
            <v>BELIER</v>
          </cell>
          <cell r="M474" t="str">
            <v>YAMOUSSOUKRO</v>
          </cell>
          <cell r="N474" t="str">
            <v>UPCOUNTRY</v>
          </cell>
        </row>
        <row r="475">
          <cell r="B475" t="str">
            <v>AC482</v>
          </cell>
          <cell r="C475" t="str">
            <v>BOUNAFLA</v>
          </cell>
          <cell r="D475" t="str">
            <v>-5.508383</v>
          </cell>
          <cell r="E475" t="str">
            <v>6.725505</v>
          </cell>
          <cell r="F475" t="str">
            <v>2G/3G/4G</v>
          </cell>
          <cell r="G475" t="str">
            <v>HUAWEI</v>
          </cell>
          <cell r="H475" t="str">
            <v>IHS (OCI)</v>
          </cell>
          <cell r="I475" t="str">
            <v>BOUNAFLA</v>
          </cell>
          <cell r="J475" t="str">
            <v>BAZRE</v>
          </cell>
          <cell r="K475" t="str">
            <v>SINFRA</v>
          </cell>
          <cell r="L475" t="str">
            <v>MARAHOUE</v>
          </cell>
          <cell r="M475" t="str">
            <v>YAMOUSSOUKRO</v>
          </cell>
          <cell r="N475" t="str">
            <v>UPCOUNTRY</v>
          </cell>
        </row>
        <row r="476">
          <cell r="B476" t="str">
            <v>AC483</v>
          </cell>
          <cell r="C476" t="str">
            <v>SAIOUA</v>
          </cell>
          <cell r="D476" t="str">
            <v>-6.271267</v>
          </cell>
          <cell r="E476" t="str">
            <v>6.49161</v>
          </cell>
          <cell r="F476" t="str">
            <v>2G/3G/4G</v>
          </cell>
          <cell r="G476" t="str">
            <v>HUAWEI</v>
          </cell>
          <cell r="H476" t="str">
            <v>MOOV</v>
          </cell>
          <cell r="I476" t="str">
            <v>SAIOUA</v>
          </cell>
          <cell r="J476" t="str">
            <v>SAIOUA</v>
          </cell>
          <cell r="K476" t="str">
            <v>ISSIA</v>
          </cell>
          <cell r="L476" t="str">
            <v>HAUT-SASSANDRA</v>
          </cell>
          <cell r="M476" t="str">
            <v>DALOA</v>
          </cell>
          <cell r="N476" t="str">
            <v>UPCOUNTRY</v>
          </cell>
        </row>
        <row r="477">
          <cell r="B477" t="str">
            <v>AC484</v>
          </cell>
          <cell r="C477" t="str">
            <v>ZATTA</v>
          </cell>
          <cell r="D477" t="str">
            <v>-5.40588</v>
          </cell>
          <cell r="E477" t="str">
            <v>6.884034</v>
          </cell>
          <cell r="F477" t="str">
            <v>2G/3G/4G</v>
          </cell>
          <cell r="G477" t="str">
            <v>HUAWEI</v>
          </cell>
          <cell r="H477" t="str">
            <v>MOOV</v>
          </cell>
          <cell r="I477" t="str">
            <v>ZATTA</v>
          </cell>
          <cell r="J477" t="str">
            <v>YAMOUSSOUKRO</v>
          </cell>
          <cell r="K477" t="str">
            <v>YAMOUSSOUKRO</v>
          </cell>
          <cell r="L477" t="str">
            <v>YAMOUSSOUKRO</v>
          </cell>
          <cell r="M477" t="str">
            <v>YAMOUSSOUKRO</v>
          </cell>
          <cell r="N477" t="str">
            <v>UPCOUNTRY</v>
          </cell>
        </row>
        <row r="478">
          <cell r="B478" t="str">
            <v>AC485</v>
          </cell>
          <cell r="C478" t="str">
            <v>ANANDA</v>
          </cell>
          <cell r="D478" t="str">
            <v>-4.2495</v>
          </cell>
          <cell r="E478" t="str">
            <v>7.2829</v>
          </cell>
          <cell r="F478" t="str">
            <v>2G/3G/4G</v>
          </cell>
          <cell r="G478" t="str">
            <v>HUAWEI</v>
          </cell>
          <cell r="H478" t="str">
            <v>MOOV</v>
          </cell>
          <cell r="I478" t="str">
            <v>ANANDA</v>
          </cell>
          <cell r="J478" t="str">
            <v>ANANDA</v>
          </cell>
          <cell r="K478" t="str">
            <v>DAOUKRO</v>
          </cell>
          <cell r="L478" t="str">
            <v>IFFOU</v>
          </cell>
          <cell r="M478" t="str">
            <v>YAMOUSSOUKRO</v>
          </cell>
          <cell r="N478" t="str">
            <v>UPCOUNTRY</v>
          </cell>
        </row>
        <row r="479">
          <cell r="B479" t="str">
            <v>AC486</v>
          </cell>
          <cell r="C479" t="str">
            <v>BROBO</v>
          </cell>
          <cell r="D479" t="str">
            <v>-4.8315924</v>
          </cell>
          <cell r="E479" t="str">
            <v>7.6343012</v>
          </cell>
          <cell r="F479" t="str">
            <v>2G/3G/4G</v>
          </cell>
          <cell r="G479" t="str">
            <v>HUAWEI</v>
          </cell>
          <cell r="H479" t="str">
            <v>MOOV</v>
          </cell>
          <cell r="I479" t="str">
            <v>BROBO</v>
          </cell>
          <cell r="J479" t="str">
            <v>BROBO</v>
          </cell>
          <cell r="K479" t="str">
            <v>BOUAKE</v>
          </cell>
          <cell r="L479" t="str">
            <v>GBEKE</v>
          </cell>
          <cell r="M479" t="str">
            <v>BOUAKE</v>
          </cell>
          <cell r="N479" t="str">
            <v>UPCOUNTRY</v>
          </cell>
        </row>
        <row r="480">
          <cell r="B480" t="str">
            <v>AC487</v>
          </cell>
          <cell r="C480" t="str">
            <v>DIANRA</v>
          </cell>
          <cell r="D480" t="str">
            <v>-6.256017</v>
          </cell>
          <cell r="E480" t="str">
            <v>8.946736</v>
          </cell>
          <cell r="F480" t="str">
            <v>2G/3G/4G</v>
          </cell>
          <cell r="G480" t="str">
            <v>HUAWEI</v>
          </cell>
          <cell r="H480" t="str">
            <v>MOOV</v>
          </cell>
          <cell r="I480" t="str">
            <v>DIANRA</v>
          </cell>
          <cell r="J480" t="str">
            <v>DIANRA</v>
          </cell>
          <cell r="K480" t="str">
            <v>DIANRA</v>
          </cell>
          <cell r="L480" t="str">
            <v>BERE</v>
          </cell>
          <cell r="M480" t="str">
            <v>KORHOGO</v>
          </cell>
          <cell r="N480" t="str">
            <v>UPCOUNTRY</v>
          </cell>
        </row>
        <row r="481">
          <cell r="B481" t="str">
            <v>AC488</v>
          </cell>
          <cell r="C481" t="str">
            <v>BAYOTA</v>
          </cell>
          <cell r="D481" t="str">
            <v>-5.962014</v>
          </cell>
          <cell r="E481" t="str">
            <v>6.470368</v>
          </cell>
          <cell r="F481" t="str">
            <v>2G/3G/4G</v>
          </cell>
          <cell r="G481" t="str">
            <v>HUAWEI</v>
          </cell>
          <cell r="H481" t="str">
            <v>MOOV</v>
          </cell>
          <cell r="I481" t="str">
            <v>BAYOTA</v>
          </cell>
          <cell r="J481" t="str">
            <v>BAYOTA</v>
          </cell>
          <cell r="K481" t="str">
            <v>GAGNOA</v>
          </cell>
          <cell r="L481" t="str">
            <v>GOH</v>
          </cell>
          <cell r="M481" t="str">
            <v>GAGNOA</v>
          </cell>
          <cell r="N481" t="str">
            <v>UPCOUNTRY</v>
          </cell>
        </row>
        <row r="482">
          <cell r="B482" t="str">
            <v>AC489</v>
          </cell>
          <cell r="C482" t="str">
            <v>TIEME</v>
          </cell>
          <cell r="D482" t="str">
            <v>-7.2866</v>
          </cell>
          <cell r="E482" t="str">
            <v>9.5486</v>
          </cell>
          <cell r="F482" t="str">
            <v>2G/3G/4G</v>
          </cell>
          <cell r="G482" t="str">
            <v>HUAWEI</v>
          </cell>
          <cell r="H482" t="str">
            <v>IDT</v>
          </cell>
          <cell r="I482" t="str">
            <v>TIEME</v>
          </cell>
          <cell r="J482" t="str">
            <v>TIEME</v>
          </cell>
          <cell r="K482" t="str">
            <v>ODIENNE</v>
          </cell>
          <cell r="L482" t="str">
            <v>KABADOUGOU</v>
          </cell>
          <cell r="M482" t="str">
            <v>MAN</v>
          </cell>
          <cell r="N482" t="str">
            <v>UPCOUNTRY</v>
          </cell>
        </row>
        <row r="483">
          <cell r="B483" t="str">
            <v>AC490</v>
          </cell>
          <cell r="C483" t="str">
            <v>GONATE</v>
          </cell>
          <cell r="D483" t="str">
            <v>-6.25366</v>
          </cell>
          <cell r="E483" t="str">
            <v>6.906438</v>
          </cell>
          <cell r="F483" t="str">
            <v>2G/3G/4G</v>
          </cell>
          <cell r="G483" t="str">
            <v>HUAWEI</v>
          </cell>
          <cell r="H483" t="str">
            <v>MOOV</v>
          </cell>
          <cell r="I483" t="str">
            <v>GONATE</v>
          </cell>
          <cell r="J483" t="str">
            <v>GONATE</v>
          </cell>
          <cell r="K483" t="str">
            <v>DALOA</v>
          </cell>
          <cell r="L483" t="str">
            <v>HAUT-SASSANDRA</v>
          </cell>
          <cell r="M483" t="str">
            <v>DALOA</v>
          </cell>
          <cell r="N483" t="str">
            <v>UPCOUNTRY</v>
          </cell>
        </row>
        <row r="484">
          <cell r="B484" t="str">
            <v>AC491</v>
          </cell>
          <cell r="C484" t="str">
            <v>BODOKRO</v>
          </cell>
          <cell r="D484" t="str">
            <v>-5.4772135</v>
          </cell>
          <cell r="E484" t="str">
            <v>7.867765</v>
          </cell>
          <cell r="F484" t="str">
            <v>2G/3G/4G</v>
          </cell>
          <cell r="G484" t="str">
            <v>HUAWEI</v>
          </cell>
          <cell r="H484" t="str">
            <v>MOOV</v>
          </cell>
          <cell r="I484" t="str">
            <v>BODOKRO</v>
          </cell>
          <cell r="J484" t="str">
            <v>BODOKRO</v>
          </cell>
          <cell r="K484" t="str">
            <v>BEOUMI</v>
          </cell>
          <cell r="L484" t="str">
            <v>GBEKE</v>
          </cell>
          <cell r="M484" t="str">
            <v>BOUAKE</v>
          </cell>
          <cell r="N484" t="str">
            <v>UPCOUNTRY</v>
          </cell>
        </row>
        <row r="485">
          <cell r="B485" t="str">
            <v>AC492</v>
          </cell>
          <cell r="C485" t="str">
            <v>ZAMBAKRO</v>
          </cell>
          <cell r="D485" t="str">
            <v>-5.40987</v>
          </cell>
          <cell r="E485" t="str">
            <v>6.73427</v>
          </cell>
          <cell r="F485" t="str">
            <v>2G/3G/4G</v>
          </cell>
          <cell r="G485" t="str">
            <v>HUAWEI</v>
          </cell>
          <cell r="H485" t="str">
            <v>MOOV</v>
          </cell>
          <cell r="I485" t="str">
            <v>ZAMBAKRO</v>
          </cell>
          <cell r="J485" t="str">
            <v>YAMOUSSOUKRO</v>
          </cell>
          <cell r="K485" t="str">
            <v>YAMOUSSOUKRO</v>
          </cell>
          <cell r="L485" t="str">
            <v>YAMOUSSOUKRO</v>
          </cell>
          <cell r="M485" t="str">
            <v>YAMOUSSOUKRO</v>
          </cell>
          <cell r="N485" t="str">
            <v>UPCOUNTRY</v>
          </cell>
        </row>
        <row r="486">
          <cell r="B486" t="str">
            <v>AC493</v>
          </cell>
          <cell r="C486" t="str">
            <v>DIDIEVI</v>
          </cell>
          <cell r="D486" t="str">
            <v>-4.9061</v>
          </cell>
          <cell r="E486" t="str">
            <v>7.1335</v>
          </cell>
          <cell r="F486" t="str">
            <v>2G/3G/4G</v>
          </cell>
          <cell r="G486" t="str">
            <v>HUAWEI</v>
          </cell>
          <cell r="H486" t="str">
            <v>IHS (CIT)</v>
          </cell>
          <cell r="I486" t="str">
            <v>DIDIEVI</v>
          </cell>
          <cell r="J486" t="str">
            <v>DIDIEVI</v>
          </cell>
          <cell r="K486" t="str">
            <v>DIDIEVI</v>
          </cell>
          <cell r="L486" t="str">
            <v>BELIER</v>
          </cell>
          <cell r="M486" t="str">
            <v>YAMOUSSOUKRO</v>
          </cell>
          <cell r="N486" t="str">
            <v>UPCOUNTRY</v>
          </cell>
        </row>
        <row r="487">
          <cell r="B487" t="str">
            <v>AC494</v>
          </cell>
          <cell r="C487" t="str">
            <v>KASSERE</v>
          </cell>
          <cell r="D487" t="str">
            <v>-6.227556</v>
          </cell>
          <cell r="E487" t="str">
            <v>9.835111</v>
          </cell>
          <cell r="F487" t="str">
            <v>2G/3G/4G</v>
          </cell>
          <cell r="G487" t="str">
            <v>HUAWEI</v>
          </cell>
          <cell r="H487" t="str">
            <v>MOOV</v>
          </cell>
          <cell r="I487" t="str">
            <v>KASSERE</v>
          </cell>
          <cell r="J487" t="str">
            <v>KASSERE</v>
          </cell>
          <cell r="K487" t="str">
            <v>BOUNDIALI</v>
          </cell>
          <cell r="L487" t="str">
            <v>BAGOUE</v>
          </cell>
          <cell r="M487" t="str">
            <v>KORHOGO</v>
          </cell>
          <cell r="N487" t="str">
            <v>UPCOUNTRY</v>
          </cell>
        </row>
        <row r="488">
          <cell r="B488" t="str">
            <v>AC495</v>
          </cell>
          <cell r="C488" t="str">
            <v>OKROUYO</v>
          </cell>
          <cell r="D488" t="str">
            <v>-6.409474</v>
          </cell>
          <cell r="E488" t="str">
            <v>5.759624</v>
          </cell>
          <cell r="F488" t="str">
            <v>2G/3G/4G</v>
          </cell>
          <cell r="G488" t="str">
            <v>HUAWEI</v>
          </cell>
          <cell r="H488" t="str">
            <v>MOOV</v>
          </cell>
          <cell r="I488" t="str">
            <v>OKROUYO</v>
          </cell>
          <cell r="J488" t="str">
            <v>OKROUYO</v>
          </cell>
          <cell r="K488" t="str">
            <v>SOUBRE</v>
          </cell>
          <cell r="L488" t="str">
            <v>NAWA</v>
          </cell>
          <cell r="M488" t="str">
            <v>SOUBRE</v>
          </cell>
          <cell r="N488" t="str">
            <v>UPCOUNTRY</v>
          </cell>
        </row>
        <row r="489">
          <cell r="B489" t="str">
            <v>AC496</v>
          </cell>
          <cell r="C489" t="str">
            <v>GOUABO</v>
          </cell>
          <cell r="D489" t="str">
            <v>-3.9887</v>
          </cell>
          <cell r="E489" t="str">
            <v>6.9851</v>
          </cell>
          <cell r="F489" t="str">
            <v>2G/3G/4G</v>
          </cell>
          <cell r="G489" t="str">
            <v>HUAWEI</v>
          </cell>
          <cell r="H489" t="str">
            <v>MOOV</v>
          </cell>
          <cell r="I489" t="str">
            <v>GOUABO</v>
          </cell>
          <cell r="J489" t="str">
            <v>KREGBE</v>
          </cell>
          <cell r="K489" t="str">
            <v>ARRAH</v>
          </cell>
          <cell r="L489" t="str">
            <v>MORONOU</v>
          </cell>
          <cell r="M489" t="str">
            <v>ABENGOUROU</v>
          </cell>
          <cell r="N489" t="str">
            <v>UPCOUNTRY</v>
          </cell>
        </row>
        <row r="490">
          <cell r="B490" t="str">
            <v>AC497</v>
          </cell>
          <cell r="C490" t="str">
            <v>BROU_AKPAOUSSOU</v>
          </cell>
          <cell r="D490" t="str">
            <v>-4.055475</v>
          </cell>
          <cell r="E490" t="str">
            <v>6.914942</v>
          </cell>
          <cell r="F490" t="str">
            <v>2G/3G/4G</v>
          </cell>
          <cell r="G490" t="str">
            <v>HUAWEI</v>
          </cell>
          <cell r="H490" t="str">
            <v>PRESIDENCE</v>
          </cell>
          <cell r="I490" t="str">
            <v>BROU-AKPAOUSSOU</v>
          </cell>
          <cell r="J490" t="str">
            <v>ANDE</v>
          </cell>
          <cell r="K490" t="str">
            <v>BONGOUANOU</v>
          </cell>
          <cell r="L490" t="str">
            <v>MORONOU</v>
          </cell>
          <cell r="M490" t="str">
            <v>ABENGOUROU</v>
          </cell>
          <cell r="N490" t="str">
            <v>UPCOUNTRY</v>
          </cell>
        </row>
        <row r="491">
          <cell r="B491" t="str">
            <v>AC498</v>
          </cell>
          <cell r="C491" t="str">
            <v>ZEBRA</v>
          </cell>
          <cell r="D491" t="str">
            <v>-6.5274</v>
          </cell>
          <cell r="E491" t="str">
            <v>6.9209</v>
          </cell>
          <cell r="F491" t="str">
            <v>2G/3G/4G</v>
          </cell>
          <cell r="G491" t="str">
            <v>HUAWEI</v>
          </cell>
          <cell r="H491" t="str">
            <v>MOOV</v>
          </cell>
          <cell r="I491" t="str">
            <v>ZEBRA</v>
          </cell>
          <cell r="J491" t="str">
            <v>GBOGUHE</v>
          </cell>
          <cell r="K491" t="str">
            <v>DALOA</v>
          </cell>
          <cell r="L491" t="str">
            <v>HAUT-SASSANDRA</v>
          </cell>
          <cell r="M491" t="str">
            <v>DALOA</v>
          </cell>
          <cell r="N491" t="str">
            <v>UPCOUNTRY</v>
          </cell>
        </row>
        <row r="492">
          <cell r="B492" t="str">
            <v>AC499</v>
          </cell>
          <cell r="C492" t="str">
            <v>YACOLI</v>
          </cell>
          <cell r="D492" t="str">
            <v>-6.511311</v>
          </cell>
          <cell r="E492" t="str">
            <v>5.964714</v>
          </cell>
          <cell r="F492" t="str">
            <v>2G/3G/4G</v>
          </cell>
          <cell r="G492" t="str">
            <v>HUAWEI</v>
          </cell>
          <cell r="H492" t="str">
            <v>MOOV</v>
          </cell>
          <cell r="I492" t="str">
            <v>YACOLIDABOUO</v>
          </cell>
          <cell r="J492" t="str">
            <v>LILIYO</v>
          </cell>
          <cell r="K492" t="str">
            <v>SOUBRE</v>
          </cell>
          <cell r="L492" t="str">
            <v>NAWA</v>
          </cell>
          <cell r="M492" t="str">
            <v>SOUBRE</v>
          </cell>
          <cell r="N492" t="str">
            <v>UPCOUNTRY</v>
          </cell>
        </row>
        <row r="493">
          <cell r="B493" t="str">
            <v>AC500</v>
          </cell>
          <cell r="C493" t="str">
            <v>MADINANI</v>
          </cell>
          <cell r="D493" t="str">
            <v>-6.9416</v>
          </cell>
          <cell r="E493" t="str">
            <v>9.6203</v>
          </cell>
          <cell r="F493" t="str">
            <v>2G/3G/4G</v>
          </cell>
          <cell r="G493" t="str">
            <v>HUAWEI</v>
          </cell>
          <cell r="H493" t="str">
            <v>IHS (CIT)</v>
          </cell>
          <cell r="I493" t="str">
            <v>MADINANI</v>
          </cell>
          <cell r="J493" t="str">
            <v>MADINANI</v>
          </cell>
          <cell r="K493" t="str">
            <v>MADINANI</v>
          </cell>
          <cell r="L493" t="str">
            <v>KABADOUGOU</v>
          </cell>
          <cell r="M493" t="str">
            <v>MAN</v>
          </cell>
          <cell r="N493" t="str">
            <v>UPCOUNTRY</v>
          </cell>
        </row>
        <row r="494">
          <cell r="B494" t="str">
            <v>AC501</v>
          </cell>
          <cell r="C494" t="str">
            <v>BEDIALA</v>
          </cell>
          <cell r="D494" t="str">
            <v>-6.3062</v>
          </cell>
          <cell r="E494" t="str">
            <v>7.1582</v>
          </cell>
          <cell r="F494" t="str">
            <v>2G/3G/4G</v>
          </cell>
          <cell r="G494" t="str">
            <v>HUAWEI</v>
          </cell>
          <cell r="H494" t="str">
            <v>IHS (CIT)</v>
          </cell>
          <cell r="I494" t="str">
            <v>BEDIALA</v>
          </cell>
          <cell r="J494" t="str">
            <v>BEDIALA</v>
          </cell>
          <cell r="K494" t="str">
            <v>DALOA</v>
          </cell>
          <cell r="L494" t="str">
            <v>HAUT-SASSANDRA</v>
          </cell>
          <cell r="M494" t="str">
            <v>DALOA</v>
          </cell>
          <cell r="N494" t="str">
            <v>UPCOUNTRY</v>
          </cell>
        </row>
        <row r="495">
          <cell r="B495" t="str">
            <v>AC502</v>
          </cell>
          <cell r="C495" t="str">
            <v>KONG</v>
          </cell>
          <cell r="D495" t="str">
            <v>-4.617931</v>
          </cell>
          <cell r="E495" t="str">
            <v>9.152682</v>
          </cell>
          <cell r="F495" t="str">
            <v>2G/3G/4G</v>
          </cell>
          <cell r="G495" t="str">
            <v>HUAWEI</v>
          </cell>
          <cell r="H495" t="str">
            <v>IHS (CIT)</v>
          </cell>
          <cell r="I495" t="str">
            <v>KONG</v>
          </cell>
          <cell r="J495" t="str">
            <v>KONG</v>
          </cell>
          <cell r="K495" t="str">
            <v>KONG</v>
          </cell>
          <cell r="L495" t="str">
            <v>TCHOLOGO</v>
          </cell>
          <cell r="M495" t="str">
            <v>KORHOGO</v>
          </cell>
          <cell r="N495" t="str">
            <v>UPCOUNTRY</v>
          </cell>
        </row>
        <row r="496">
          <cell r="B496" t="str">
            <v>AC503</v>
          </cell>
          <cell r="C496" t="str">
            <v>MINIGNAN</v>
          </cell>
          <cell r="D496" t="str">
            <v>-7.8415</v>
          </cell>
          <cell r="E496" t="str">
            <v>9.9915</v>
          </cell>
          <cell r="F496" t="str">
            <v>2G/3G</v>
          </cell>
          <cell r="G496" t="str">
            <v>HUAWEI</v>
          </cell>
          <cell r="H496" t="str">
            <v>IHS</v>
          </cell>
          <cell r="I496" t="str">
            <v>MINIGNAN</v>
          </cell>
          <cell r="J496" t="str">
            <v>MINIGNAN</v>
          </cell>
          <cell r="K496" t="str">
            <v>MINIGNAN</v>
          </cell>
          <cell r="L496" t="str">
            <v>FOLON</v>
          </cell>
          <cell r="M496" t="str">
            <v>MAN</v>
          </cell>
          <cell r="N496" t="str">
            <v>UPCOUNTRY</v>
          </cell>
        </row>
        <row r="497">
          <cell r="B497" t="str">
            <v>AC504</v>
          </cell>
          <cell r="C497" t="str">
            <v>NIELLE</v>
          </cell>
          <cell r="D497" t="str">
            <v>-5.6296</v>
          </cell>
          <cell r="E497" t="str">
            <v>10.1937</v>
          </cell>
          <cell r="F497" t="str">
            <v>2G/3G/4G</v>
          </cell>
          <cell r="G497" t="str">
            <v>HUAWEI</v>
          </cell>
          <cell r="H497" t="str">
            <v>IHS (CIT)</v>
          </cell>
          <cell r="I497" t="str">
            <v>NIELLE</v>
          </cell>
          <cell r="J497" t="str">
            <v>NIELLE</v>
          </cell>
          <cell r="K497" t="str">
            <v>OUANGOLODOUGOU</v>
          </cell>
          <cell r="L497" t="str">
            <v>TCHOLOGO</v>
          </cell>
          <cell r="M497" t="str">
            <v>KORHOGO</v>
          </cell>
          <cell r="N497" t="str">
            <v>UPCOUNTRY</v>
          </cell>
        </row>
        <row r="498">
          <cell r="B498" t="str">
            <v>AC505</v>
          </cell>
          <cell r="C498" t="str">
            <v>MONT_ZAALA</v>
          </cell>
          <cell r="D498" t="str">
            <v>-7.6159</v>
          </cell>
          <cell r="E498" t="str">
            <v>8.2244</v>
          </cell>
          <cell r="F498" t="str">
            <v>2G/3G/4G</v>
          </cell>
          <cell r="G498" t="str">
            <v>HUAWEI</v>
          </cell>
          <cell r="H498" t="str">
            <v>IDT</v>
          </cell>
          <cell r="I498" t="str">
            <v>ZAALA</v>
          </cell>
          <cell r="J498" t="str">
            <v>TOUBA</v>
          </cell>
          <cell r="K498" t="str">
            <v>TOUBA</v>
          </cell>
          <cell r="L498" t="str">
            <v>BAFING</v>
          </cell>
          <cell r="M498" t="str">
            <v>MAN</v>
          </cell>
          <cell r="N498" t="str">
            <v>UPCOUNTRY</v>
          </cell>
        </row>
        <row r="499">
          <cell r="B499" t="str">
            <v>AC506</v>
          </cell>
          <cell r="C499" t="str">
            <v>KANI</v>
          </cell>
          <cell r="D499" t="str">
            <v>-6.604302</v>
          </cell>
          <cell r="E499" t="str">
            <v>8.469552</v>
          </cell>
          <cell r="F499" t="str">
            <v>2G/3G/4G</v>
          </cell>
          <cell r="G499" t="str">
            <v>HUAWEI</v>
          </cell>
          <cell r="H499" t="str">
            <v>IHS (CIT)</v>
          </cell>
          <cell r="I499" t="str">
            <v>KANI</v>
          </cell>
          <cell r="J499" t="str">
            <v>KANI</v>
          </cell>
          <cell r="K499" t="str">
            <v>KANI</v>
          </cell>
          <cell r="L499" t="str">
            <v>WORODOUGOU</v>
          </cell>
          <cell r="M499" t="str">
            <v>DALOA</v>
          </cell>
          <cell r="N499" t="str">
            <v>UPCOUNTRY</v>
          </cell>
        </row>
        <row r="500">
          <cell r="B500" t="str">
            <v>AC507</v>
          </cell>
          <cell r="C500" t="str">
            <v>MBENGUEDOUGOU</v>
          </cell>
          <cell r="D500" t="str">
            <v>-5.817793</v>
          </cell>
          <cell r="E500" t="str">
            <v>9.521465</v>
          </cell>
          <cell r="F500" t="str">
            <v>2G/3G/4G</v>
          </cell>
          <cell r="G500" t="str">
            <v>HUAWEI</v>
          </cell>
          <cell r="H500" t="str">
            <v>MOOV</v>
          </cell>
          <cell r="I500" t="str">
            <v>MBENGUEDOUGOU</v>
          </cell>
          <cell r="J500" t="str">
            <v>KORHOGO</v>
          </cell>
          <cell r="K500" t="str">
            <v>KORHOGO</v>
          </cell>
          <cell r="L500" t="str">
            <v>PORO</v>
          </cell>
          <cell r="M500" t="str">
            <v>KORHOGO</v>
          </cell>
          <cell r="N500" t="str">
            <v>UPCOUNTRY</v>
          </cell>
        </row>
        <row r="501">
          <cell r="B501" t="str">
            <v>AC508</v>
          </cell>
          <cell r="C501" t="str">
            <v>GUIEMBE</v>
          </cell>
          <cell r="D501" t="str">
            <v>-5.713156</v>
          </cell>
          <cell r="E501" t="str">
            <v>9.234194</v>
          </cell>
          <cell r="F501" t="str">
            <v>2G/3G/4G</v>
          </cell>
          <cell r="G501" t="str">
            <v>HUAWEI</v>
          </cell>
          <cell r="H501" t="str">
            <v>MOOV</v>
          </cell>
          <cell r="I501" t="str">
            <v>GUIEMBE</v>
          </cell>
          <cell r="J501" t="str">
            <v>GUIEMBE</v>
          </cell>
          <cell r="K501" t="str">
            <v>DIKODOUGOU</v>
          </cell>
          <cell r="L501" t="str">
            <v>PORO</v>
          </cell>
          <cell r="M501" t="str">
            <v>KORHOGO</v>
          </cell>
          <cell r="N501" t="str">
            <v>UPCOUNTRY</v>
          </cell>
        </row>
        <row r="502">
          <cell r="B502" t="str">
            <v>AC509</v>
          </cell>
          <cell r="C502" t="str">
            <v>SOKORODOUGOU</v>
          </cell>
          <cell r="D502" t="str">
            <v>-7.5533</v>
          </cell>
          <cell r="E502" t="str">
            <v>9.0319</v>
          </cell>
          <cell r="F502" t="str">
            <v>2G/3G/4G</v>
          </cell>
          <cell r="G502" t="str">
            <v>HUAWEI</v>
          </cell>
          <cell r="H502" t="str">
            <v>IDT</v>
          </cell>
          <cell r="I502" t="str">
            <v>SOKORODOUGOU</v>
          </cell>
          <cell r="J502" t="str">
            <v>BAKO</v>
          </cell>
          <cell r="K502" t="str">
            <v>ODIENNE</v>
          </cell>
          <cell r="L502" t="str">
            <v>KABADOUGOU</v>
          </cell>
          <cell r="M502" t="str">
            <v>MAN</v>
          </cell>
          <cell r="N502" t="str">
            <v>UPCOUNTRY</v>
          </cell>
        </row>
        <row r="503">
          <cell r="B503" t="str">
            <v>AC510</v>
          </cell>
          <cell r="C503" t="str">
            <v>LALERABA</v>
          </cell>
          <cell r="D503" t="str">
            <v>-5.0868</v>
          </cell>
          <cell r="E503" t="str">
            <v>10.1323</v>
          </cell>
          <cell r="F503" t="str">
            <v>2G/3G/4G</v>
          </cell>
          <cell r="G503" t="str">
            <v>HUAWEI</v>
          </cell>
          <cell r="H503" t="str">
            <v>CIT</v>
          </cell>
          <cell r="I503" t="str">
            <v>LALERABA</v>
          </cell>
          <cell r="J503" t="str">
            <v>KAOUARA</v>
          </cell>
          <cell r="K503" t="str">
            <v>OUANGOLODOUGOU</v>
          </cell>
          <cell r="L503" t="str">
            <v>TCHOLOGO</v>
          </cell>
          <cell r="M503" t="str">
            <v>KORHOGO</v>
          </cell>
          <cell r="N503" t="str">
            <v>UPCOUNTRY</v>
          </cell>
        </row>
        <row r="504">
          <cell r="B504" t="str">
            <v>AC511</v>
          </cell>
          <cell r="C504" t="str">
            <v>NZISSIESSOU</v>
          </cell>
          <cell r="D504" t="str">
            <v>-5.0745277</v>
          </cell>
          <cell r="E504" t="str">
            <v>7.10052777</v>
          </cell>
          <cell r="F504" t="str">
            <v>2G/3G/4G</v>
          </cell>
          <cell r="G504" t="str">
            <v>HUAWEI</v>
          </cell>
          <cell r="H504" t="str">
            <v>MOOV</v>
          </cell>
          <cell r="I504" t="str">
            <v>NZISSIESSOU</v>
          </cell>
          <cell r="J504" t="str">
            <v>LOMOKANKRO</v>
          </cell>
          <cell r="K504" t="str">
            <v>TIEBISSOU</v>
          </cell>
          <cell r="L504" t="str">
            <v>BELIER</v>
          </cell>
          <cell r="M504" t="str">
            <v>YAMOUSSOUKRO</v>
          </cell>
          <cell r="N504" t="str">
            <v>UPCOUNTRY</v>
          </cell>
        </row>
        <row r="505">
          <cell r="B505" t="str">
            <v>AC512</v>
          </cell>
          <cell r="C505" t="str">
            <v>KOUASSI_KOUASSIKRO</v>
          </cell>
          <cell r="D505" t="str">
            <v>-4.6784</v>
          </cell>
          <cell r="E505" t="str">
            <v>7.3422</v>
          </cell>
          <cell r="F505" t="str">
            <v>2G/3G/4G</v>
          </cell>
          <cell r="G505" t="str">
            <v>HUAWEI</v>
          </cell>
          <cell r="H505" t="str">
            <v>MOOV</v>
          </cell>
          <cell r="I505" t="str">
            <v>KOUASSI-KOUASSIKRO</v>
          </cell>
          <cell r="J505" t="str">
            <v>KOUASSI-KOUASSIKRO</v>
          </cell>
          <cell r="K505" t="str">
            <v>KOUASSI-KOUASSIKRO</v>
          </cell>
          <cell r="L505" t="str">
            <v>N'ZI</v>
          </cell>
          <cell r="M505" t="str">
            <v>YAMOUSSOUKRO</v>
          </cell>
          <cell r="N505" t="str">
            <v>UPCOUNTRY</v>
          </cell>
        </row>
        <row r="506">
          <cell r="B506" t="str">
            <v>AC513</v>
          </cell>
          <cell r="C506" t="str">
            <v>DIAMARAKRO</v>
          </cell>
          <cell r="D506" t="str">
            <v>-3.31633001</v>
          </cell>
          <cell r="E506" t="str">
            <v>6.23429818</v>
          </cell>
          <cell r="F506" t="str">
            <v>2G/3G/4G</v>
          </cell>
          <cell r="G506" t="str">
            <v>ERICSSON</v>
          </cell>
          <cell r="H506" t="str">
            <v>MOOV</v>
          </cell>
          <cell r="I506" t="str">
            <v>DIAMARAKRO</v>
          </cell>
          <cell r="J506" t="str">
            <v>DIAMARAKRO</v>
          </cell>
          <cell r="K506" t="str">
            <v>BETTIE</v>
          </cell>
          <cell r="L506" t="str">
            <v>INDENIE-DJUABLIN</v>
          </cell>
          <cell r="M506" t="str">
            <v>ABENGOUROU</v>
          </cell>
          <cell r="N506" t="str">
            <v>UPCOUNTRY</v>
          </cell>
        </row>
        <row r="507">
          <cell r="B507" t="str">
            <v>AC514</v>
          </cell>
          <cell r="C507" t="str">
            <v>APOISSO</v>
          </cell>
          <cell r="D507" t="str">
            <v>-3.42444199</v>
          </cell>
          <cell r="E507" t="str">
            <v>6.54944624</v>
          </cell>
          <cell r="F507" t="str">
            <v>2G/3G/4G</v>
          </cell>
          <cell r="G507" t="str">
            <v>ERICSSON</v>
          </cell>
          <cell r="H507" t="str">
            <v>IHS (CIT)</v>
          </cell>
          <cell r="I507" t="str">
            <v>APOISSO</v>
          </cell>
          <cell r="J507" t="str">
            <v>ABENGOUROU</v>
          </cell>
          <cell r="K507" t="str">
            <v>ABENGOUROU</v>
          </cell>
          <cell r="L507" t="str">
            <v>INDENIE-DJUABLIN</v>
          </cell>
          <cell r="M507" t="str">
            <v>ABENGOUROU</v>
          </cell>
          <cell r="N507" t="str">
            <v>UPCOUNTRY</v>
          </cell>
        </row>
        <row r="508">
          <cell r="B508" t="str">
            <v>AC515</v>
          </cell>
          <cell r="C508" t="str">
            <v>KANGUELE</v>
          </cell>
          <cell r="D508" t="str">
            <v>-2.71499914</v>
          </cell>
          <cell r="E508" t="str">
            <v>8.11659798</v>
          </cell>
          <cell r="F508" t="str">
            <v>2G/3G/4G</v>
          </cell>
          <cell r="G508" t="str">
            <v>ERICSSON</v>
          </cell>
          <cell r="H508" t="str">
            <v>CIT</v>
          </cell>
          <cell r="I508" t="str">
            <v>KANGUELE</v>
          </cell>
          <cell r="J508" t="str">
            <v>SOROBANGO</v>
          </cell>
          <cell r="K508" t="str">
            <v>BONDOUKOU</v>
          </cell>
          <cell r="L508" t="str">
            <v>GONTOUGO</v>
          </cell>
          <cell r="M508" t="str">
            <v>ABENGOUROU</v>
          </cell>
          <cell r="N508" t="str">
            <v>UPCOUNTRY</v>
          </cell>
        </row>
        <row r="509">
          <cell r="B509" t="str">
            <v>AC516</v>
          </cell>
          <cell r="C509" t="str">
            <v>BETTIE</v>
          </cell>
          <cell r="D509" t="str">
            <v>-3.39829881</v>
          </cell>
          <cell r="E509" t="str">
            <v>6.07243585</v>
          </cell>
          <cell r="F509" t="str">
            <v>2G/3G/4G</v>
          </cell>
          <cell r="G509" t="str">
            <v>ERICSSON</v>
          </cell>
          <cell r="H509" t="str">
            <v>MOOV</v>
          </cell>
          <cell r="I509" t="str">
            <v>BETTIE</v>
          </cell>
          <cell r="J509" t="str">
            <v>BETTIE</v>
          </cell>
          <cell r="K509" t="str">
            <v>BETTIE</v>
          </cell>
          <cell r="L509" t="str">
            <v>INDENIE-DJUABLIN</v>
          </cell>
          <cell r="M509" t="str">
            <v>ABENGOUROU</v>
          </cell>
          <cell r="N509" t="str">
            <v>UPCOUNTRY</v>
          </cell>
        </row>
        <row r="510">
          <cell r="B510" t="str">
            <v>AC517</v>
          </cell>
          <cell r="C510" t="str">
            <v>BIANOUAN</v>
          </cell>
          <cell r="D510" t="str">
            <v>-3.18310889</v>
          </cell>
          <cell r="E510" t="str">
            <v>6.01600329</v>
          </cell>
          <cell r="F510" t="str">
            <v>2G/3G/4G</v>
          </cell>
          <cell r="G510" t="str">
            <v>ERICSSON</v>
          </cell>
          <cell r="H510" t="str">
            <v>MOOV</v>
          </cell>
          <cell r="I510" t="str">
            <v>BIANOUAN</v>
          </cell>
          <cell r="J510" t="str">
            <v>BIANOUAN</v>
          </cell>
          <cell r="K510" t="str">
            <v>ABOISSO</v>
          </cell>
          <cell r="L510" t="str">
            <v>SUD-COMOE</v>
          </cell>
          <cell r="M510" t="str">
            <v>MARCORY</v>
          </cell>
          <cell r="N510" t="str">
            <v>UPCOUNTRY</v>
          </cell>
        </row>
        <row r="511">
          <cell r="B511" t="str">
            <v>AC518</v>
          </cell>
          <cell r="C511" t="str">
            <v>DAOUKRO_PAIX</v>
          </cell>
          <cell r="D511" t="str">
            <v>-3.9824</v>
          </cell>
          <cell r="E511" t="str">
            <v>7.0632</v>
          </cell>
          <cell r="F511" t="str">
            <v>2G/3G/4G</v>
          </cell>
          <cell r="G511" t="str">
            <v>HUAWEI</v>
          </cell>
          <cell r="H511" t="str">
            <v>MOOV</v>
          </cell>
          <cell r="I511" t="str">
            <v>DAOUKRO</v>
          </cell>
          <cell r="J511" t="str">
            <v>DAOUKRO</v>
          </cell>
          <cell r="K511" t="str">
            <v>DAOUKRO</v>
          </cell>
          <cell r="L511" t="str">
            <v>IFFOU</v>
          </cell>
          <cell r="M511" t="str">
            <v>ABENGOUROU</v>
          </cell>
          <cell r="N511" t="str">
            <v>UPCOUNTRY</v>
          </cell>
        </row>
        <row r="512">
          <cell r="B512" t="str">
            <v>AC519</v>
          </cell>
          <cell r="C512" t="str">
            <v>ALLOCOKRO</v>
          </cell>
          <cell r="D512" t="str">
            <v>-4.0671</v>
          </cell>
          <cell r="E512" t="str">
            <v>7.1166</v>
          </cell>
          <cell r="F512" t="str">
            <v>2G/3G/4G</v>
          </cell>
          <cell r="G512" t="str">
            <v>HUAWEI</v>
          </cell>
          <cell r="H512" t="str">
            <v>IHS (CIT)</v>
          </cell>
          <cell r="I512" t="str">
            <v>AGNIASSIKASSO</v>
          </cell>
          <cell r="J512" t="str">
            <v>DAOUKRO</v>
          </cell>
          <cell r="K512" t="str">
            <v>DAOUKRO</v>
          </cell>
          <cell r="L512" t="str">
            <v>IFFOU</v>
          </cell>
          <cell r="M512" t="str">
            <v>ABENGOUROU</v>
          </cell>
          <cell r="N512" t="str">
            <v>UPCOUNTRY</v>
          </cell>
        </row>
        <row r="513">
          <cell r="B513" t="str">
            <v>AC520</v>
          </cell>
          <cell r="C513" t="str">
            <v>EBILASSOKRO</v>
          </cell>
          <cell r="D513" t="str">
            <v>-3.35290284</v>
          </cell>
          <cell r="E513" t="str">
            <v>6.37870419</v>
          </cell>
          <cell r="F513" t="str">
            <v>2G/3G/4G</v>
          </cell>
          <cell r="G513" t="str">
            <v>ERICSSON</v>
          </cell>
          <cell r="H513" t="str">
            <v>IHS (CIT)</v>
          </cell>
          <cell r="I513" t="str">
            <v>EBILASSOKRO</v>
          </cell>
          <cell r="J513" t="str">
            <v>EBILASSOKRO</v>
          </cell>
          <cell r="K513" t="str">
            <v>ABENGOUROU</v>
          </cell>
          <cell r="L513" t="str">
            <v>INDENIE-DJUABLIN</v>
          </cell>
          <cell r="M513" t="str">
            <v>ABENGOUROU</v>
          </cell>
          <cell r="N513" t="str">
            <v>UPCOUNTRY</v>
          </cell>
        </row>
        <row r="514">
          <cell r="B514" t="str">
            <v>AC521</v>
          </cell>
          <cell r="C514" t="str">
            <v>GOUMERE</v>
          </cell>
          <cell r="D514" t="str">
            <v>-2.98100276</v>
          </cell>
          <cell r="E514" t="str">
            <v>7.89749644</v>
          </cell>
          <cell r="F514" t="str">
            <v>2G/3G/4G</v>
          </cell>
          <cell r="G514" t="str">
            <v>ERICSSON</v>
          </cell>
          <cell r="H514" t="str">
            <v>MOOV</v>
          </cell>
          <cell r="I514" t="str">
            <v>GOUMERE</v>
          </cell>
          <cell r="J514" t="str">
            <v>GOUMERE</v>
          </cell>
          <cell r="K514" t="str">
            <v>BONDOUKOU</v>
          </cell>
          <cell r="L514" t="str">
            <v>GONTOUGO</v>
          </cell>
          <cell r="M514" t="str">
            <v>ABENGOUROU</v>
          </cell>
          <cell r="N514" t="str">
            <v>UPCOUNTRY</v>
          </cell>
        </row>
        <row r="515">
          <cell r="B515" t="str">
            <v>AC522</v>
          </cell>
          <cell r="C515" t="str">
            <v>IROBO</v>
          </cell>
          <cell r="D515" t="str">
            <v>-4.773220</v>
          </cell>
          <cell r="E515" t="str">
            <v>5.287297</v>
          </cell>
          <cell r="F515" t="str">
            <v>2G/3G/4G</v>
          </cell>
          <cell r="G515" t="str">
            <v>ERICSSON</v>
          </cell>
          <cell r="H515" t="str">
            <v>MOOV</v>
          </cell>
          <cell r="I515" t="str">
            <v>IROBO</v>
          </cell>
          <cell r="J515" t="str">
            <v>ATTOUTOU</v>
          </cell>
          <cell r="K515" t="str">
            <v>JACQUEVILLE</v>
          </cell>
          <cell r="L515" t="str">
            <v>GRANDS-PONTS</v>
          </cell>
          <cell r="M515" t="str">
            <v>YOPOUGON FICGAYO</v>
          </cell>
          <cell r="N515" t="str">
            <v>UPCOUNTRY</v>
          </cell>
        </row>
        <row r="516">
          <cell r="B516" t="str">
            <v>AC523</v>
          </cell>
          <cell r="C516" t="str">
            <v>AKOWEBO</v>
          </cell>
          <cell r="D516" t="str">
            <v>-5.873569</v>
          </cell>
          <cell r="E516" t="str">
            <v>6.946076</v>
          </cell>
          <cell r="F516" t="str">
            <v>2G/3G/4G</v>
          </cell>
          <cell r="G516" t="str">
            <v>HUAWEI</v>
          </cell>
          <cell r="H516" t="str">
            <v>MOOV</v>
          </cell>
          <cell r="I516" t="str">
            <v>AKOWEBO</v>
          </cell>
          <cell r="J516" t="str">
            <v>N'DOUFFOUKANKRO</v>
          </cell>
          <cell r="K516" t="str">
            <v>BOUAFLE</v>
          </cell>
          <cell r="L516" t="str">
            <v>MARAHOUE</v>
          </cell>
          <cell r="M516" t="str">
            <v>YAMOUSSOUKRO</v>
          </cell>
          <cell r="N516" t="str">
            <v>UPCOUNTRY</v>
          </cell>
        </row>
        <row r="517">
          <cell r="B517" t="str">
            <v>AC524</v>
          </cell>
          <cell r="C517" t="str">
            <v>MEMNI</v>
          </cell>
          <cell r="D517" t="str">
            <v>-3.74711493</v>
          </cell>
          <cell r="E517" t="str">
            <v>5.50224617</v>
          </cell>
          <cell r="F517" t="str">
            <v>2G/3G/4G</v>
          </cell>
          <cell r="G517" t="str">
            <v>ERICSSON</v>
          </cell>
          <cell r="H517" t="str">
            <v>IHS (CIT)</v>
          </cell>
          <cell r="I517" t="str">
            <v>MEMNI</v>
          </cell>
          <cell r="J517" t="str">
            <v>ALEPE</v>
          </cell>
          <cell r="K517" t="str">
            <v>ALEPE</v>
          </cell>
          <cell r="L517" t="str">
            <v>LA ME</v>
          </cell>
          <cell r="M517" t="str">
            <v>ABOBO</v>
          </cell>
          <cell r="N517" t="str">
            <v>UPCOUNTRY</v>
          </cell>
        </row>
        <row r="518">
          <cell r="B518" t="str">
            <v>AC525</v>
          </cell>
          <cell r="C518" t="str">
            <v>NZIANOUAN</v>
          </cell>
          <cell r="D518" t="str">
            <v>-4.821128</v>
          </cell>
          <cell r="E518" t="str">
            <v>6.019227</v>
          </cell>
          <cell r="F518" t="str">
            <v>2G/3G/4G</v>
          </cell>
          <cell r="G518" t="str">
            <v>ERICSSON</v>
          </cell>
          <cell r="H518" t="str">
            <v>MOOV</v>
          </cell>
          <cell r="I518" t="str">
            <v>NZIANOUAN</v>
          </cell>
          <cell r="J518" t="str">
            <v>TIASSALE</v>
          </cell>
          <cell r="K518" t="str">
            <v>TIASSALE</v>
          </cell>
          <cell r="L518" t="str">
            <v>AGNEBY-TIASSA</v>
          </cell>
          <cell r="M518" t="str">
            <v>YOPOUGON SABLE</v>
          </cell>
          <cell r="N518" t="str">
            <v>UPCOUNTRY</v>
          </cell>
        </row>
        <row r="519">
          <cell r="B519" t="str">
            <v>AC526</v>
          </cell>
          <cell r="C519" t="str">
            <v>PK_50</v>
          </cell>
          <cell r="D519" t="str">
            <v>-4.333594</v>
          </cell>
          <cell r="E519" t="str">
            <v>5.55309964</v>
          </cell>
          <cell r="F519" t="str">
            <v>2G/3G/4G</v>
          </cell>
          <cell r="G519" t="str">
            <v>ERICSSON</v>
          </cell>
          <cell r="H519" t="str">
            <v>IHS (CIT)</v>
          </cell>
          <cell r="I519" t="str">
            <v>PK-50</v>
          </cell>
          <cell r="J519" t="str">
            <v>SONGON</v>
          </cell>
          <cell r="K519" t="str">
            <v>ABIDJAN</v>
          </cell>
          <cell r="L519" t="str">
            <v>ABIDJAN</v>
          </cell>
          <cell r="M519" t="str">
            <v>YOPOUGON SABLE</v>
          </cell>
          <cell r="N519" t="str">
            <v>ABIDJAN</v>
          </cell>
        </row>
        <row r="520">
          <cell r="B520" t="str">
            <v>AC527</v>
          </cell>
          <cell r="C520" t="str">
            <v>SONGON_AGBAN</v>
          </cell>
          <cell r="D520" t="str">
            <v>-4.18221903</v>
          </cell>
          <cell r="E520" t="str">
            <v>5.33733759</v>
          </cell>
          <cell r="F520" t="str">
            <v>2G/3G/4G</v>
          </cell>
          <cell r="G520" t="str">
            <v>ERICSSON</v>
          </cell>
          <cell r="H520" t="str">
            <v>MOOV</v>
          </cell>
          <cell r="I520" t="str">
            <v>ADIAPO-MORONOU</v>
          </cell>
          <cell r="J520" t="str">
            <v>SONGON</v>
          </cell>
          <cell r="K520" t="str">
            <v>ABIDJAN</v>
          </cell>
          <cell r="L520" t="str">
            <v>ABIDJAN</v>
          </cell>
          <cell r="M520" t="str">
            <v>YOPOUGON FICGAYO</v>
          </cell>
          <cell r="N520" t="str">
            <v>ABIDJAN</v>
          </cell>
        </row>
        <row r="521">
          <cell r="B521" t="str">
            <v>AC528</v>
          </cell>
          <cell r="C521" t="str">
            <v>YAKASSETTOBROU</v>
          </cell>
          <cell r="D521" t="str">
            <v>-3.6497957</v>
          </cell>
          <cell r="E521" t="str">
            <v>6.18072265</v>
          </cell>
          <cell r="F521" t="str">
            <v>2G/3G/4G</v>
          </cell>
          <cell r="G521" t="str">
            <v>ERICSSON</v>
          </cell>
          <cell r="H521" t="str">
            <v>MOOV</v>
          </cell>
          <cell r="I521" t="str">
            <v>YAKASSE-ATTOBROU</v>
          </cell>
          <cell r="J521" t="str">
            <v>YAKASSE-ATTOBROU</v>
          </cell>
          <cell r="K521" t="str">
            <v>YAKASSE-ATTOBROU</v>
          </cell>
          <cell r="L521" t="str">
            <v>LA ME</v>
          </cell>
          <cell r="M521" t="str">
            <v>ABENGOUROU</v>
          </cell>
          <cell r="N521" t="str">
            <v>UPCOUNTRY</v>
          </cell>
        </row>
        <row r="522">
          <cell r="B522" t="str">
            <v>AC529</v>
          </cell>
          <cell r="C522" t="str">
            <v>YOCOBOUE</v>
          </cell>
          <cell r="D522" t="str">
            <v>-5.10925</v>
          </cell>
          <cell r="E522" t="str">
            <v>5.27539</v>
          </cell>
          <cell r="F522" t="str">
            <v>2G/3G/4G</v>
          </cell>
          <cell r="G522" t="str">
            <v>ERICSSON</v>
          </cell>
          <cell r="H522" t="str">
            <v>MOOV</v>
          </cell>
          <cell r="I522" t="str">
            <v>YOCOBOUE</v>
          </cell>
          <cell r="J522" t="str">
            <v>YOCOBOUE</v>
          </cell>
          <cell r="K522" t="str">
            <v>GUITRY</v>
          </cell>
          <cell r="L522" t="str">
            <v>LOH-DJIBOUA</v>
          </cell>
          <cell r="M522" t="str">
            <v>DIVO</v>
          </cell>
          <cell r="N522" t="str">
            <v>UPCOUNTRY</v>
          </cell>
        </row>
        <row r="523">
          <cell r="B523" t="str">
            <v>AC530</v>
          </cell>
          <cell r="C523" t="str">
            <v>ZARANOU</v>
          </cell>
          <cell r="D523" t="str">
            <v>-3.35899574</v>
          </cell>
          <cell r="E523" t="str">
            <v>6.42829925</v>
          </cell>
          <cell r="F523" t="str">
            <v>2G/3G/4G</v>
          </cell>
          <cell r="G523" t="str">
            <v>ERICSSON</v>
          </cell>
          <cell r="H523" t="str">
            <v>IHS (CIT)</v>
          </cell>
          <cell r="I523" t="str">
            <v>ZARANOU</v>
          </cell>
          <cell r="J523" t="str">
            <v>ZARANOU</v>
          </cell>
          <cell r="K523" t="str">
            <v>ABENGOUROU</v>
          </cell>
          <cell r="L523" t="str">
            <v>INDENIE-DJUABLIN</v>
          </cell>
          <cell r="M523" t="str">
            <v>ABENGOUROU</v>
          </cell>
          <cell r="N523" t="str">
            <v>UPCOUNTRY</v>
          </cell>
        </row>
        <row r="524">
          <cell r="B524" t="str">
            <v>AC531</v>
          </cell>
          <cell r="C524" t="str">
            <v>AGBOVILLE_SAPH</v>
          </cell>
          <cell r="D524" t="str">
            <v>-4.33319764</v>
          </cell>
          <cell r="E524" t="str">
            <v>5.94150358</v>
          </cell>
          <cell r="F524" t="str">
            <v>2G/3G/4G</v>
          </cell>
          <cell r="G524" t="str">
            <v>ERICSSON</v>
          </cell>
          <cell r="H524" t="str">
            <v>MOOV</v>
          </cell>
          <cell r="I524" t="str">
            <v>EGLIN</v>
          </cell>
          <cell r="J524" t="str">
            <v>AGBOVILLE</v>
          </cell>
          <cell r="K524" t="str">
            <v>AGBOVILLE</v>
          </cell>
          <cell r="L524" t="str">
            <v>AGNEBY-TIASSA</v>
          </cell>
          <cell r="M524" t="str">
            <v>ABOBO</v>
          </cell>
          <cell r="N524" t="str">
            <v>UPCOUNTRY</v>
          </cell>
        </row>
        <row r="525">
          <cell r="B525" t="str">
            <v>AC532</v>
          </cell>
          <cell r="C525" t="str">
            <v>RUBINO</v>
          </cell>
          <cell r="D525" t="str">
            <v>-4.30831502</v>
          </cell>
          <cell r="E525" t="str">
            <v>6.07109116</v>
          </cell>
          <cell r="F525" t="str">
            <v>2G/3G/4G</v>
          </cell>
          <cell r="G525" t="str">
            <v>ERICSSON</v>
          </cell>
          <cell r="H525" t="str">
            <v>MOOV</v>
          </cell>
          <cell r="I525" t="str">
            <v>RUBINO</v>
          </cell>
          <cell r="J525" t="str">
            <v>RUBINO</v>
          </cell>
          <cell r="K525" t="str">
            <v>AGBOVILLE</v>
          </cell>
          <cell r="L525" t="str">
            <v>AGNEBY-TIASSA</v>
          </cell>
          <cell r="M525" t="str">
            <v>ABOBO</v>
          </cell>
          <cell r="N525" t="str">
            <v>UPCOUNTRY</v>
          </cell>
        </row>
        <row r="526">
          <cell r="B526" t="str">
            <v>AC533</v>
          </cell>
          <cell r="C526" t="str">
            <v>LOPOU</v>
          </cell>
          <cell r="D526" t="str">
            <v>-4.45360137</v>
          </cell>
          <cell r="E526" t="str">
            <v>5.40169789</v>
          </cell>
          <cell r="F526" t="str">
            <v>2G/3G/4G</v>
          </cell>
          <cell r="G526" t="str">
            <v>ERICSSON</v>
          </cell>
          <cell r="H526" t="str">
            <v>IHS (CIT)</v>
          </cell>
          <cell r="I526" t="str">
            <v>LOPOU</v>
          </cell>
          <cell r="J526" t="str">
            <v>LOPOU</v>
          </cell>
          <cell r="K526" t="str">
            <v>DABOU</v>
          </cell>
          <cell r="L526" t="str">
            <v>GRANDS-PONTS</v>
          </cell>
          <cell r="M526" t="str">
            <v>YOPOUGON FICGAYO</v>
          </cell>
          <cell r="N526" t="str">
            <v>UPCOUNTRY</v>
          </cell>
        </row>
        <row r="527">
          <cell r="B527" t="str">
            <v>AC534</v>
          </cell>
          <cell r="C527" t="str">
            <v>BOUBOURY</v>
          </cell>
          <cell r="D527" t="str">
            <v>-4.46059595</v>
          </cell>
          <cell r="E527" t="str">
            <v>5.34540272</v>
          </cell>
          <cell r="F527" t="str">
            <v>2G/3G/4G</v>
          </cell>
          <cell r="G527" t="str">
            <v>ERICSSON</v>
          </cell>
          <cell r="H527" t="str">
            <v>MOOV</v>
          </cell>
          <cell r="I527" t="str">
            <v>BOUBOURY</v>
          </cell>
          <cell r="J527" t="str">
            <v>DABOU</v>
          </cell>
          <cell r="K527" t="str">
            <v>DABOU</v>
          </cell>
          <cell r="L527" t="str">
            <v>GRANDS-PONTS</v>
          </cell>
          <cell r="M527" t="str">
            <v>YOPOUGON FICGAYO</v>
          </cell>
          <cell r="N527" t="str">
            <v>UPCOUNTRY</v>
          </cell>
        </row>
        <row r="528">
          <cell r="B528" t="str">
            <v>AC535</v>
          </cell>
          <cell r="C528" t="str">
            <v>SAGO</v>
          </cell>
          <cell r="D528" t="str">
            <v>-5.9206</v>
          </cell>
          <cell r="E528" t="str">
            <v>5.2676</v>
          </cell>
          <cell r="F528" t="str">
            <v>2G/3G/4G</v>
          </cell>
          <cell r="G528" t="str">
            <v>ERICSSON</v>
          </cell>
          <cell r="H528" t="str">
            <v>MOOV</v>
          </cell>
          <cell r="I528" t="str">
            <v>SAGO</v>
          </cell>
          <cell r="J528" t="str">
            <v>SAGO</v>
          </cell>
          <cell r="K528" t="str">
            <v>SASSANDRA</v>
          </cell>
          <cell r="L528" t="str">
            <v>GBOKLE</v>
          </cell>
          <cell r="M528" t="str">
            <v>SAN-PEDRO</v>
          </cell>
          <cell r="N528" t="str">
            <v>UPCOUNTRY</v>
          </cell>
        </row>
        <row r="529">
          <cell r="B529" t="str">
            <v>AC536</v>
          </cell>
          <cell r="C529" t="str">
            <v>MOUSSADOUGOU</v>
          </cell>
          <cell r="D529" t="str">
            <v>-6.353</v>
          </cell>
          <cell r="E529" t="str">
            <v>4.910222</v>
          </cell>
          <cell r="F529" t="str">
            <v>2G/3G/4G</v>
          </cell>
          <cell r="G529" t="str">
            <v>ERICSSON</v>
          </cell>
          <cell r="H529" t="str">
            <v>IHS (OCI)</v>
          </cell>
          <cell r="I529" t="str">
            <v>MOUSSADOUGOU</v>
          </cell>
          <cell r="J529" t="str">
            <v>SASSANDRA</v>
          </cell>
          <cell r="K529" t="str">
            <v>SASSANDRA</v>
          </cell>
          <cell r="L529" t="str">
            <v>GBOKLE</v>
          </cell>
          <cell r="M529" t="str">
            <v>SAN-PEDRO</v>
          </cell>
          <cell r="N529" t="str">
            <v>UPCOUNTRY</v>
          </cell>
        </row>
        <row r="530">
          <cell r="B530" t="str">
            <v>AC537</v>
          </cell>
          <cell r="C530" t="str">
            <v>GRABO</v>
          </cell>
          <cell r="D530" t="str">
            <v>-7.498</v>
          </cell>
          <cell r="E530" t="str">
            <v>4.9262</v>
          </cell>
          <cell r="F530" t="str">
            <v>2G/3G/4G</v>
          </cell>
          <cell r="G530" t="str">
            <v>ERICSSON</v>
          </cell>
          <cell r="H530" t="str">
            <v>MOOV</v>
          </cell>
          <cell r="I530" t="str">
            <v>GRABO</v>
          </cell>
          <cell r="J530" t="str">
            <v>GRABO</v>
          </cell>
          <cell r="K530" t="str">
            <v>TABOU</v>
          </cell>
          <cell r="L530" t="str">
            <v>SAN-PEDRO</v>
          </cell>
          <cell r="M530" t="str">
            <v>SAN-PEDRO</v>
          </cell>
          <cell r="N530" t="str">
            <v>UPCOUNTRY</v>
          </cell>
        </row>
        <row r="531">
          <cell r="B531" t="str">
            <v>AC538</v>
          </cell>
          <cell r="C531" t="str">
            <v>EHANIA</v>
          </cell>
          <cell r="D531" t="str">
            <v>-3.04757</v>
          </cell>
          <cell r="E531" t="str">
            <v>5.28859957</v>
          </cell>
          <cell r="F531" t="str">
            <v>2G/3G/4G</v>
          </cell>
          <cell r="G531" t="str">
            <v>ERICSSON</v>
          </cell>
          <cell r="H531" t="str">
            <v>MOOV</v>
          </cell>
          <cell r="I531" t="str">
            <v>EHANIA V1</v>
          </cell>
          <cell r="J531" t="str">
            <v>ADJOUAN</v>
          </cell>
          <cell r="K531" t="str">
            <v>ABOISSO</v>
          </cell>
          <cell r="L531" t="str">
            <v>SUD-COMOE</v>
          </cell>
          <cell r="M531" t="str">
            <v>MARCORY</v>
          </cell>
          <cell r="N531" t="str">
            <v>UPCOUNTRY</v>
          </cell>
        </row>
        <row r="532">
          <cell r="B532" t="str">
            <v>AC539</v>
          </cell>
          <cell r="C532" t="str">
            <v>DJEMISSIKRO</v>
          </cell>
          <cell r="D532" t="str">
            <v>-2.97639982</v>
          </cell>
          <cell r="E532" t="str">
            <v>5.28969559</v>
          </cell>
          <cell r="F532" t="str">
            <v>2G/3G/4G</v>
          </cell>
          <cell r="G532" t="str">
            <v>ERICSSON</v>
          </cell>
          <cell r="H532" t="str">
            <v>MOOV</v>
          </cell>
          <cell r="I532" t="str">
            <v>DJEMISSIKRO</v>
          </cell>
          <cell r="J532" t="str">
            <v>ADJOUAN</v>
          </cell>
          <cell r="K532" t="str">
            <v>ABOISSO</v>
          </cell>
          <cell r="L532" t="str">
            <v>SUD-COMOE</v>
          </cell>
          <cell r="M532" t="str">
            <v>MARCORY</v>
          </cell>
          <cell r="N532" t="str">
            <v>UPCOUNTRY</v>
          </cell>
        </row>
        <row r="533">
          <cell r="B533" t="str">
            <v>AC540</v>
          </cell>
          <cell r="C533" t="str">
            <v>BONGO_SAPH</v>
          </cell>
          <cell r="D533" t="str">
            <v>-3.51740072</v>
          </cell>
          <cell r="E533" t="str">
            <v>5.50229977</v>
          </cell>
          <cell r="F533" t="str">
            <v>2G/3G/4G</v>
          </cell>
          <cell r="G533" t="str">
            <v>ERICSSON</v>
          </cell>
          <cell r="H533" t="str">
            <v>IHS (CIT)</v>
          </cell>
          <cell r="I533" t="str">
            <v>BONGO SAPH</v>
          </cell>
          <cell r="J533" t="str">
            <v>BONGO</v>
          </cell>
          <cell r="K533" t="str">
            <v>GRAND-BASSAM</v>
          </cell>
          <cell r="L533" t="str">
            <v>SUD-COMOE</v>
          </cell>
          <cell r="M533" t="str">
            <v>MARCORY</v>
          </cell>
          <cell r="N533" t="str">
            <v>UPCOUNTRY</v>
          </cell>
        </row>
        <row r="534">
          <cell r="B534" t="str">
            <v>AC541</v>
          </cell>
          <cell r="C534" t="str">
            <v>KRINDJABO</v>
          </cell>
          <cell r="D534" t="str">
            <v>-3.20799749</v>
          </cell>
          <cell r="E534" t="str">
            <v>5.39810115</v>
          </cell>
          <cell r="F534" t="str">
            <v>2G/3G/4G</v>
          </cell>
          <cell r="G534" t="str">
            <v>ERICSSON</v>
          </cell>
          <cell r="H534" t="str">
            <v>MOOV</v>
          </cell>
          <cell r="I534" t="str">
            <v>KRINDJABO</v>
          </cell>
          <cell r="J534" t="str">
            <v>ABOISSO</v>
          </cell>
          <cell r="K534" t="str">
            <v>ABOISSO</v>
          </cell>
          <cell r="L534" t="str">
            <v>SUD-COMOE</v>
          </cell>
          <cell r="M534" t="str">
            <v>MARCORY</v>
          </cell>
          <cell r="N534" t="str">
            <v>UPCOUNTRY</v>
          </cell>
        </row>
        <row r="535">
          <cell r="B535" t="str">
            <v>AC542</v>
          </cell>
          <cell r="C535" t="str">
            <v>AGOU</v>
          </cell>
          <cell r="D535" t="str">
            <v>-3.95083772</v>
          </cell>
          <cell r="E535" t="str">
            <v>5.99180653</v>
          </cell>
          <cell r="F535" t="str">
            <v>2G/3G/4G</v>
          </cell>
          <cell r="G535" t="str">
            <v>ERICSSON</v>
          </cell>
          <cell r="H535" t="str">
            <v>MOOV</v>
          </cell>
          <cell r="I535" t="str">
            <v>AGOU</v>
          </cell>
          <cell r="J535" t="str">
            <v>AGOU</v>
          </cell>
          <cell r="K535" t="str">
            <v>ADZOPE</v>
          </cell>
          <cell r="L535" t="str">
            <v>LA ME</v>
          </cell>
          <cell r="M535" t="str">
            <v>ABENGOUROU</v>
          </cell>
          <cell r="N535" t="str">
            <v>UPCOUNTRY</v>
          </cell>
        </row>
        <row r="536">
          <cell r="B536" t="str">
            <v>AC543</v>
          </cell>
          <cell r="C536" t="str">
            <v>YAKASSE_ME</v>
          </cell>
          <cell r="D536" t="str">
            <v>-3.95469619</v>
          </cell>
          <cell r="E536" t="str">
            <v>5.80739704</v>
          </cell>
          <cell r="F536" t="str">
            <v>2G/3G/4G</v>
          </cell>
          <cell r="G536" t="str">
            <v>ERICSSON</v>
          </cell>
          <cell r="H536" t="str">
            <v>IHS (CIT)</v>
          </cell>
          <cell r="I536" t="str">
            <v>YAKASSE-ME</v>
          </cell>
          <cell r="J536" t="str">
            <v>YAKASSE-ME</v>
          </cell>
          <cell r="K536" t="str">
            <v>ADZOPE</v>
          </cell>
          <cell r="L536" t="str">
            <v>LA ME</v>
          </cell>
          <cell r="M536" t="str">
            <v>ABOBO</v>
          </cell>
          <cell r="N536" t="str">
            <v>UPCOUNTRY</v>
          </cell>
        </row>
        <row r="537">
          <cell r="B537" t="str">
            <v>AC544</v>
          </cell>
          <cell r="C537" t="str">
            <v>CECHI</v>
          </cell>
          <cell r="D537" t="str">
            <v>-4.42209579</v>
          </cell>
          <cell r="E537" t="str">
            <v>6.24741513</v>
          </cell>
          <cell r="F537" t="str">
            <v>2G/3G/4G</v>
          </cell>
          <cell r="G537" t="str">
            <v>ERICSSON</v>
          </cell>
          <cell r="H537" t="str">
            <v>MOOV</v>
          </cell>
          <cell r="I537" t="str">
            <v>CECHI</v>
          </cell>
          <cell r="J537" t="str">
            <v>CECHI</v>
          </cell>
          <cell r="K537" t="str">
            <v>AGBOVILLE</v>
          </cell>
          <cell r="L537" t="str">
            <v>AGNEBY-TIASSA</v>
          </cell>
          <cell r="M537" t="str">
            <v>ABOBO</v>
          </cell>
          <cell r="N537" t="str">
            <v>UPCOUNTRY</v>
          </cell>
        </row>
        <row r="538">
          <cell r="B538" t="str">
            <v>AC545</v>
          </cell>
          <cell r="C538" t="str">
            <v>ANOUMABA</v>
          </cell>
          <cell r="D538" t="str">
            <v>-4.5371231</v>
          </cell>
          <cell r="E538" t="str">
            <v>6.32534994</v>
          </cell>
          <cell r="F538" t="str">
            <v>2G/3G/4G</v>
          </cell>
          <cell r="G538" t="str">
            <v>ERICSSON</v>
          </cell>
          <cell r="H538" t="str">
            <v>MOOV</v>
          </cell>
          <cell r="I538" t="str">
            <v>ANOUMABA</v>
          </cell>
          <cell r="J538" t="str">
            <v>ANOUMABA</v>
          </cell>
          <cell r="K538" t="str">
            <v>M'BATTO</v>
          </cell>
          <cell r="L538" t="str">
            <v>MORONOU</v>
          </cell>
          <cell r="M538" t="str">
            <v>ABENGOUROU</v>
          </cell>
          <cell r="N538" t="str">
            <v>UPCOUNTRY</v>
          </cell>
        </row>
        <row r="539">
          <cell r="B539" t="str">
            <v>AC546</v>
          </cell>
          <cell r="C539" t="str">
            <v>NASSIAN</v>
          </cell>
          <cell r="D539" t="str">
            <v>-3.4674</v>
          </cell>
          <cell r="E539" t="str">
            <v>8.4463</v>
          </cell>
          <cell r="F539" t="str">
            <v>2G/3G/4G</v>
          </cell>
          <cell r="G539" t="str">
            <v>ERICSSON</v>
          </cell>
          <cell r="H539" t="str">
            <v>MOOV</v>
          </cell>
          <cell r="I539" t="str">
            <v>NASSIAN</v>
          </cell>
          <cell r="J539" t="str">
            <v>NASSIAN</v>
          </cell>
          <cell r="K539" t="str">
            <v>NASSIAN</v>
          </cell>
          <cell r="L539" t="str">
            <v>BOUNKANI</v>
          </cell>
          <cell r="M539" t="str">
            <v>ABENGOUROU</v>
          </cell>
          <cell r="N539" t="str">
            <v>UPCOUNTRY</v>
          </cell>
        </row>
        <row r="540">
          <cell r="B540" t="str">
            <v>AC547</v>
          </cell>
          <cell r="C540" t="str">
            <v>NZIKRO</v>
          </cell>
          <cell r="D540" t="str">
            <v>-3.40521</v>
          </cell>
          <cell r="E540" t="str">
            <v>5.39312</v>
          </cell>
          <cell r="F540" t="str">
            <v>2G/3G/4G</v>
          </cell>
          <cell r="G540" t="str">
            <v>ERICSSON</v>
          </cell>
          <cell r="H540" t="str">
            <v>MOOV</v>
          </cell>
          <cell r="I540" t="str">
            <v>NZIKRO</v>
          </cell>
          <cell r="J540" t="str">
            <v>ADAOU</v>
          </cell>
          <cell r="K540" t="str">
            <v>ABOISSO</v>
          </cell>
          <cell r="L540" t="str">
            <v>SUD-COMOE</v>
          </cell>
          <cell r="M540" t="str">
            <v>MARCORY</v>
          </cell>
          <cell r="N540" t="str">
            <v>UPCOUNTRY</v>
          </cell>
        </row>
        <row r="541">
          <cell r="B541" t="str">
            <v>AC548</v>
          </cell>
          <cell r="C541" t="str">
            <v>ADAOU</v>
          </cell>
          <cell r="D541" t="str">
            <v>-3.2653996</v>
          </cell>
          <cell r="E541" t="str">
            <v>5.42569748</v>
          </cell>
          <cell r="F541" t="str">
            <v>2G/3G/4G</v>
          </cell>
          <cell r="G541" t="str">
            <v>ERICSSON</v>
          </cell>
          <cell r="H541" t="str">
            <v>MOOV</v>
          </cell>
          <cell r="I541" t="str">
            <v>ADAOU</v>
          </cell>
          <cell r="J541" t="str">
            <v>ADAOU</v>
          </cell>
          <cell r="K541" t="str">
            <v>ABOISSO</v>
          </cell>
          <cell r="L541" t="str">
            <v>SUD-COMOE</v>
          </cell>
          <cell r="M541" t="str">
            <v>MARCORY</v>
          </cell>
          <cell r="N541" t="str">
            <v>UPCOUNTRY</v>
          </cell>
        </row>
        <row r="542">
          <cell r="B542" t="str">
            <v>AC549</v>
          </cell>
          <cell r="C542" t="str">
            <v>TIAPOUM</v>
          </cell>
          <cell r="D542" t="str">
            <v>-3.02030125</v>
          </cell>
          <cell r="E542" t="str">
            <v>5.13919709</v>
          </cell>
          <cell r="F542" t="str">
            <v>2G/3G/4G</v>
          </cell>
          <cell r="G542" t="str">
            <v>ERICSSON</v>
          </cell>
          <cell r="H542" t="str">
            <v>IHS (CIT)</v>
          </cell>
          <cell r="I542" t="str">
            <v>TIAPOUM</v>
          </cell>
          <cell r="J542" t="str">
            <v>TIAPOUM</v>
          </cell>
          <cell r="K542" t="str">
            <v>TIAPOUM</v>
          </cell>
          <cell r="L542" t="str">
            <v>SUD-COMOE</v>
          </cell>
          <cell r="M542" t="str">
            <v>MARCORY</v>
          </cell>
          <cell r="N542" t="str">
            <v>UPCOUNTRY</v>
          </cell>
        </row>
        <row r="543">
          <cell r="B543" t="str">
            <v>AC550</v>
          </cell>
          <cell r="C543" t="str">
            <v>IRHO_LA_ME</v>
          </cell>
          <cell r="D543" t="str">
            <v>-3.84960027</v>
          </cell>
          <cell r="E543" t="str">
            <v>5.45719804</v>
          </cell>
          <cell r="F543" t="str">
            <v>2G/3G/4G</v>
          </cell>
          <cell r="G543" t="str">
            <v>ERICSSON</v>
          </cell>
          <cell r="H543" t="str">
            <v>MOOV</v>
          </cell>
          <cell r="I543" t="str">
            <v>IRHO LA ME</v>
          </cell>
          <cell r="J543" t="str">
            <v>BROFODOUME</v>
          </cell>
          <cell r="K543" t="str">
            <v>ABIDJAN</v>
          </cell>
          <cell r="L543" t="str">
            <v>ABIDJAN</v>
          </cell>
          <cell r="M543" t="str">
            <v>ABOBO</v>
          </cell>
          <cell r="N543" t="str">
            <v>ABIDJAN</v>
          </cell>
        </row>
        <row r="544">
          <cell r="B544" t="str">
            <v>AC551</v>
          </cell>
          <cell r="C544" t="str">
            <v>ITY</v>
          </cell>
          <cell r="D544" t="str">
            <v>-8.1185</v>
          </cell>
          <cell r="E544" t="str">
            <v>6.8859</v>
          </cell>
          <cell r="F544" t="str">
            <v>2G/3G/4G</v>
          </cell>
          <cell r="G544" t="str">
            <v>HUAWEI</v>
          </cell>
          <cell r="H544" t="str">
            <v>IHS (MTN)</v>
          </cell>
          <cell r="I544" t="str">
            <v>ITY</v>
          </cell>
          <cell r="J544" t="str">
            <v>ZOUAN-HOUNIEN</v>
          </cell>
          <cell r="K544" t="str">
            <v>ZOUAN-HOUNIEN</v>
          </cell>
          <cell r="L544" t="str">
            <v>TONKPI</v>
          </cell>
          <cell r="M544" t="str">
            <v>MAN</v>
          </cell>
          <cell r="N544" t="str">
            <v>UPCOUNTRY</v>
          </cell>
        </row>
        <row r="545">
          <cell r="B545" t="str">
            <v>AC552</v>
          </cell>
          <cell r="C545" t="str">
            <v>OGHLWAPO</v>
          </cell>
          <cell r="D545" t="str">
            <v>-3.74480394</v>
          </cell>
          <cell r="E545" t="str">
            <v>5.39969753</v>
          </cell>
          <cell r="F545" t="str">
            <v>2G/3G/4G</v>
          </cell>
          <cell r="G545" t="str">
            <v>ERICSSON</v>
          </cell>
          <cell r="H545" t="str">
            <v>MOOV</v>
          </cell>
          <cell r="I545" t="str">
            <v>OGHLWAPO</v>
          </cell>
          <cell r="J545" t="str">
            <v>OGHLWAPO</v>
          </cell>
          <cell r="K545" t="str">
            <v>ALEPE</v>
          </cell>
          <cell r="L545" t="str">
            <v>LA ME</v>
          </cell>
          <cell r="M545" t="str">
            <v>ABOBO</v>
          </cell>
          <cell r="N545" t="str">
            <v>UPCOUNTRY</v>
          </cell>
        </row>
        <row r="546">
          <cell r="B546" t="str">
            <v>AC553</v>
          </cell>
          <cell r="C546" t="str">
            <v>BROFODOUME</v>
          </cell>
          <cell r="D546" t="str">
            <v>-3.93160201</v>
          </cell>
          <cell r="E546" t="str">
            <v>5.51389914</v>
          </cell>
          <cell r="F546" t="str">
            <v>2G/3G/4G</v>
          </cell>
          <cell r="G546" t="str">
            <v>ERICSSON</v>
          </cell>
          <cell r="H546" t="str">
            <v>MOOV</v>
          </cell>
          <cell r="I546" t="str">
            <v>BROFODOUME</v>
          </cell>
          <cell r="J546" t="str">
            <v>BROFODOUME</v>
          </cell>
          <cell r="K546" t="str">
            <v>ABIDJAN</v>
          </cell>
          <cell r="L546" t="str">
            <v>ABIDJAN</v>
          </cell>
          <cell r="M546" t="str">
            <v>ABOBO</v>
          </cell>
          <cell r="N546" t="str">
            <v>ABIDJAN</v>
          </cell>
        </row>
        <row r="547">
          <cell r="B547" t="str">
            <v>AC554</v>
          </cell>
          <cell r="C547" t="str">
            <v>YASSAPB</v>
          </cell>
          <cell r="D547" t="str">
            <v>-4.41369354</v>
          </cell>
          <cell r="E547" t="str">
            <v>5.39966683</v>
          </cell>
          <cell r="F547" t="str">
            <v>2G/3G/4G</v>
          </cell>
          <cell r="G547" t="str">
            <v>ERICSSON</v>
          </cell>
          <cell r="H547" t="str">
            <v>MOOV</v>
          </cell>
          <cell r="I547" t="str">
            <v>YASSAP B</v>
          </cell>
          <cell r="J547" t="str">
            <v>DABOU</v>
          </cell>
          <cell r="K547" t="str">
            <v>DABOU</v>
          </cell>
          <cell r="L547" t="str">
            <v>GRANDS-PONTS</v>
          </cell>
          <cell r="M547" t="str">
            <v>YOPOUGON FICGAYO</v>
          </cell>
          <cell r="N547" t="str">
            <v>UPCOUNTRY</v>
          </cell>
        </row>
        <row r="548">
          <cell r="B548" t="str">
            <v>AC555</v>
          </cell>
          <cell r="C548" t="str">
            <v>BONAHOUIN</v>
          </cell>
          <cell r="D548" t="str">
            <v>-3.75500065</v>
          </cell>
          <cell r="E548" t="str">
            <v>6.55779595</v>
          </cell>
          <cell r="F548" t="str">
            <v>2G/3G/4G</v>
          </cell>
          <cell r="G548" t="str">
            <v>ERICSSON</v>
          </cell>
          <cell r="H548" t="str">
            <v>IHS (CIT)</v>
          </cell>
          <cell r="I548" t="str">
            <v>BONAHOUIN</v>
          </cell>
          <cell r="J548" t="str">
            <v>BECOUEFIN</v>
          </cell>
          <cell r="K548" t="str">
            <v>AKOUPE</v>
          </cell>
          <cell r="L548" t="str">
            <v>LA ME</v>
          </cell>
          <cell r="M548" t="str">
            <v>ABENGOUROU</v>
          </cell>
          <cell r="N548" t="str">
            <v>UPCOUNTRY</v>
          </cell>
        </row>
        <row r="549">
          <cell r="B549" t="str">
            <v>AC556</v>
          </cell>
          <cell r="C549" t="str">
            <v>TANKESSE</v>
          </cell>
          <cell r="D549" t="str">
            <v>-3.20347499</v>
          </cell>
          <cell r="E549" t="str">
            <v>7.34811355</v>
          </cell>
          <cell r="F549" t="str">
            <v>2G/3G/4G</v>
          </cell>
          <cell r="G549" t="str">
            <v>ERICSSON</v>
          </cell>
          <cell r="H549" t="str">
            <v>MOOV</v>
          </cell>
          <cell r="I549" t="str">
            <v>TANKESSE</v>
          </cell>
          <cell r="J549" t="str">
            <v>TANKESSE</v>
          </cell>
          <cell r="K549" t="str">
            <v>KOUN-FAO</v>
          </cell>
          <cell r="L549" t="str">
            <v>GONTOUGO</v>
          </cell>
          <cell r="M549" t="str">
            <v>ABENGOUROU</v>
          </cell>
          <cell r="N549" t="str">
            <v>UPCOUNTRY</v>
          </cell>
        </row>
        <row r="550">
          <cell r="B550" t="str">
            <v>AC557</v>
          </cell>
          <cell r="C550" t="str">
            <v>YAOU</v>
          </cell>
          <cell r="D550" t="str">
            <v>-3.14147056</v>
          </cell>
          <cell r="E550" t="str">
            <v>5.80339088</v>
          </cell>
          <cell r="F550" t="str">
            <v>2G/3G/4G</v>
          </cell>
          <cell r="G550" t="str">
            <v>ERICSSON</v>
          </cell>
          <cell r="H550" t="str">
            <v>MOOV</v>
          </cell>
          <cell r="I550" t="str">
            <v>YAOU</v>
          </cell>
          <cell r="J550" t="str">
            <v>YAOU</v>
          </cell>
          <cell r="K550" t="str">
            <v>ABOISSO</v>
          </cell>
          <cell r="L550" t="str">
            <v>SUD-COMOE</v>
          </cell>
          <cell r="M550" t="str">
            <v>MARCORY</v>
          </cell>
          <cell r="N550" t="str">
            <v>UPCOUNTRY</v>
          </cell>
        </row>
        <row r="551">
          <cell r="B551" t="str">
            <v>AC558</v>
          </cell>
          <cell r="C551" t="str">
            <v>APROMPROMOU</v>
          </cell>
          <cell r="D551" t="str">
            <v>-3.36335849</v>
          </cell>
          <cell r="E551" t="str">
            <v>6.99510284</v>
          </cell>
          <cell r="F551" t="str">
            <v>2G/3G/4G</v>
          </cell>
          <cell r="G551" t="str">
            <v>ERICSSON</v>
          </cell>
          <cell r="H551" t="str">
            <v>IHS (CIT)</v>
          </cell>
          <cell r="I551" t="str">
            <v>APPROMPRONOU</v>
          </cell>
          <cell r="J551" t="str">
            <v>YAKASSE FEYASSE</v>
          </cell>
          <cell r="K551" t="str">
            <v>ABENGOUROU</v>
          </cell>
          <cell r="L551" t="str">
            <v>INDENIE-DJUABLIN</v>
          </cell>
          <cell r="M551" t="str">
            <v>ABENGOUROU</v>
          </cell>
          <cell r="N551" t="str">
            <v>UPCOUNTRY</v>
          </cell>
        </row>
        <row r="552">
          <cell r="B552" t="str">
            <v>AC559</v>
          </cell>
          <cell r="C552" t="str">
            <v>SOGB</v>
          </cell>
          <cell r="D552" t="str">
            <v>-7.09151212</v>
          </cell>
          <cell r="E552" t="str">
            <v>4.67938711</v>
          </cell>
          <cell r="F552" t="str">
            <v>2G/3G/4G</v>
          </cell>
          <cell r="G552" t="str">
            <v>ERICSSON</v>
          </cell>
          <cell r="H552" t="str">
            <v>IHS (CIT)</v>
          </cell>
          <cell r="I552" t="str">
            <v>SOGB (ZONE CENTRALE)</v>
          </cell>
          <cell r="J552" t="str">
            <v>GRAND-BEREBY</v>
          </cell>
          <cell r="K552" t="str">
            <v>SAN-PEDRO</v>
          </cell>
          <cell r="L552" t="str">
            <v>SAN-PEDRO</v>
          </cell>
          <cell r="M552" t="str">
            <v>SAN-PEDRO</v>
          </cell>
          <cell r="N552" t="str">
            <v>UPCOUNTRY</v>
          </cell>
        </row>
        <row r="553">
          <cell r="B553" t="str">
            <v>AC560</v>
          </cell>
          <cell r="C553" t="str">
            <v>SANKADIOKRO</v>
          </cell>
          <cell r="D553" t="str">
            <v>-3.48244785</v>
          </cell>
          <cell r="E553" t="str">
            <v>6.86179827</v>
          </cell>
          <cell r="F553" t="str">
            <v>2G/3G/4G</v>
          </cell>
          <cell r="G553" t="str">
            <v>ERICSSON</v>
          </cell>
          <cell r="H553" t="str">
            <v>MOOV</v>
          </cell>
          <cell r="I553" t="str">
            <v>SANKADIOKRO</v>
          </cell>
          <cell r="J553" t="str">
            <v>YAKASSE FEYASSE</v>
          </cell>
          <cell r="K553" t="str">
            <v>ABENGOUROU</v>
          </cell>
          <cell r="L553" t="str">
            <v>INDENIE-DJUABLIN</v>
          </cell>
          <cell r="M553" t="str">
            <v>ABENGOUROU</v>
          </cell>
          <cell r="N553" t="str">
            <v>UPCOUNTRY</v>
          </cell>
        </row>
        <row r="554">
          <cell r="B554" t="str">
            <v>AC561</v>
          </cell>
          <cell r="C554" t="str">
            <v>MOAPE</v>
          </cell>
          <cell r="D554" t="str">
            <v>-3.80780178</v>
          </cell>
          <cell r="E554" t="str">
            <v>6.19259974</v>
          </cell>
          <cell r="F554" t="str">
            <v>2G/3G/4G</v>
          </cell>
          <cell r="G554" t="str">
            <v>ERICSSON</v>
          </cell>
          <cell r="H554" t="str">
            <v>MOOV</v>
          </cell>
          <cell r="I554" t="str">
            <v>MOAPE</v>
          </cell>
          <cell r="J554" t="str">
            <v>ADZOPE</v>
          </cell>
          <cell r="K554" t="str">
            <v>ADZOPE</v>
          </cell>
          <cell r="L554" t="str">
            <v>LA ME</v>
          </cell>
          <cell r="M554" t="str">
            <v>ABENGOUROU</v>
          </cell>
          <cell r="N554" t="str">
            <v>UPCOUNTRY</v>
          </cell>
        </row>
        <row r="555">
          <cell r="B555" t="str">
            <v>AC562</v>
          </cell>
          <cell r="C555" t="str">
            <v>AMELEKIA</v>
          </cell>
          <cell r="D555" t="str">
            <v>-3.567715</v>
          </cell>
          <cell r="E555" t="str">
            <v>6.822656</v>
          </cell>
          <cell r="F555" t="str">
            <v>2G/3G/4G</v>
          </cell>
          <cell r="G555" t="str">
            <v>ERICSSON</v>
          </cell>
          <cell r="H555" t="str">
            <v>MOOV</v>
          </cell>
          <cell r="I555" t="str">
            <v>AMELEKIA</v>
          </cell>
          <cell r="J555" t="str">
            <v>AMELEKIA</v>
          </cell>
          <cell r="K555" t="str">
            <v>ABENGOUROU</v>
          </cell>
          <cell r="L555" t="str">
            <v>INDENIE-DJUABLIN</v>
          </cell>
          <cell r="M555" t="str">
            <v>ABENGOUROU</v>
          </cell>
          <cell r="N555" t="str">
            <v>UPCOUNTRY</v>
          </cell>
        </row>
        <row r="556">
          <cell r="B556" t="str">
            <v>AC563</v>
          </cell>
          <cell r="C556" t="str">
            <v>AFFALIKRO</v>
          </cell>
          <cell r="D556" t="str">
            <v>-3.37768</v>
          </cell>
          <cell r="E556" t="str">
            <v>6.64351</v>
          </cell>
          <cell r="F556" t="str">
            <v>2G/3G/4G</v>
          </cell>
          <cell r="G556" t="str">
            <v>ERICSSON</v>
          </cell>
          <cell r="H556" t="str">
            <v>MOOV</v>
          </cell>
          <cell r="I556" t="str">
            <v>AFFALIKRO</v>
          </cell>
          <cell r="J556" t="str">
            <v>NIABLE</v>
          </cell>
          <cell r="K556" t="str">
            <v>ABENGOUROU</v>
          </cell>
          <cell r="L556" t="str">
            <v>INDENIE-DJUABLIN</v>
          </cell>
          <cell r="M556" t="str">
            <v>ABENGOUROU</v>
          </cell>
          <cell r="N556" t="str">
            <v>UPCOUNTRY</v>
          </cell>
        </row>
        <row r="557">
          <cell r="B557" t="str">
            <v>AC564</v>
          </cell>
          <cell r="C557" t="str">
            <v>ANDE</v>
          </cell>
          <cell r="D557" t="str">
            <v>-4.083591</v>
          </cell>
          <cell r="E557" t="str">
            <v>6.781057</v>
          </cell>
          <cell r="F557" t="str">
            <v>2G/3G/4G</v>
          </cell>
          <cell r="G557" t="str">
            <v>ERICSSON</v>
          </cell>
          <cell r="H557" t="str">
            <v>MOOV</v>
          </cell>
          <cell r="I557" t="str">
            <v>ANDE</v>
          </cell>
          <cell r="J557" t="str">
            <v>ANDE</v>
          </cell>
          <cell r="K557" t="str">
            <v>BONGOUANOU</v>
          </cell>
          <cell r="L557" t="str">
            <v>MORONOU</v>
          </cell>
          <cell r="M557" t="str">
            <v>ABENGOUROU</v>
          </cell>
          <cell r="N557" t="str">
            <v>UPCOUNTRY</v>
          </cell>
        </row>
        <row r="558">
          <cell r="B558" t="str">
            <v>AC565</v>
          </cell>
          <cell r="C558" t="str">
            <v>SOROBANGO</v>
          </cell>
          <cell r="D558" t="str">
            <v>-2.70870326</v>
          </cell>
          <cell r="E558" t="str">
            <v>8.17450203</v>
          </cell>
          <cell r="F558" t="str">
            <v>2G/3G/4G</v>
          </cell>
          <cell r="G558" t="str">
            <v>ERICSSON</v>
          </cell>
          <cell r="H558" t="str">
            <v>MOOV</v>
          </cell>
          <cell r="I558" t="str">
            <v>SOROBANGO</v>
          </cell>
          <cell r="J558" t="str">
            <v>SOROBANGO</v>
          </cell>
          <cell r="K558" t="str">
            <v>BONDOUKOU</v>
          </cell>
          <cell r="L558" t="str">
            <v>GONTOUGO</v>
          </cell>
          <cell r="M558" t="str">
            <v>ABENGOUROU</v>
          </cell>
          <cell r="N558" t="str">
            <v>UPCOUNTRY</v>
          </cell>
        </row>
        <row r="559">
          <cell r="B559" t="str">
            <v>AC566</v>
          </cell>
          <cell r="C559" t="str">
            <v>TRANSUA</v>
          </cell>
          <cell r="D559" t="str">
            <v>-3.01061477</v>
          </cell>
          <cell r="E559" t="str">
            <v>7.54477879</v>
          </cell>
          <cell r="F559" t="str">
            <v>2G/3G/4G</v>
          </cell>
          <cell r="G559" t="str">
            <v>ERICSSON</v>
          </cell>
          <cell r="H559" t="str">
            <v>MOOV</v>
          </cell>
          <cell r="I559" t="str">
            <v>TRANSUA</v>
          </cell>
          <cell r="J559" t="str">
            <v>TRANSUA</v>
          </cell>
          <cell r="K559" t="str">
            <v>TRANSUA</v>
          </cell>
          <cell r="L559" t="str">
            <v>GONTOUGO</v>
          </cell>
          <cell r="M559" t="str">
            <v>ABENGOUROU</v>
          </cell>
          <cell r="N559" t="str">
            <v>UPCOUNTRY</v>
          </cell>
        </row>
        <row r="560">
          <cell r="B560" t="str">
            <v>AC567</v>
          </cell>
          <cell r="C560" t="str">
            <v>TABAGNE</v>
          </cell>
          <cell r="D560" t="str">
            <v>-3.06439878</v>
          </cell>
          <cell r="E560" t="str">
            <v>7.98230322</v>
          </cell>
          <cell r="F560" t="str">
            <v>2G/3G/4G</v>
          </cell>
          <cell r="G560" t="str">
            <v>ERICSSON</v>
          </cell>
          <cell r="H560" t="str">
            <v>MOOV</v>
          </cell>
          <cell r="I560" t="str">
            <v>TABAGNE</v>
          </cell>
          <cell r="J560" t="str">
            <v>TABAGNE</v>
          </cell>
          <cell r="K560" t="str">
            <v>BONDOUKOU</v>
          </cell>
          <cell r="L560" t="str">
            <v>GONTOUGO</v>
          </cell>
          <cell r="M560" t="str">
            <v>ABENGOUROU</v>
          </cell>
          <cell r="N560" t="str">
            <v>UPCOUNTRY</v>
          </cell>
        </row>
        <row r="561">
          <cell r="B561" t="str">
            <v>AC568</v>
          </cell>
          <cell r="C561" t="str">
            <v>KOUTO</v>
          </cell>
          <cell r="D561" t="str">
            <v>-6.413917</v>
          </cell>
          <cell r="E561" t="str">
            <v>9.892898</v>
          </cell>
          <cell r="F561" t="str">
            <v>2G/3G/4G</v>
          </cell>
          <cell r="G561" t="str">
            <v>HUAWEI</v>
          </cell>
          <cell r="H561" t="str">
            <v>MOOV</v>
          </cell>
          <cell r="I561" t="str">
            <v>KOUTO</v>
          </cell>
          <cell r="J561" t="str">
            <v>KOUTO</v>
          </cell>
          <cell r="K561" t="str">
            <v>KOUTO</v>
          </cell>
          <cell r="L561" t="str">
            <v>BAGOUE</v>
          </cell>
          <cell r="M561" t="str">
            <v>KORHOGO</v>
          </cell>
          <cell r="N561" t="str">
            <v>UPCOUNTRY</v>
          </cell>
        </row>
        <row r="562">
          <cell r="B562" t="str">
            <v>AC569</v>
          </cell>
          <cell r="C562" t="str">
            <v>BLESSEGUE</v>
          </cell>
          <cell r="D562" t="str">
            <v>-6.4134</v>
          </cell>
          <cell r="E562" t="str">
            <v>10.1995</v>
          </cell>
          <cell r="F562" t="str">
            <v>2G/3G/4G</v>
          </cell>
          <cell r="G562" t="str">
            <v>HUAWEI</v>
          </cell>
          <cell r="H562" t="str">
            <v>IHS (CIT)</v>
          </cell>
          <cell r="I562" t="str">
            <v>BLESSEGUE</v>
          </cell>
          <cell r="J562" t="str">
            <v>BLESSEGUE</v>
          </cell>
          <cell r="K562" t="str">
            <v>KOUTO</v>
          </cell>
          <cell r="L562" t="str">
            <v>BAGOUE</v>
          </cell>
          <cell r="M562" t="str">
            <v>KORHOGO</v>
          </cell>
          <cell r="N562" t="str">
            <v>UPCOUNTRY</v>
          </cell>
        </row>
        <row r="563">
          <cell r="B563" t="str">
            <v>AC570</v>
          </cell>
          <cell r="C563" t="str">
            <v>MAYO</v>
          </cell>
          <cell r="D563" t="str">
            <v>-6.4018</v>
          </cell>
          <cell r="E563" t="str">
            <v>6.0867</v>
          </cell>
          <cell r="F563" t="str">
            <v>2G/3G/4G</v>
          </cell>
          <cell r="G563" t="str">
            <v>HUAWEI</v>
          </cell>
          <cell r="H563" t="str">
            <v>IHS (CIT)</v>
          </cell>
          <cell r="I563" t="str">
            <v>MAYO</v>
          </cell>
          <cell r="J563" t="str">
            <v>LILIYO</v>
          </cell>
          <cell r="K563" t="str">
            <v>SOUBRE</v>
          </cell>
          <cell r="L563" t="str">
            <v>NAWA</v>
          </cell>
          <cell r="M563" t="str">
            <v>SOUBRE</v>
          </cell>
          <cell r="N563" t="str">
            <v>UPCOUNTRY</v>
          </cell>
        </row>
        <row r="564">
          <cell r="B564" t="str">
            <v>AC571</v>
          </cell>
          <cell r="C564" t="str">
            <v>TIMOROKAHA</v>
          </cell>
          <cell r="D564" t="str">
            <v>-5.2022176</v>
          </cell>
          <cell r="E564" t="str">
            <v>8.5024655</v>
          </cell>
          <cell r="F564" t="str">
            <v>2G/3G/4G</v>
          </cell>
          <cell r="G564" t="str">
            <v>HUAWEI</v>
          </cell>
          <cell r="H564" t="str">
            <v>CIT</v>
          </cell>
          <cell r="I564" t="str">
            <v>TIMOROKAHA</v>
          </cell>
          <cell r="J564" t="str">
            <v>NIAKARAMADOUGOU</v>
          </cell>
          <cell r="K564" t="str">
            <v>NIAKARAMADOUGOU</v>
          </cell>
          <cell r="L564" t="str">
            <v>HAMBOL</v>
          </cell>
          <cell r="M564" t="str">
            <v>BOUAKE</v>
          </cell>
          <cell r="N564" t="str">
            <v>UPCOUNTRY</v>
          </cell>
        </row>
        <row r="565">
          <cell r="B565" t="str">
            <v>AC572</v>
          </cell>
          <cell r="C565" t="str">
            <v>BOKALA</v>
          </cell>
          <cell r="D565" t="str">
            <v>-4.5729912</v>
          </cell>
          <cell r="E565" t="str">
            <v>8.4079799</v>
          </cell>
          <cell r="F565" t="str">
            <v>2G/3G/4G</v>
          </cell>
          <cell r="G565" t="str">
            <v>HUAWEI</v>
          </cell>
          <cell r="H565" t="str">
            <v>IHS (CIT)</v>
          </cell>
          <cell r="I565" t="str">
            <v>BOKALA</v>
          </cell>
          <cell r="J565" t="str">
            <v>BONIEREDOUGOU</v>
          </cell>
          <cell r="K565" t="str">
            <v>DABAKALA</v>
          </cell>
          <cell r="L565" t="str">
            <v>HAMBOL</v>
          </cell>
          <cell r="M565" t="str">
            <v>BOUAKE</v>
          </cell>
          <cell r="N565" t="str">
            <v>UPCOUNTRY</v>
          </cell>
        </row>
        <row r="566">
          <cell r="B566" t="str">
            <v>AC573</v>
          </cell>
          <cell r="C566" t="str">
            <v>GBALEKAHA</v>
          </cell>
          <cell r="D566" t="str">
            <v>-5.479696</v>
          </cell>
          <cell r="E566" t="str">
            <v>9.509444</v>
          </cell>
          <cell r="F566" t="str">
            <v>2G/3G/4G</v>
          </cell>
          <cell r="G566" t="str">
            <v>HUAWEI</v>
          </cell>
          <cell r="H566" t="str">
            <v>MOOV</v>
          </cell>
          <cell r="I566" t="str">
            <v>SEDIEGO</v>
          </cell>
          <cell r="J566" t="str">
            <v>SEDIEGO</v>
          </cell>
          <cell r="K566" t="str">
            <v>SINEMATIALI</v>
          </cell>
          <cell r="L566" t="str">
            <v>PORO</v>
          </cell>
          <cell r="M566" t="str">
            <v>KORHOGO</v>
          </cell>
          <cell r="N566" t="str">
            <v>UPCOUNTRY</v>
          </cell>
        </row>
        <row r="567">
          <cell r="B567" t="str">
            <v>AC574</v>
          </cell>
          <cell r="C567" t="str">
            <v>KANAWOLO</v>
          </cell>
          <cell r="D567" t="str">
            <v>-5.3115928</v>
          </cell>
          <cell r="E567" t="str">
            <v>8.7884539</v>
          </cell>
          <cell r="F567" t="str">
            <v>2G/3G/4G</v>
          </cell>
          <cell r="G567" t="str">
            <v>HUAWEI</v>
          </cell>
          <cell r="H567" t="str">
            <v>MOOV</v>
          </cell>
          <cell r="I567" t="str">
            <v>KANAWOLO</v>
          </cell>
          <cell r="J567" t="str">
            <v>NIAKARAMADOUGOU</v>
          </cell>
          <cell r="K567" t="str">
            <v>NIAKARAMADOUGOU</v>
          </cell>
          <cell r="L567" t="str">
            <v>HAMBOL</v>
          </cell>
          <cell r="M567" t="str">
            <v>KORHOGO</v>
          </cell>
          <cell r="N567" t="str">
            <v>UPCOUNTRY</v>
          </cell>
        </row>
        <row r="568">
          <cell r="B568" t="str">
            <v>AC575</v>
          </cell>
          <cell r="C568" t="str">
            <v>OTTAWA</v>
          </cell>
          <cell r="D568" t="str">
            <v>-6.271604</v>
          </cell>
          <cell r="E568" t="str">
            <v>5.723828</v>
          </cell>
          <cell r="F568" t="str">
            <v>2G/3G/4G</v>
          </cell>
          <cell r="G568" t="str">
            <v>HUAWEI</v>
          </cell>
          <cell r="H568" t="str">
            <v>MOOV</v>
          </cell>
          <cell r="I568" t="str">
            <v>OTTAWA</v>
          </cell>
          <cell r="J568" t="str">
            <v>OKROUYO</v>
          </cell>
          <cell r="K568" t="str">
            <v>SOUBRE</v>
          </cell>
          <cell r="L568" t="str">
            <v>NAWA</v>
          </cell>
          <cell r="M568" t="str">
            <v>SOUBRE</v>
          </cell>
          <cell r="N568" t="str">
            <v>UPCOUNTRY</v>
          </cell>
        </row>
        <row r="569">
          <cell r="B569" t="str">
            <v>AC576</v>
          </cell>
          <cell r="C569" t="str">
            <v>KAOUARA</v>
          </cell>
          <cell r="D569" t="str">
            <v>-5.196293</v>
          </cell>
          <cell r="E569" t="str">
            <v>10.09372</v>
          </cell>
          <cell r="F569" t="str">
            <v>2G/3G/4G</v>
          </cell>
          <cell r="G569" t="str">
            <v>HUAWEI</v>
          </cell>
          <cell r="H569" t="str">
            <v>MOOV</v>
          </cell>
          <cell r="I569" t="str">
            <v>KAOUARA</v>
          </cell>
          <cell r="J569" t="str">
            <v>KAOUARA</v>
          </cell>
          <cell r="K569" t="str">
            <v>OUANGOLODOUGOU</v>
          </cell>
          <cell r="L569" t="str">
            <v>TCHOLOGO</v>
          </cell>
          <cell r="M569" t="str">
            <v>KORHOGO</v>
          </cell>
          <cell r="N569" t="str">
            <v>UPCOUNTRY</v>
          </cell>
        </row>
        <row r="570">
          <cell r="B570" t="str">
            <v>AC577</v>
          </cell>
          <cell r="C570" t="str">
            <v>NANIEVOGO</v>
          </cell>
          <cell r="D570" t="str">
            <v>-5.1433</v>
          </cell>
          <cell r="E570" t="str">
            <v>9.7874</v>
          </cell>
          <cell r="F570" t="str">
            <v>2G/3G/4G</v>
          </cell>
          <cell r="G570" t="str">
            <v>HUAWEI</v>
          </cell>
          <cell r="H570" t="str">
            <v>MOOV</v>
          </cell>
          <cell r="I570" t="str">
            <v>NANIEKAHA</v>
          </cell>
          <cell r="J570" t="str">
            <v>FERKESSEDOUGOU</v>
          </cell>
          <cell r="K570" t="str">
            <v>FERKESSEDOUGOU</v>
          </cell>
          <cell r="L570" t="str">
            <v>TCHOLOGO</v>
          </cell>
          <cell r="M570" t="str">
            <v>KORHOGO</v>
          </cell>
          <cell r="N570" t="str">
            <v>UPCOUNTRY</v>
          </cell>
        </row>
        <row r="571">
          <cell r="B571" t="str">
            <v>AC578</v>
          </cell>
          <cell r="C571" t="str">
            <v>NAMBINGUE</v>
          </cell>
          <cell r="D571" t="str">
            <v>-5.327538</v>
          </cell>
          <cell r="E571" t="str">
            <v>10.050803</v>
          </cell>
          <cell r="F571" t="str">
            <v>2G/3G/4G</v>
          </cell>
          <cell r="G571" t="str">
            <v>HUAWEI</v>
          </cell>
          <cell r="H571" t="str">
            <v>MOOV</v>
          </cell>
          <cell r="I571" t="str">
            <v>NAMBINGUE</v>
          </cell>
          <cell r="J571" t="str">
            <v>OUANGOLODOUGOU</v>
          </cell>
          <cell r="K571" t="str">
            <v>OUANGOLODOUGOU</v>
          </cell>
          <cell r="L571" t="str">
            <v>TCHOLOGO</v>
          </cell>
          <cell r="M571" t="str">
            <v>KORHOGO</v>
          </cell>
          <cell r="N571" t="str">
            <v>UPCOUNTRY</v>
          </cell>
        </row>
        <row r="572">
          <cell r="B572" t="str">
            <v>AC579</v>
          </cell>
          <cell r="C572" t="str">
            <v>NAFANA</v>
          </cell>
          <cell r="D572" t="str">
            <v>-4.7857</v>
          </cell>
          <cell r="E572" t="str">
            <v>9.1928</v>
          </cell>
          <cell r="F572" t="str">
            <v>2G/3G/4G</v>
          </cell>
          <cell r="G572" t="str">
            <v>HUAWEI</v>
          </cell>
          <cell r="H572" t="str">
            <v>MOOV</v>
          </cell>
          <cell r="I572" t="str">
            <v>NAFANA</v>
          </cell>
          <cell r="J572" t="str">
            <v>NAFANA</v>
          </cell>
          <cell r="K572" t="str">
            <v>KONG</v>
          </cell>
          <cell r="L572" t="str">
            <v>TCHOLOGO</v>
          </cell>
          <cell r="M572" t="str">
            <v>KORHOGO</v>
          </cell>
          <cell r="N572" t="str">
            <v>UPCOUNTRY</v>
          </cell>
        </row>
        <row r="573">
          <cell r="B573" t="str">
            <v>AC580</v>
          </cell>
          <cell r="C573" t="str">
            <v>MBENGUE</v>
          </cell>
          <cell r="D573" t="str">
            <v>-5.898789</v>
          </cell>
          <cell r="E573" t="str">
            <v>10.007874</v>
          </cell>
          <cell r="F573" t="str">
            <v>2G/3G/4G</v>
          </cell>
          <cell r="G573" t="str">
            <v>HUAWEI</v>
          </cell>
          <cell r="H573" t="str">
            <v>MOOV</v>
          </cell>
          <cell r="I573" t="str">
            <v>MBENGUE</v>
          </cell>
          <cell r="J573" t="str">
            <v>M'BENGUE</v>
          </cell>
          <cell r="K573" t="str">
            <v>M'BENGUE</v>
          </cell>
          <cell r="L573" t="str">
            <v>PORO</v>
          </cell>
          <cell r="M573" t="str">
            <v>KORHOGO</v>
          </cell>
          <cell r="N573" t="str">
            <v>UPCOUNTRY</v>
          </cell>
        </row>
        <row r="574">
          <cell r="B574" t="str">
            <v>AC581</v>
          </cell>
          <cell r="C574" t="str">
            <v>SIRASSO</v>
          </cell>
          <cell r="D574" t="str">
            <v>-6.0947</v>
          </cell>
          <cell r="E574" t="str">
            <v>9.2788</v>
          </cell>
          <cell r="F574" t="str">
            <v>2G/3G/4G</v>
          </cell>
          <cell r="G574" t="str">
            <v>HUAWEI</v>
          </cell>
          <cell r="H574" t="str">
            <v>MOOV</v>
          </cell>
          <cell r="I574" t="str">
            <v>SIRASSO</v>
          </cell>
          <cell r="J574" t="str">
            <v>SIRASSO</v>
          </cell>
          <cell r="K574" t="str">
            <v>KORHOGO</v>
          </cell>
          <cell r="L574" t="str">
            <v>PORO</v>
          </cell>
          <cell r="M574" t="str">
            <v>KORHOGO</v>
          </cell>
          <cell r="N574" t="str">
            <v>UPCOUNTRY</v>
          </cell>
        </row>
        <row r="575">
          <cell r="B575" t="str">
            <v>AC582</v>
          </cell>
          <cell r="C575" t="str">
            <v>KANOROBA</v>
          </cell>
          <cell r="D575" t="str">
            <v>-6.1209</v>
          </cell>
          <cell r="E575" t="str">
            <v>9.1099</v>
          </cell>
          <cell r="F575" t="str">
            <v>2G/3G/4G</v>
          </cell>
          <cell r="G575" t="str">
            <v>HUAWEI</v>
          </cell>
          <cell r="H575" t="str">
            <v>MOOV</v>
          </cell>
          <cell r="I575" t="str">
            <v>KANOROBA</v>
          </cell>
          <cell r="J575" t="str">
            <v>KANOROBA</v>
          </cell>
          <cell r="K575" t="str">
            <v>KORHOGO</v>
          </cell>
          <cell r="L575" t="str">
            <v>PORO</v>
          </cell>
          <cell r="M575" t="str">
            <v>KORHOGO</v>
          </cell>
          <cell r="N575" t="str">
            <v>UPCOUNTRY</v>
          </cell>
        </row>
        <row r="576">
          <cell r="B576" t="str">
            <v>AC583</v>
          </cell>
          <cell r="C576" t="str">
            <v>KANAKONO</v>
          </cell>
          <cell r="D576" t="str">
            <v>-6.242</v>
          </cell>
          <cell r="E576" t="str">
            <v>10.3563</v>
          </cell>
          <cell r="F576" t="str">
            <v>2G/3G/4G</v>
          </cell>
          <cell r="G576" t="str">
            <v>HUAWEI</v>
          </cell>
          <cell r="H576" t="str">
            <v>MOOV</v>
          </cell>
          <cell r="I576" t="str">
            <v>KANAKONO</v>
          </cell>
          <cell r="J576" t="str">
            <v>KANAKONO</v>
          </cell>
          <cell r="K576" t="str">
            <v>TENGRELA</v>
          </cell>
          <cell r="L576" t="str">
            <v>BAGOUE</v>
          </cell>
          <cell r="M576" t="str">
            <v>KORHOGO</v>
          </cell>
          <cell r="N576" t="str">
            <v>UPCOUNTRY</v>
          </cell>
        </row>
        <row r="577">
          <cell r="B577" t="str">
            <v>AC584</v>
          </cell>
          <cell r="C577" t="str">
            <v>KOLIA</v>
          </cell>
          <cell r="D577" t="str">
            <v>-6.4603</v>
          </cell>
          <cell r="E577" t="str">
            <v>9.7713</v>
          </cell>
          <cell r="F577" t="str">
            <v>2G/3G/4G</v>
          </cell>
          <cell r="G577" t="str">
            <v>HUAWEI</v>
          </cell>
          <cell r="H577" t="str">
            <v>MOOV</v>
          </cell>
          <cell r="I577" t="str">
            <v>KOLIA</v>
          </cell>
          <cell r="J577" t="str">
            <v>KOLIA</v>
          </cell>
          <cell r="K577" t="str">
            <v>KOUTO</v>
          </cell>
          <cell r="L577" t="str">
            <v>BAGOUE</v>
          </cell>
          <cell r="M577" t="str">
            <v>KORHOGO</v>
          </cell>
          <cell r="N577" t="str">
            <v>UPCOUNTRY</v>
          </cell>
        </row>
        <row r="578">
          <cell r="B578" t="str">
            <v>AC585</v>
          </cell>
          <cell r="C578" t="str">
            <v>AHOUSSIKRO</v>
          </cell>
          <cell r="D578" t="str">
            <v>-3.704833</v>
          </cell>
          <cell r="E578" t="str">
            <v>6.606444</v>
          </cell>
          <cell r="F578" t="str">
            <v>2G/3G/4G</v>
          </cell>
          <cell r="G578" t="str">
            <v>ERICSSON</v>
          </cell>
          <cell r="H578" t="str">
            <v>MOOV</v>
          </cell>
          <cell r="I578" t="str">
            <v>AHOUSSIKRO</v>
          </cell>
          <cell r="J578" t="str">
            <v>BECOUEFIN</v>
          </cell>
          <cell r="K578" t="str">
            <v>AKOUPE</v>
          </cell>
          <cell r="L578" t="str">
            <v>LA ME</v>
          </cell>
          <cell r="M578" t="str">
            <v>ABENGOUROU</v>
          </cell>
          <cell r="N578" t="str">
            <v>UPCOUNTRY</v>
          </cell>
        </row>
        <row r="579">
          <cell r="B579" t="str">
            <v>AC586</v>
          </cell>
          <cell r="C579" t="str">
            <v>ZAGNE</v>
          </cell>
          <cell r="D579" t="str">
            <v>-7.487425</v>
          </cell>
          <cell r="E579" t="str">
            <v>6.225428</v>
          </cell>
          <cell r="F579" t="str">
            <v>2G/3G/4G</v>
          </cell>
          <cell r="G579" t="str">
            <v>HUAWEI</v>
          </cell>
          <cell r="H579" t="str">
            <v>MOOV</v>
          </cell>
          <cell r="I579" t="str">
            <v>ZAGNE</v>
          </cell>
          <cell r="J579" t="str">
            <v>ZAGNE</v>
          </cell>
          <cell r="K579" t="str">
            <v>TAI</v>
          </cell>
          <cell r="L579" t="str">
            <v>CAVALLY</v>
          </cell>
          <cell r="M579" t="str">
            <v>MAN</v>
          </cell>
          <cell r="N579" t="str">
            <v>UPCOUNTRY</v>
          </cell>
        </row>
        <row r="580">
          <cell r="B580" t="str">
            <v>AC587</v>
          </cell>
          <cell r="C580" t="str">
            <v>NGUESSANKRO</v>
          </cell>
          <cell r="D580" t="str">
            <v>-5.4411381</v>
          </cell>
          <cell r="E580" t="str">
            <v>8.0003635</v>
          </cell>
          <cell r="F580" t="str">
            <v>2G/3G/4G</v>
          </cell>
          <cell r="G580" t="str">
            <v>HUAWEI</v>
          </cell>
          <cell r="H580" t="str">
            <v>MOOV</v>
          </cell>
          <cell r="I580" t="str">
            <v>AHOULIKRO</v>
          </cell>
          <cell r="J580" t="str">
            <v>N'GUESSANKRO</v>
          </cell>
          <cell r="K580" t="str">
            <v>BEOUMI</v>
          </cell>
          <cell r="L580" t="str">
            <v>GBEKE</v>
          </cell>
          <cell r="M580" t="str">
            <v>BOUAKE</v>
          </cell>
          <cell r="N580" t="str">
            <v>UPCOUNTRY</v>
          </cell>
        </row>
        <row r="581">
          <cell r="B581" t="str">
            <v>AC588</v>
          </cell>
          <cell r="C581" t="str">
            <v>OUANGOLODOUGOU</v>
          </cell>
          <cell r="D581" t="str">
            <v>-5.157748</v>
          </cell>
          <cell r="E581" t="str">
            <v>9.958611</v>
          </cell>
          <cell r="F581" t="str">
            <v>2G/3G/4G</v>
          </cell>
          <cell r="G581" t="str">
            <v>HUAWEI</v>
          </cell>
          <cell r="H581" t="str">
            <v>MOOV</v>
          </cell>
          <cell r="I581" t="str">
            <v>OUANGOLODOUGOU</v>
          </cell>
          <cell r="J581" t="str">
            <v>OUANGOLODOUGOU</v>
          </cell>
          <cell r="K581" t="str">
            <v>OUANGOLODOUGOU</v>
          </cell>
          <cell r="L581" t="str">
            <v>TCHOLOGO</v>
          </cell>
          <cell r="M581" t="str">
            <v>KORHOGO</v>
          </cell>
          <cell r="N581" t="str">
            <v>UPCOUNTRY</v>
          </cell>
        </row>
        <row r="582">
          <cell r="B582" t="str">
            <v>AC589</v>
          </cell>
          <cell r="C582" t="str">
            <v>AOUTOUE</v>
          </cell>
          <cell r="D582" t="str">
            <v>-3.80450126</v>
          </cell>
          <cell r="E582" t="str">
            <v>5.47538748</v>
          </cell>
          <cell r="F582" t="str">
            <v>2G/3G/4G</v>
          </cell>
          <cell r="G582" t="str">
            <v>ERICSSON</v>
          </cell>
          <cell r="H582" t="str">
            <v>MOOV</v>
          </cell>
          <cell r="I582" t="str">
            <v>AHOUTOUE</v>
          </cell>
          <cell r="J582" t="str">
            <v>ALEPE</v>
          </cell>
          <cell r="K582" t="str">
            <v>ALEPE</v>
          </cell>
          <cell r="L582" t="str">
            <v>LA ME</v>
          </cell>
          <cell r="M582" t="str">
            <v>ABOBO</v>
          </cell>
          <cell r="N582" t="str">
            <v>UPCOUNTRY</v>
          </cell>
        </row>
        <row r="583">
          <cell r="B583" t="str">
            <v>AC590</v>
          </cell>
          <cell r="C583" t="str">
            <v>CHC</v>
          </cell>
          <cell r="D583" t="str">
            <v>-7.6821</v>
          </cell>
          <cell r="E583" t="str">
            <v>6.186</v>
          </cell>
          <cell r="F583" t="str">
            <v>2G/3G/4G</v>
          </cell>
          <cell r="G583" t="str">
            <v>HUAWEI</v>
          </cell>
          <cell r="H583" t="str">
            <v>MOOV</v>
          </cell>
          <cell r="I583" t="str">
            <v>CHC</v>
          </cell>
          <cell r="J583" t="str">
            <v>ZAGNE</v>
          </cell>
          <cell r="K583" t="str">
            <v>TAI</v>
          </cell>
          <cell r="L583" t="str">
            <v>CAVALLY</v>
          </cell>
          <cell r="M583" t="str">
            <v>MAN</v>
          </cell>
          <cell r="N583" t="str">
            <v>UPCOUNTRY</v>
          </cell>
        </row>
        <row r="584">
          <cell r="B584" t="str">
            <v>AC591</v>
          </cell>
          <cell r="C584" t="str">
            <v>SEMAN</v>
          </cell>
          <cell r="D584" t="str">
            <v>-5.2983</v>
          </cell>
          <cell r="E584" t="str">
            <v>6.8923</v>
          </cell>
          <cell r="F584" t="str">
            <v>2G/3G/4G</v>
          </cell>
          <cell r="G584" t="str">
            <v>HUAWEI</v>
          </cell>
          <cell r="H584" t="str">
            <v>MOOV</v>
          </cell>
          <cell r="I584" t="str">
            <v>SEMAN</v>
          </cell>
          <cell r="J584" t="str">
            <v>YAMOUSSOUKRO</v>
          </cell>
          <cell r="K584" t="str">
            <v>YAMOUSSOUKRO</v>
          </cell>
          <cell r="L584" t="str">
            <v>YAMOUSSOUKRO</v>
          </cell>
          <cell r="M584" t="str">
            <v>YAMOUSSOUKRO</v>
          </cell>
          <cell r="N584" t="str">
            <v>UPCOUNTRY</v>
          </cell>
        </row>
        <row r="585">
          <cell r="B585" t="str">
            <v>AC592</v>
          </cell>
          <cell r="C585" t="str">
            <v>BAKAYO</v>
          </cell>
          <cell r="D585" t="str">
            <v>-6.4293</v>
          </cell>
          <cell r="E585" t="str">
            <v>5.9909</v>
          </cell>
          <cell r="F585" t="str">
            <v>2G/3G/4G</v>
          </cell>
          <cell r="G585" t="str">
            <v>HUAWEI</v>
          </cell>
          <cell r="H585" t="str">
            <v>MOOV</v>
          </cell>
          <cell r="I585" t="str">
            <v>BAKAYO</v>
          </cell>
          <cell r="J585" t="str">
            <v>LILIYO</v>
          </cell>
          <cell r="K585" t="str">
            <v>SOUBRE</v>
          </cell>
          <cell r="L585" t="str">
            <v>NAWA</v>
          </cell>
          <cell r="M585" t="str">
            <v>SOUBRE</v>
          </cell>
          <cell r="N585" t="str">
            <v>UPCOUNTRY</v>
          </cell>
        </row>
        <row r="586">
          <cell r="B586" t="str">
            <v>AC593</v>
          </cell>
          <cell r="C586" t="str">
            <v>GNOGBOYO</v>
          </cell>
          <cell r="D586" t="str">
            <v>-6.4063</v>
          </cell>
          <cell r="E586" t="str">
            <v>5.8706</v>
          </cell>
          <cell r="F586" t="str">
            <v>2G/3G/4G</v>
          </cell>
          <cell r="G586" t="str">
            <v>HUAWEI</v>
          </cell>
          <cell r="H586" t="str">
            <v>MOOV</v>
          </cell>
          <cell r="I586" t="str">
            <v>GNOGBOYO</v>
          </cell>
          <cell r="J586" t="str">
            <v>LILIYO</v>
          </cell>
          <cell r="K586" t="str">
            <v>SOUBRE</v>
          </cell>
          <cell r="L586" t="str">
            <v>NAWA</v>
          </cell>
          <cell r="M586" t="str">
            <v>SOUBRE</v>
          </cell>
          <cell r="N586" t="str">
            <v>UPCOUNTRY</v>
          </cell>
        </row>
        <row r="587">
          <cell r="B587" t="str">
            <v>AC594</v>
          </cell>
          <cell r="C587" t="str">
            <v>ANANGUIE</v>
          </cell>
          <cell r="D587" t="str">
            <v>-4.47634</v>
          </cell>
          <cell r="E587" t="str">
            <v>6.06039</v>
          </cell>
          <cell r="F587" t="str">
            <v>2G/3G/4G</v>
          </cell>
          <cell r="G587" t="str">
            <v>ERICSSON</v>
          </cell>
          <cell r="H587" t="str">
            <v>MOOV</v>
          </cell>
          <cell r="I587" t="str">
            <v>ANANGUIE</v>
          </cell>
          <cell r="J587" t="str">
            <v>ANANGUIE</v>
          </cell>
          <cell r="K587" t="str">
            <v>AGBOVILLE</v>
          </cell>
          <cell r="L587" t="str">
            <v>AGNEBY-TIASSA</v>
          </cell>
          <cell r="M587" t="str">
            <v>ABOBO</v>
          </cell>
          <cell r="N587" t="str">
            <v>UPCOUNTRY</v>
          </cell>
        </row>
        <row r="588">
          <cell r="B588" t="str">
            <v>AC595</v>
          </cell>
          <cell r="C588" t="str">
            <v>GOLF_HOTEL</v>
          </cell>
          <cell r="D588" t="str">
            <v>-3.972442</v>
          </cell>
          <cell r="E588" t="str">
            <v>5.329855</v>
          </cell>
          <cell r="F588" t="str">
            <v>2G/3G/4G</v>
          </cell>
          <cell r="G588" t="str">
            <v>ERICSSON</v>
          </cell>
          <cell r="H588" t="str">
            <v>MOOV</v>
          </cell>
          <cell r="I588" t="str">
            <v>COCODY</v>
          </cell>
          <cell r="J588" t="str">
            <v>ABIDJAN</v>
          </cell>
          <cell r="K588" t="str">
            <v>ABIDJAN</v>
          </cell>
          <cell r="L588" t="str">
            <v>ABIDJAN</v>
          </cell>
          <cell r="M588" t="str">
            <v>COCODY CENTRE</v>
          </cell>
          <cell r="N588" t="str">
            <v>ABIDJAN</v>
          </cell>
        </row>
        <row r="589">
          <cell r="B589" t="str">
            <v>AC596</v>
          </cell>
          <cell r="C589" t="str">
            <v>BKE_SITAB</v>
          </cell>
          <cell r="D589" t="str">
            <v>-5.0412486</v>
          </cell>
          <cell r="E589" t="str">
            <v>7.6938643</v>
          </cell>
          <cell r="F589" t="str">
            <v>2G/3G/4G</v>
          </cell>
          <cell r="G589" t="str">
            <v>HUAWEI</v>
          </cell>
          <cell r="H589" t="str">
            <v>MOOV</v>
          </cell>
          <cell r="I589" t="str">
            <v>BOUAKE</v>
          </cell>
          <cell r="J589" t="str">
            <v>BOUAKE</v>
          </cell>
          <cell r="K589" t="str">
            <v>BOUAKE</v>
          </cell>
          <cell r="L589" t="str">
            <v>GBEKE</v>
          </cell>
          <cell r="M589" t="str">
            <v>BOUAKE</v>
          </cell>
          <cell r="N589" t="str">
            <v>UPCOUNTRY</v>
          </cell>
        </row>
        <row r="590">
          <cell r="B590" t="str">
            <v>AC597</v>
          </cell>
          <cell r="C590" t="str">
            <v>BKE_UNIVERSITE</v>
          </cell>
          <cell r="D590" t="str">
            <v>-5.064216</v>
          </cell>
          <cell r="E590" t="str">
            <v>7.6847264</v>
          </cell>
          <cell r="F590" t="str">
            <v>2G/3G/4G/5G</v>
          </cell>
          <cell r="G590" t="str">
            <v>HUAWEI</v>
          </cell>
          <cell r="H590" t="str">
            <v>MOOV</v>
          </cell>
          <cell r="I590" t="str">
            <v>BOUAKE</v>
          </cell>
          <cell r="J590" t="str">
            <v>BOUAKE</v>
          </cell>
          <cell r="K590" t="str">
            <v>BOUAKE</v>
          </cell>
          <cell r="L590" t="str">
            <v>GBEKE</v>
          </cell>
          <cell r="M590" t="str">
            <v>BOUAKE</v>
          </cell>
          <cell r="N590" t="str">
            <v>UPCOUNTRY</v>
          </cell>
        </row>
        <row r="591">
          <cell r="B591" t="str">
            <v>AC598</v>
          </cell>
          <cell r="C591" t="str">
            <v>BKE_ROUTE_ZONE</v>
          </cell>
          <cell r="D591" t="str">
            <v>-5.0530362</v>
          </cell>
          <cell r="E591" t="str">
            <v>7.7185683</v>
          </cell>
          <cell r="F591" t="str">
            <v>2G/3G/4G</v>
          </cell>
          <cell r="G591" t="str">
            <v>HUAWEI</v>
          </cell>
          <cell r="H591" t="str">
            <v>MOOV</v>
          </cell>
          <cell r="I591" t="str">
            <v>BOUAKE</v>
          </cell>
          <cell r="J591" t="str">
            <v>BOUAKE</v>
          </cell>
          <cell r="K591" t="str">
            <v>BOUAKE</v>
          </cell>
          <cell r="L591" t="str">
            <v>GBEKE</v>
          </cell>
          <cell r="M591" t="str">
            <v>BOUAKE</v>
          </cell>
          <cell r="N591" t="str">
            <v>UPCOUNTRY</v>
          </cell>
        </row>
        <row r="592">
          <cell r="B592" t="str">
            <v>AC599</v>
          </cell>
          <cell r="C592" t="str">
            <v>BKE_SECRETARIAT_FN</v>
          </cell>
          <cell r="D592" t="str">
            <v>-5.0416445</v>
          </cell>
          <cell r="E592" t="str">
            <v>7.7063165</v>
          </cell>
          <cell r="F592" t="str">
            <v>2G/3G/4G</v>
          </cell>
          <cell r="G592" t="str">
            <v>HUAWEI</v>
          </cell>
          <cell r="H592" t="str">
            <v>MOOV</v>
          </cell>
          <cell r="I592" t="str">
            <v>BOUAKE</v>
          </cell>
          <cell r="J592" t="str">
            <v>BOUAKE</v>
          </cell>
          <cell r="K592" t="str">
            <v>BOUAKE</v>
          </cell>
          <cell r="L592" t="str">
            <v>GBEKE</v>
          </cell>
          <cell r="M592" t="str">
            <v>BOUAKE</v>
          </cell>
          <cell r="N592" t="str">
            <v>UPCOUNTRY</v>
          </cell>
        </row>
        <row r="593">
          <cell r="B593" t="str">
            <v>AC600</v>
          </cell>
          <cell r="C593" t="str">
            <v>BKE_SOKOURA</v>
          </cell>
          <cell r="D593" t="str">
            <v>-5.0180924</v>
          </cell>
          <cell r="E593" t="str">
            <v>7.6923861</v>
          </cell>
          <cell r="F593" t="str">
            <v>2G/3G/4G/5G</v>
          </cell>
          <cell r="G593" t="str">
            <v>HUAWEI</v>
          </cell>
          <cell r="H593" t="str">
            <v>MOOV</v>
          </cell>
          <cell r="I593" t="str">
            <v>BOUAKE</v>
          </cell>
          <cell r="J593" t="str">
            <v>BOUAKE</v>
          </cell>
          <cell r="K593" t="str">
            <v>BOUAKE</v>
          </cell>
          <cell r="L593" t="str">
            <v>GBEKE</v>
          </cell>
          <cell r="M593" t="str">
            <v>BOUAKE</v>
          </cell>
          <cell r="N593" t="str">
            <v>UPCOUNTRY</v>
          </cell>
        </row>
        <row r="594">
          <cell r="B594" t="str">
            <v>AC601</v>
          </cell>
          <cell r="C594" t="str">
            <v>BKE_RUE_19</v>
          </cell>
          <cell r="D594" t="str">
            <v>-5.0182674</v>
          </cell>
          <cell r="E594" t="str">
            <v>7.6816397</v>
          </cell>
          <cell r="F594" t="str">
            <v>2G/3G/4G/5G</v>
          </cell>
          <cell r="G594" t="str">
            <v>HUAWEI</v>
          </cell>
          <cell r="H594" t="str">
            <v>MOOV</v>
          </cell>
          <cell r="I594" t="str">
            <v>BOUAKE</v>
          </cell>
          <cell r="J594" t="str">
            <v>BOUAKE</v>
          </cell>
          <cell r="K594" t="str">
            <v>BOUAKE</v>
          </cell>
          <cell r="L594" t="str">
            <v>GBEKE</v>
          </cell>
          <cell r="M594" t="str">
            <v>BOUAKE</v>
          </cell>
          <cell r="N594" t="str">
            <v>UPCOUNTRY</v>
          </cell>
        </row>
        <row r="595">
          <cell r="B595" t="str">
            <v>AC602</v>
          </cell>
          <cell r="C595" t="str">
            <v>BKE_POINT_CARRE</v>
          </cell>
          <cell r="D595" t="str">
            <v>-5.0403437</v>
          </cell>
          <cell r="E595" t="str">
            <v>7.6815074</v>
          </cell>
          <cell r="F595" t="str">
            <v>2G/3G/4G/5G</v>
          </cell>
          <cell r="G595" t="str">
            <v>HUAWEI</v>
          </cell>
          <cell r="H595" t="str">
            <v>MOOV</v>
          </cell>
          <cell r="I595" t="str">
            <v>BOUAKE</v>
          </cell>
          <cell r="J595" t="str">
            <v>BOUAKE</v>
          </cell>
          <cell r="K595" t="str">
            <v>BOUAKE</v>
          </cell>
          <cell r="L595" t="str">
            <v>GBEKE</v>
          </cell>
          <cell r="M595" t="str">
            <v>BOUAKE</v>
          </cell>
          <cell r="N595" t="str">
            <v>UPCOUNTRY</v>
          </cell>
        </row>
        <row r="596">
          <cell r="B596" t="str">
            <v>AC603</v>
          </cell>
          <cell r="C596" t="str">
            <v>BKE_CARREFOUR_ATTO</v>
          </cell>
          <cell r="D596" t="str">
            <v>-5.032805</v>
          </cell>
          <cell r="E596" t="str">
            <v>7.7148395</v>
          </cell>
          <cell r="F596" t="str">
            <v>2G/3G/4G</v>
          </cell>
          <cell r="G596" t="str">
            <v>HUAWEI</v>
          </cell>
          <cell r="H596" t="str">
            <v>MOOV</v>
          </cell>
          <cell r="I596" t="str">
            <v>BOUAKE</v>
          </cell>
          <cell r="J596" t="str">
            <v>BOUAKE</v>
          </cell>
          <cell r="K596" t="str">
            <v>BOUAKE</v>
          </cell>
          <cell r="L596" t="str">
            <v>GBEKE</v>
          </cell>
          <cell r="M596" t="str">
            <v>BOUAKE</v>
          </cell>
          <cell r="N596" t="str">
            <v>UPCOUNTRY</v>
          </cell>
        </row>
        <row r="597">
          <cell r="B597" t="str">
            <v>AC604</v>
          </cell>
          <cell r="C597" t="str">
            <v>BKE_BELVIL3</v>
          </cell>
          <cell r="D597" t="str">
            <v>-5.0017118</v>
          </cell>
          <cell r="E597" t="str">
            <v>7.7240438</v>
          </cell>
          <cell r="F597" t="str">
            <v>2G/3G/4G</v>
          </cell>
          <cell r="G597" t="str">
            <v>HUAWEI</v>
          </cell>
          <cell r="H597" t="str">
            <v>MOOV</v>
          </cell>
          <cell r="I597" t="str">
            <v>BOUAKE</v>
          </cell>
          <cell r="J597" t="str">
            <v>BOUAKE</v>
          </cell>
          <cell r="K597" t="str">
            <v>BOUAKE</v>
          </cell>
          <cell r="L597" t="str">
            <v>GBEKE</v>
          </cell>
          <cell r="M597" t="str">
            <v>BOUAKE</v>
          </cell>
          <cell r="N597" t="str">
            <v>UPCOUNTRY</v>
          </cell>
        </row>
        <row r="598">
          <cell r="B598" t="str">
            <v>AC605</v>
          </cell>
          <cell r="C598" t="str">
            <v>BKE_TOLLAKOUADIOKRO</v>
          </cell>
          <cell r="D598" t="str">
            <v>-5.0441464</v>
          </cell>
          <cell r="E598" t="str">
            <v>7.7262133</v>
          </cell>
          <cell r="F598" t="str">
            <v>2G/3G/4G</v>
          </cell>
          <cell r="G598" t="str">
            <v>HUAWEI</v>
          </cell>
          <cell r="H598" t="str">
            <v>MOOV</v>
          </cell>
          <cell r="I598" t="str">
            <v>BOUAKE</v>
          </cell>
          <cell r="J598" t="str">
            <v>BOUAKE</v>
          </cell>
          <cell r="K598" t="str">
            <v>BOUAKE</v>
          </cell>
          <cell r="L598" t="str">
            <v>GBEKE</v>
          </cell>
          <cell r="M598" t="str">
            <v>BOUAKE</v>
          </cell>
          <cell r="N598" t="str">
            <v>UPCOUNTRY</v>
          </cell>
        </row>
        <row r="599">
          <cell r="B599" t="str">
            <v>AC606</v>
          </cell>
          <cell r="C599" t="str">
            <v>BKE_BROUKRO_EXT</v>
          </cell>
          <cell r="D599" t="str">
            <v>-5.0537094</v>
          </cell>
          <cell r="E599" t="str">
            <v>7.6735117</v>
          </cell>
          <cell r="F599" t="str">
            <v>2G/3G/4G</v>
          </cell>
          <cell r="G599" t="str">
            <v>HUAWEI</v>
          </cell>
          <cell r="H599" t="str">
            <v>MOOV</v>
          </cell>
          <cell r="I599" t="str">
            <v>BOUAKE</v>
          </cell>
          <cell r="J599" t="str">
            <v>BOUAKE</v>
          </cell>
          <cell r="K599" t="str">
            <v>BOUAKE</v>
          </cell>
          <cell r="L599" t="str">
            <v>GBEKE</v>
          </cell>
          <cell r="M599" t="str">
            <v>BOUAKE</v>
          </cell>
          <cell r="N599" t="str">
            <v>UPCOUNTRY</v>
          </cell>
        </row>
        <row r="600">
          <cell r="B600" t="str">
            <v>AC607</v>
          </cell>
          <cell r="C600" t="str">
            <v>BKE_ONUCI</v>
          </cell>
          <cell r="D600" t="str">
            <v>-5.0282533</v>
          </cell>
          <cell r="E600" t="str">
            <v>7.6611449</v>
          </cell>
          <cell r="F600" t="str">
            <v>2G/3G/4G</v>
          </cell>
          <cell r="G600" t="str">
            <v>HUAWEI</v>
          </cell>
          <cell r="H600" t="str">
            <v>MOOV</v>
          </cell>
          <cell r="I600" t="str">
            <v>BOUAKE</v>
          </cell>
          <cell r="J600" t="str">
            <v>BOUAKE</v>
          </cell>
          <cell r="K600" t="str">
            <v>BOUAKE</v>
          </cell>
          <cell r="L600" t="str">
            <v>GBEKE</v>
          </cell>
          <cell r="M600" t="str">
            <v>BOUAKE</v>
          </cell>
          <cell r="N600" t="str">
            <v>UPCOUNTRY</v>
          </cell>
        </row>
        <row r="601">
          <cell r="B601" t="str">
            <v>AC608</v>
          </cell>
          <cell r="C601" t="str">
            <v>BKE_CAMP_MIL</v>
          </cell>
          <cell r="D601" t="str">
            <v>-5.0132383</v>
          </cell>
          <cell r="E601" t="str">
            <v>7.7101539</v>
          </cell>
          <cell r="F601" t="str">
            <v>2G/3G/4G</v>
          </cell>
          <cell r="G601" t="str">
            <v>HUAWEI</v>
          </cell>
          <cell r="H601" t="str">
            <v>MOOV</v>
          </cell>
          <cell r="I601" t="str">
            <v>BOUAKE</v>
          </cell>
          <cell r="J601" t="str">
            <v>BOUAKE</v>
          </cell>
          <cell r="K601" t="str">
            <v>BOUAKE</v>
          </cell>
          <cell r="L601" t="str">
            <v>GBEKE</v>
          </cell>
          <cell r="M601" t="str">
            <v>BOUAKE</v>
          </cell>
          <cell r="N601" t="str">
            <v>UPCOUNTRY</v>
          </cell>
        </row>
        <row r="602">
          <cell r="B602" t="str">
            <v>AC609</v>
          </cell>
          <cell r="C602" t="str">
            <v>BKE_ROUTE_BEOUMI</v>
          </cell>
          <cell r="D602" t="str">
            <v>-5.0929371</v>
          </cell>
          <cell r="E602" t="str">
            <v>7.6837247</v>
          </cell>
          <cell r="F602" t="str">
            <v>2G/3G/4G</v>
          </cell>
          <cell r="G602" t="str">
            <v>HUAWEI</v>
          </cell>
          <cell r="H602" t="str">
            <v>MOOV</v>
          </cell>
          <cell r="I602" t="str">
            <v>BOUAKE</v>
          </cell>
          <cell r="J602" t="str">
            <v>BOUAKE</v>
          </cell>
          <cell r="K602" t="str">
            <v>BOUAKE</v>
          </cell>
          <cell r="L602" t="str">
            <v>GBEKE</v>
          </cell>
          <cell r="M602" t="str">
            <v>BOUAKE</v>
          </cell>
          <cell r="N602" t="str">
            <v>UPCOUNTRY</v>
          </cell>
        </row>
        <row r="603">
          <cell r="B603" t="str">
            <v>AC610</v>
          </cell>
          <cell r="C603" t="str">
            <v>BKE_CORRIDOR_ND</v>
          </cell>
          <cell r="D603" t="str">
            <v>-5.0364363</v>
          </cell>
          <cell r="E603" t="str">
            <v>7.7451717</v>
          </cell>
          <cell r="F603" t="str">
            <v>2G/3G/4G</v>
          </cell>
          <cell r="G603" t="str">
            <v>HUAWEI</v>
          </cell>
          <cell r="H603" t="str">
            <v>MOOV</v>
          </cell>
          <cell r="I603" t="str">
            <v>BOUAKE</v>
          </cell>
          <cell r="J603" t="str">
            <v>BOUAKE</v>
          </cell>
          <cell r="K603" t="str">
            <v>BOUAKE</v>
          </cell>
          <cell r="L603" t="str">
            <v>GBEKE</v>
          </cell>
          <cell r="M603" t="str">
            <v>BOUAKE</v>
          </cell>
          <cell r="N603" t="str">
            <v>UPCOUNTRY</v>
          </cell>
        </row>
        <row r="604">
          <cell r="B604" t="str">
            <v>AC611</v>
          </cell>
          <cell r="C604" t="str">
            <v>YAM_BSC</v>
          </cell>
          <cell r="D604" t="str">
            <v>-5.2427</v>
          </cell>
          <cell r="E604" t="str">
            <v>6.7939</v>
          </cell>
          <cell r="F604" t="str">
            <v>2G/3G/4G</v>
          </cell>
          <cell r="G604" t="str">
            <v>HUAWEI</v>
          </cell>
          <cell r="H604" t="str">
            <v>MOOV</v>
          </cell>
          <cell r="I604" t="str">
            <v>YAMOUSSOUKRO</v>
          </cell>
          <cell r="J604" t="str">
            <v>YAMOUSSOUKRO</v>
          </cell>
          <cell r="K604" t="str">
            <v>YAMOUSSOUKRO</v>
          </cell>
          <cell r="L604" t="str">
            <v>YAMOUSSOUKRO</v>
          </cell>
          <cell r="M604" t="str">
            <v>YAMOUSSOUKRO</v>
          </cell>
          <cell r="N604" t="str">
            <v>UPCOUNTRY</v>
          </cell>
        </row>
        <row r="605">
          <cell r="B605" t="str">
            <v>AC612</v>
          </cell>
          <cell r="C605" t="str">
            <v>GBLIGLO</v>
          </cell>
          <cell r="D605" t="str">
            <v>-7.0294</v>
          </cell>
          <cell r="E605" t="str">
            <v>6.13968</v>
          </cell>
          <cell r="F605" t="str">
            <v>2G/3G/4G</v>
          </cell>
          <cell r="G605" t="str">
            <v>HUAWEI</v>
          </cell>
          <cell r="H605" t="str">
            <v>MOOV</v>
          </cell>
          <cell r="I605" t="str">
            <v>GBLIGLO</v>
          </cell>
          <cell r="J605" t="str">
            <v>BUYO</v>
          </cell>
          <cell r="K605" t="str">
            <v>BUYO</v>
          </cell>
          <cell r="L605" t="str">
            <v>NAWA</v>
          </cell>
          <cell r="M605" t="str">
            <v>SOUBRE</v>
          </cell>
          <cell r="N605" t="str">
            <v>UPCOUNTRY</v>
          </cell>
        </row>
        <row r="606">
          <cell r="B606" t="str">
            <v>AC613</v>
          </cell>
          <cell r="C606" t="str">
            <v>YOP_BSC</v>
          </cell>
          <cell r="D606" t="str">
            <v>-4.05034</v>
          </cell>
          <cell r="E606" t="str">
            <v>5.34686</v>
          </cell>
          <cell r="F606" t="str">
            <v>2G/3G/4G</v>
          </cell>
          <cell r="G606" t="str">
            <v>ERICSSON</v>
          </cell>
          <cell r="H606" t="str">
            <v>MOOV</v>
          </cell>
          <cell r="I606" t="str">
            <v>YOPOUGON</v>
          </cell>
          <cell r="J606" t="str">
            <v>ABIDJAN</v>
          </cell>
          <cell r="K606" t="str">
            <v>ABIDJAN</v>
          </cell>
          <cell r="L606" t="str">
            <v>ABIDJAN</v>
          </cell>
          <cell r="M606" t="str">
            <v>YOPOUGON SABLE</v>
          </cell>
          <cell r="N606" t="str">
            <v>ABIDJAN</v>
          </cell>
        </row>
        <row r="607">
          <cell r="B607" t="str">
            <v>AC614</v>
          </cell>
          <cell r="C607" t="str">
            <v>ABOBO MARLEY</v>
          </cell>
          <cell r="D607" t="str">
            <v>-4.02074</v>
          </cell>
          <cell r="E607" t="str">
            <v>5.41454</v>
          </cell>
          <cell r="F607" t="str">
            <v>2G/3G/4G</v>
          </cell>
          <cell r="G607" t="str">
            <v>ERICSSON</v>
          </cell>
          <cell r="H607" t="str">
            <v>MOOV</v>
          </cell>
          <cell r="I607" t="str">
            <v>ABOBO</v>
          </cell>
          <cell r="J607" t="str">
            <v>ABIDJAN</v>
          </cell>
          <cell r="K607" t="str">
            <v>ABIDJAN</v>
          </cell>
          <cell r="L607" t="str">
            <v>ABIDJAN</v>
          </cell>
          <cell r="M607" t="str">
            <v>ABOBO</v>
          </cell>
          <cell r="N607" t="str">
            <v>ABIDJAN</v>
          </cell>
        </row>
        <row r="608">
          <cell r="B608" t="str">
            <v>AC615</v>
          </cell>
          <cell r="C608" t="str">
            <v>CITE_ATCI</v>
          </cell>
          <cell r="D608" t="str">
            <v>-3.94394</v>
          </cell>
          <cell r="E608" t="str">
            <v>5.35904</v>
          </cell>
          <cell r="F608" t="str">
            <v>2G/3G/4G</v>
          </cell>
          <cell r="G608" t="str">
            <v>ERICSSON</v>
          </cell>
          <cell r="H608" t="str">
            <v>MOOV</v>
          </cell>
          <cell r="I608" t="str">
            <v>COCODY</v>
          </cell>
          <cell r="J608" t="str">
            <v>ABIDJAN</v>
          </cell>
          <cell r="K608" t="str">
            <v>ABIDJAN</v>
          </cell>
          <cell r="L608" t="str">
            <v>ABIDJAN</v>
          </cell>
          <cell r="M608" t="str">
            <v>COCODY CENTRE</v>
          </cell>
          <cell r="N608" t="str">
            <v>ABIDJAN</v>
          </cell>
        </row>
        <row r="609">
          <cell r="B609" t="str">
            <v>AC616</v>
          </cell>
          <cell r="C609" t="str">
            <v>NOVELEC</v>
          </cell>
          <cell r="D609" t="str">
            <v>-3.9506</v>
          </cell>
          <cell r="E609" t="str">
            <v>5.29237</v>
          </cell>
          <cell r="F609" t="str">
            <v>2G/3G/4G</v>
          </cell>
          <cell r="G609" t="str">
            <v>ERICSSON</v>
          </cell>
          <cell r="H609" t="str">
            <v>MOOV</v>
          </cell>
          <cell r="I609" t="str">
            <v>KOUMASSI</v>
          </cell>
          <cell r="J609" t="str">
            <v>ABIDJAN</v>
          </cell>
          <cell r="K609" t="str">
            <v>ABIDJAN</v>
          </cell>
          <cell r="L609" t="str">
            <v>ABIDJAN</v>
          </cell>
          <cell r="M609" t="str">
            <v>MARCORY</v>
          </cell>
          <cell r="N609" t="str">
            <v>ABIDJAN</v>
          </cell>
        </row>
        <row r="610">
          <cell r="B610" t="str">
            <v>AC617</v>
          </cell>
          <cell r="C610" t="str">
            <v>ST_FRANCOIS</v>
          </cell>
          <cell r="D610" t="str">
            <v>-3.961139</v>
          </cell>
          <cell r="E610" t="str">
            <v>5.293417</v>
          </cell>
          <cell r="F610" t="str">
            <v>2G/3G/4G</v>
          </cell>
          <cell r="G610" t="str">
            <v>ERICSSON</v>
          </cell>
          <cell r="H610" t="str">
            <v>MOOV</v>
          </cell>
          <cell r="I610" t="str">
            <v>KOUMASSI</v>
          </cell>
          <cell r="J610" t="str">
            <v>ABIDJAN</v>
          </cell>
          <cell r="K610" t="str">
            <v>ABIDJAN</v>
          </cell>
          <cell r="L610" t="str">
            <v>ABIDJAN</v>
          </cell>
          <cell r="M610" t="str">
            <v>MARCORY</v>
          </cell>
          <cell r="N610" t="str">
            <v>ABIDJAN</v>
          </cell>
        </row>
        <row r="611">
          <cell r="B611" t="str">
            <v>AC618</v>
          </cell>
          <cell r="C611" t="str">
            <v>VISION_2000</v>
          </cell>
          <cell r="D611" t="str">
            <v>-3.972427</v>
          </cell>
          <cell r="E611" t="str">
            <v>5.38891</v>
          </cell>
          <cell r="F611" t="str">
            <v>2G/3G/4G</v>
          </cell>
          <cell r="G611" t="str">
            <v>ERICSSON</v>
          </cell>
          <cell r="H611" t="str">
            <v>MOOV</v>
          </cell>
          <cell r="I611" t="str">
            <v>COCODY</v>
          </cell>
          <cell r="J611" t="str">
            <v>ABIDJAN</v>
          </cell>
          <cell r="K611" t="str">
            <v>ABIDJAN</v>
          </cell>
          <cell r="L611" t="str">
            <v>ABIDJAN</v>
          </cell>
          <cell r="M611" t="str">
            <v>COCODY LATRILLE</v>
          </cell>
          <cell r="N611" t="str">
            <v>ABIDJAN</v>
          </cell>
        </row>
        <row r="612">
          <cell r="B612" t="str">
            <v>AC619</v>
          </cell>
          <cell r="C612" t="str">
            <v>LAURIER_7</v>
          </cell>
          <cell r="D612" t="str">
            <v>-3.97092</v>
          </cell>
          <cell r="E612" t="str">
            <v>5.3735</v>
          </cell>
          <cell r="F612" t="str">
            <v>2G/3G/4G</v>
          </cell>
          <cell r="G612" t="str">
            <v>ERICSSON</v>
          </cell>
          <cell r="H612" t="str">
            <v>MOOV</v>
          </cell>
          <cell r="I612" t="str">
            <v>COCODY</v>
          </cell>
          <cell r="J612" t="str">
            <v>ABIDJAN</v>
          </cell>
          <cell r="K612" t="str">
            <v>ABIDJAN</v>
          </cell>
          <cell r="L612" t="str">
            <v>ABIDJAN</v>
          </cell>
          <cell r="M612" t="str">
            <v>COCODY LATRILLE</v>
          </cell>
          <cell r="N612" t="str">
            <v>ABIDJAN</v>
          </cell>
        </row>
        <row r="613">
          <cell r="B613" t="str">
            <v>AC620</v>
          </cell>
          <cell r="C613" t="str">
            <v>COLOMBIE</v>
          </cell>
          <cell r="D613" t="str">
            <v>-4.00423</v>
          </cell>
          <cell r="E613" t="str">
            <v>5.37547</v>
          </cell>
          <cell r="F613" t="str">
            <v>2G/3G/4G</v>
          </cell>
          <cell r="G613" t="str">
            <v>ERICSSON</v>
          </cell>
          <cell r="H613" t="str">
            <v>MOOV</v>
          </cell>
          <cell r="I613" t="str">
            <v>COCODY</v>
          </cell>
          <cell r="J613" t="str">
            <v>ABIDJAN</v>
          </cell>
          <cell r="K613" t="str">
            <v>ABIDJAN</v>
          </cell>
          <cell r="L613" t="str">
            <v>ABIDJAN</v>
          </cell>
          <cell r="M613" t="str">
            <v>COCODY LATRILLE</v>
          </cell>
          <cell r="N613" t="str">
            <v>ABIDJAN</v>
          </cell>
        </row>
        <row r="614">
          <cell r="B614" t="str">
            <v>AC621</v>
          </cell>
          <cell r="C614" t="str">
            <v>GOLF_CLUB</v>
          </cell>
          <cell r="D614" t="str">
            <v>-3.96047</v>
          </cell>
          <cell r="E614" t="str">
            <v>5.33671</v>
          </cell>
          <cell r="F614" t="str">
            <v>2G/3G/4G</v>
          </cell>
          <cell r="G614" t="str">
            <v>ERICSSON</v>
          </cell>
          <cell r="H614" t="str">
            <v>IHS (OCI)</v>
          </cell>
          <cell r="I614" t="str">
            <v>COCODY</v>
          </cell>
          <cell r="J614" t="str">
            <v>ABIDJAN</v>
          </cell>
          <cell r="K614" t="str">
            <v>ABIDJAN</v>
          </cell>
          <cell r="L614" t="str">
            <v>ABIDJAN</v>
          </cell>
          <cell r="M614" t="str">
            <v>COCODY CENTRE</v>
          </cell>
          <cell r="N614" t="str">
            <v>ABIDJAN</v>
          </cell>
        </row>
        <row r="615">
          <cell r="B615" t="str">
            <v>AC622</v>
          </cell>
          <cell r="C615" t="str">
            <v>ANOUMABO</v>
          </cell>
          <cell r="D615" t="str">
            <v>-3.965611</v>
          </cell>
          <cell r="E615" t="str">
            <v>5.307372</v>
          </cell>
          <cell r="F615" t="str">
            <v>2G/3G/4G</v>
          </cell>
          <cell r="G615" t="str">
            <v>ERICSSON</v>
          </cell>
          <cell r="H615" t="str">
            <v>MOOV</v>
          </cell>
          <cell r="I615" t="str">
            <v>MARCORY</v>
          </cell>
          <cell r="J615" t="str">
            <v>ABIDJAN</v>
          </cell>
          <cell r="K615" t="str">
            <v>ABIDJAN</v>
          </cell>
          <cell r="L615" t="str">
            <v>ABIDJAN</v>
          </cell>
          <cell r="M615" t="str">
            <v>MARCORY</v>
          </cell>
          <cell r="N615" t="str">
            <v>ABIDJAN</v>
          </cell>
        </row>
        <row r="616">
          <cell r="B616" t="str">
            <v>AC623</v>
          </cell>
          <cell r="C616" t="str">
            <v>ROUTE_ATCI</v>
          </cell>
          <cell r="D616" t="str">
            <v>-3.96019</v>
          </cell>
          <cell r="E616" t="str">
            <v>5.30879</v>
          </cell>
          <cell r="F616" t="str">
            <v>2G/3G/4G</v>
          </cell>
          <cell r="G616" t="str">
            <v>ERICSSON</v>
          </cell>
          <cell r="H616" t="str">
            <v>IHS (MTN)</v>
          </cell>
          <cell r="I616" t="str">
            <v>MARCORY</v>
          </cell>
          <cell r="J616" t="str">
            <v>ABIDJAN</v>
          </cell>
          <cell r="K616" t="str">
            <v>ABIDJAN</v>
          </cell>
          <cell r="L616" t="str">
            <v>ABIDJAN</v>
          </cell>
          <cell r="M616" t="str">
            <v>MARCORY</v>
          </cell>
          <cell r="N616" t="str">
            <v>ABIDJAN</v>
          </cell>
        </row>
        <row r="617">
          <cell r="B617" t="str">
            <v>AC624</v>
          </cell>
          <cell r="C617" t="str">
            <v>KOWEIT</v>
          </cell>
          <cell r="D617" t="str">
            <v>-4.05351</v>
          </cell>
          <cell r="E617" t="str">
            <v>5.3209</v>
          </cell>
          <cell r="F617" t="str">
            <v>2G/3G/4G</v>
          </cell>
          <cell r="G617" t="str">
            <v>ERICSSON</v>
          </cell>
          <cell r="H617" t="str">
            <v>MOOV</v>
          </cell>
          <cell r="I617" t="str">
            <v>YOPOUGON</v>
          </cell>
          <cell r="J617" t="str">
            <v>ABIDJAN</v>
          </cell>
          <cell r="K617" t="str">
            <v>ABIDJAN</v>
          </cell>
          <cell r="L617" t="str">
            <v>ABIDJAN</v>
          </cell>
          <cell r="M617" t="str">
            <v>YOPOUGON SABLE</v>
          </cell>
          <cell r="N617" t="str">
            <v>ABIDJAN</v>
          </cell>
        </row>
        <row r="618">
          <cell r="B618" t="str">
            <v>AC625</v>
          </cell>
          <cell r="C618" t="str">
            <v>INJS</v>
          </cell>
          <cell r="D618" t="str">
            <v>-3.981042</v>
          </cell>
          <cell r="E618" t="str">
            <v>5.30606</v>
          </cell>
          <cell r="F618" t="str">
            <v>2G/3G/4G</v>
          </cell>
          <cell r="G618" t="str">
            <v>ERICSSON</v>
          </cell>
          <cell r="H618" t="str">
            <v>MOOV</v>
          </cell>
          <cell r="I618" t="str">
            <v>MARCORY</v>
          </cell>
          <cell r="J618" t="str">
            <v>ABIDJAN</v>
          </cell>
          <cell r="K618" t="str">
            <v>ABIDJAN</v>
          </cell>
          <cell r="L618" t="str">
            <v>ABIDJAN</v>
          </cell>
          <cell r="M618" t="str">
            <v>MARCORY</v>
          </cell>
          <cell r="N618" t="str">
            <v>ABIDJAN</v>
          </cell>
        </row>
        <row r="619">
          <cell r="B619" t="str">
            <v>AC626</v>
          </cell>
          <cell r="C619" t="str">
            <v>VATICAN</v>
          </cell>
          <cell r="D619" t="str">
            <v>-4.08118</v>
          </cell>
          <cell r="E619" t="str">
            <v>5.31324</v>
          </cell>
          <cell r="F619" t="str">
            <v>2G/3G/4G</v>
          </cell>
          <cell r="G619" t="str">
            <v>ERICSSON</v>
          </cell>
          <cell r="H619" t="str">
            <v>MOOV</v>
          </cell>
          <cell r="I619" t="str">
            <v>YOPOUGON</v>
          </cell>
          <cell r="J619" t="str">
            <v>ABIDJAN</v>
          </cell>
          <cell r="K619" t="str">
            <v>ABIDJAN</v>
          </cell>
          <cell r="L619" t="str">
            <v>ABIDJAN</v>
          </cell>
          <cell r="M619" t="str">
            <v>YOPOUGON FICGAYO</v>
          </cell>
          <cell r="N619" t="str">
            <v>ABIDJAN</v>
          </cell>
        </row>
        <row r="620">
          <cell r="B620" t="str">
            <v>AC627</v>
          </cell>
          <cell r="C620" t="str">
            <v>MAGASIN</v>
          </cell>
          <cell r="D620" t="str">
            <v>-4.083972</v>
          </cell>
          <cell r="E620" t="str">
            <v>5.333305556</v>
          </cell>
          <cell r="F620" t="str">
            <v>2G/3G/4G</v>
          </cell>
          <cell r="G620" t="str">
            <v>ERICSSON</v>
          </cell>
          <cell r="H620" t="str">
            <v>IHS</v>
          </cell>
          <cell r="I620" t="str">
            <v>YOPOUGON</v>
          </cell>
          <cell r="J620" t="str">
            <v>ABIDJAN</v>
          </cell>
          <cell r="K620" t="str">
            <v>ABIDJAN</v>
          </cell>
          <cell r="L620" t="str">
            <v>ABIDJAN</v>
          </cell>
          <cell r="M620" t="str">
            <v>YOPOUGON FICGAYO</v>
          </cell>
          <cell r="N620" t="str">
            <v>ABIDJAN</v>
          </cell>
        </row>
        <row r="621">
          <cell r="B621" t="str">
            <v>AC628</v>
          </cell>
          <cell r="C621" t="str">
            <v>MICAO</v>
          </cell>
          <cell r="D621" t="str">
            <v>-4.0976</v>
          </cell>
          <cell r="E621" t="str">
            <v>5.37986</v>
          </cell>
          <cell r="F621" t="str">
            <v>2G/3G/4G</v>
          </cell>
          <cell r="G621" t="str">
            <v>ERICSSON</v>
          </cell>
          <cell r="H621" t="str">
            <v>MOOV</v>
          </cell>
          <cell r="I621" t="str">
            <v>YOPOUGON</v>
          </cell>
          <cell r="J621" t="str">
            <v>ABIDJAN</v>
          </cell>
          <cell r="K621" t="str">
            <v>ABIDJAN</v>
          </cell>
          <cell r="L621" t="str">
            <v>ABIDJAN</v>
          </cell>
          <cell r="M621" t="str">
            <v>YOPOUGON SABLE</v>
          </cell>
          <cell r="N621" t="str">
            <v>ABIDJAN</v>
          </cell>
        </row>
        <row r="622">
          <cell r="B622" t="str">
            <v>AC629</v>
          </cell>
          <cell r="C622" t="str">
            <v>ASSONVON</v>
          </cell>
          <cell r="D622" t="str">
            <v>-4.0663</v>
          </cell>
          <cell r="E622" t="str">
            <v>5.3327</v>
          </cell>
          <cell r="F622" t="str">
            <v>2G/3G/4G</v>
          </cell>
          <cell r="G622" t="str">
            <v>ERICSSON</v>
          </cell>
          <cell r="H622" t="str">
            <v>MOOV</v>
          </cell>
          <cell r="I622" t="str">
            <v>YOPOUGON</v>
          </cell>
          <cell r="J622" t="str">
            <v>ABIDJAN</v>
          </cell>
          <cell r="K622" t="str">
            <v>ABIDJAN</v>
          </cell>
          <cell r="L622" t="str">
            <v>ABIDJAN</v>
          </cell>
          <cell r="M622" t="str">
            <v>YOPOUGON SABLE</v>
          </cell>
          <cell r="N622" t="str">
            <v>ABIDJAN</v>
          </cell>
        </row>
        <row r="623">
          <cell r="B623" t="str">
            <v>AC630</v>
          </cell>
          <cell r="C623" t="str">
            <v>PALLIER</v>
          </cell>
          <cell r="D623" t="str">
            <v>-4.01305</v>
          </cell>
          <cell r="E623" t="str">
            <v>5.37765</v>
          </cell>
          <cell r="F623" t="str">
            <v>2G/3G/4G</v>
          </cell>
          <cell r="G623" t="str">
            <v>ERICSSON</v>
          </cell>
          <cell r="H623" t="str">
            <v>MOOV</v>
          </cell>
          <cell r="I623" t="str">
            <v>ADJAME</v>
          </cell>
          <cell r="J623" t="str">
            <v>ABIDJAN</v>
          </cell>
          <cell r="K623" t="str">
            <v>ABIDJAN</v>
          </cell>
          <cell r="L623" t="str">
            <v>ABIDJAN</v>
          </cell>
          <cell r="M623" t="str">
            <v>PLATEAU</v>
          </cell>
          <cell r="N623" t="str">
            <v>ABIDJAN</v>
          </cell>
        </row>
        <row r="624">
          <cell r="B624" t="str">
            <v>AC631</v>
          </cell>
          <cell r="C624" t="str">
            <v>OSCAR</v>
          </cell>
          <cell r="D624" t="str">
            <v>-3.99305</v>
          </cell>
          <cell r="E624" t="str">
            <v>5.39282</v>
          </cell>
          <cell r="F624" t="str">
            <v>2G/3G/4G</v>
          </cell>
          <cell r="G624" t="str">
            <v>ERICSSON</v>
          </cell>
          <cell r="H624" t="str">
            <v>MOOV</v>
          </cell>
          <cell r="I624" t="str">
            <v>COCODY</v>
          </cell>
          <cell r="J624" t="str">
            <v>ABIDJAN</v>
          </cell>
          <cell r="K624" t="str">
            <v>ABIDJAN</v>
          </cell>
          <cell r="L624" t="str">
            <v>ABIDJAN</v>
          </cell>
          <cell r="M624" t="str">
            <v>COCODY LATRILLE</v>
          </cell>
          <cell r="N624" t="str">
            <v>ABIDJAN</v>
          </cell>
        </row>
        <row r="625">
          <cell r="B625" t="str">
            <v>AC632</v>
          </cell>
          <cell r="C625" t="str">
            <v>ROSIER_4</v>
          </cell>
          <cell r="D625" t="str">
            <v>-3.96071</v>
          </cell>
          <cell r="E625" t="str">
            <v>5.38479</v>
          </cell>
          <cell r="F625" t="str">
            <v>2G/3G/4G</v>
          </cell>
          <cell r="G625" t="str">
            <v>ERICSSON</v>
          </cell>
          <cell r="H625" t="str">
            <v>MOOV</v>
          </cell>
          <cell r="I625" t="str">
            <v>COCODY</v>
          </cell>
          <cell r="J625" t="str">
            <v>ABIDJAN</v>
          </cell>
          <cell r="K625" t="str">
            <v>ABIDJAN</v>
          </cell>
          <cell r="L625" t="str">
            <v>ABIDJAN</v>
          </cell>
          <cell r="M625" t="str">
            <v>COCODY LATRILLE</v>
          </cell>
          <cell r="N625" t="str">
            <v>ABIDJAN</v>
          </cell>
        </row>
        <row r="626">
          <cell r="B626" t="str">
            <v>AC633</v>
          </cell>
          <cell r="C626" t="str">
            <v>EFYM</v>
          </cell>
          <cell r="D626" t="str">
            <v>-3.9079</v>
          </cell>
          <cell r="E626" t="str">
            <v>5.25</v>
          </cell>
          <cell r="F626" t="str">
            <v>2G/3G/4G</v>
          </cell>
          <cell r="G626" t="str">
            <v>HUAWEI</v>
          </cell>
          <cell r="H626" t="str">
            <v>IHS (OCI)</v>
          </cell>
          <cell r="I626" t="str">
            <v>PORT-BOUET</v>
          </cell>
          <cell r="J626" t="str">
            <v>ABIDJAN</v>
          </cell>
          <cell r="K626" t="str">
            <v>ABIDJAN</v>
          </cell>
          <cell r="L626" t="str">
            <v>ABIDJAN</v>
          </cell>
          <cell r="M626" t="str">
            <v>MARCORY</v>
          </cell>
          <cell r="N626" t="str">
            <v>ABIDJAN</v>
          </cell>
        </row>
        <row r="627">
          <cell r="B627" t="str">
            <v>AC634</v>
          </cell>
          <cell r="C627" t="str">
            <v>ABINADER</v>
          </cell>
          <cell r="D627" t="str">
            <v>-3.94979</v>
          </cell>
          <cell r="E627" t="str">
            <v>5.37431</v>
          </cell>
          <cell r="F627" t="str">
            <v>2G/3G/4G</v>
          </cell>
          <cell r="G627" t="str">
            <v>ERICSSON</v>
          </cell>
          <cell r="H627" t="str">
            <v>MOOV</v>
          </cell>
          <cell r="I627" t="str">
            <v>COCODY</v>
          </cell>
          <cell r="J627" t="str">
            <v>ABIDJAN</v>
          </cell>
          <cell r="K627" t="str">
            <v>ABIDJAN</v>
          </cell>
          <cell r="L627" t="str">
            <v>ABIDJAN</v>
          </cell>
          <cell r="M627" t="str">
            <v>COCODY LATRILLE</v>
          </cell>
          <cell r="N627" t="str">
            <v>ABIDJAN</v>
          </cell>
        </row>
        <row r="628">
          <cell r="B628" t="str">
            <v>AC635</v>
          </cell>
          <cell r="C628" t="str">
            <v>WORLD_PARTNER</v>
          </cell>
          <cell r="D628" t="str">
            <v>-3.946853</v>
          </cell>
          <cell r="E628" t="str">
            <v>5.337302</v>
          </cell>
          <cell r="F628" t="str">
            <v>2G/3G/4G</v>
          </cell>
          <cell r="G628" t="str">
            <v>ERICSSON</v>
          </cell>
          <cell r="H628" t="str">
            <v>MOOV</v>
          </cell>
          <cell r="I628" t="str">
            <v>COCODY</v>
          </cell>
          <cell r="J628" t="str">
            <v>ABIDJAN</v>
          </cell>
          <cell r="K628" t="str">
            <v>ABIDJAN</v>
          </cell>
          <cell r="L628" t="str">
            <v>ABIDJAN</v>
          </cell>
          <cell r="M628" t="str">
            <v>COCODY CENTRE</v>
          </cell>
          <cell r="N628" t="str">
            <v>ABIDJAN</v>
          </cell>
        </row>
        <row r="629">
          <cell r="B629" t="str">
            <v>AC636</v>
          </cell>
          <cell r="C629" t="str">
            <v>ANGRE_COLLEGE</v>
          </cell>
          <cell r="D629" t="str">
            <v>-3.979695</v>
          </cell>
          <cell r="E629" t="str">
            <v>5.408687</v>
          </cell>
          <cell r="F629" t="str">
            <v>2G/3G/4G</v>
          </cell>
          <cell r="G629" t="str">
            <v>ERICSSON</v>
          </cell>
          <cell r="H629" t="str">
            <v>IHS (MTN)</v>
          </cell>
          <cell r="I629" t="str">
            <v>COCODY</v>
          </cell>
          <cell r="J629" t="str">
            <v>ABIDJAN</v>
          </cell>
          <cell r="K629" t="str">
            <v>ABIDJAN</v>
          </cell>
          <cell r="L629" t="str">
            <v>ABIDJAN</v>
          </cell>
          <cell r="M629" t="str">
            <v>COCODY LATRILLE</v>
          </cell>
          <cell r="N629" t="str">
            <v>ABIDJAN</v>
          </cell>
        </row>
        <row r="630">
          <cell r="B630" t="str">
            <v>AC637</v>
          </cell>
          <cell r="C630" t="str">
            <v>AKEIKOI</v>
          </cell>
          <cell r="D630" t="str">
            <v>-4.0145</v>
          </cell>
          <cell r="E630" t="str">
            <v>5.45249</v>
          </cell>
          <cell r="F630" t="str">
            <v>2G/3G/4G</v>
          </cell>
          <cell r="G630" t="str">
            <v>ERICSSON</v>
          </cell>
          <cell r="H630" t="str">
            <v>MOOV</v>
          </cell>
          <cell r="I630" t="str">
            <v>ABOBO</v>
          </cell>
          <cell r="J630" t="str">
            <v>ABIDJAN</v>
          </cell>
          <cell r="K630" t="str">
            <v>ABIDJAN</v>
          </cell>
          <cell r="L630" t="str">
            <v>ABIDJAN</v>
          </cell>
          <cell r="M630" t="str">
            <v>ABOBO</v>
          </cell>
          <cell r="N630" t="str">
            <v>ABIDJAN</v>
          </cell>
        </row>
        <row r="631">
          <cell r="B631" t="str">
            <v>AC638</v>
          </cell>
          <cell r="C631" t="str">
            <v>PK18_ANANERAIE</v>
          </cell>
          <cell r="D631" t="str">
            <v>-4.04935</v>
          </cell>
          <cell r="E631" t="str">
            <v>5.45777</v>
          </cell>
          <cell r="F631" t="str">
            <v>2G/3G/4G</v>
          </cell>
          <cell r="G631" t="str">
            <v>ERICSSON</v>
          </cell>
          <cell r="H631" t="str">
            <v>MOOV</v>
          </cell>
          <cell r="I631" t="str">
            <v>ABOBO</v>
          </cell>
          <cell r="J631" t="str">
            <v>ABIDJAN</v>
          </cell>
          <cell r="K631" t="str">
            <v>ABIDJAN</v>
          </cell>
          <cell r="L631" t="str">
            <v>ABIDJAN</v>
          </cell>
          <cell r="M631" t="str">
            <v>ABOBO</v>
          </cell>
          <cell r="N631" t="str">
            <v>ABIDJAN</v>
          </cell>
        </row>
        <row r="632">
          <cell r="B632" t="str">
            <v>AC639</v>
          </cell>
          <cell r="C632" t="str">
            <v>CITE_SINACACI</v>
          </cell>
          <cell r="D632" t="str">
            <v>-3.94632</v>
          </cell>
          <cell r="E632" t="str">
            <v>5.34206</v>
          </cell>
          <cell r="F632" t="str">
            <v>2G/3G/4G</v>
          </cell>
          <cell r="G632" t="str">
            <v>ERICSSON</v>
          </cell>
          <cell r="H632" t="str">
            <v>MOOV</v>
          </cell>
          <cell r="I632" t="str">
            <v>COCODY</v>
          </cell>
          <cell r="J632" t="str">
            <v>ABIDJAN</v>
          </cell>
          <cell r="K632" t="str">
            <v>ABIDJAN</v>
          </cell>
          <cell r="L632" t="str">
            <v>ABIDJAN</v>
          </cell>
          <cell r="M632" t="str">
            <v>COCODY CENTRE</v>
          </cell>
          <cell r="N632" t="str">
            <v>ABIDJAN</v>
          </cell>
        </row>
        <row r="633">
          <cell r="B633" t="str">
            <v>AC641</v>
          </cell>
          <cell r="C633" t="str">
            <v>CSP</v>
          </cell>
          <cell r="D633" t="str">
            <v>-3.99149</v>
          </cell>
          <cell r="E633" t="str">
            <v>5.34724</v>
          </cell>
          <cell r="F633" t="str">
            <v>2G/3G/4G</v>
          </cell>
          <cell r="G633" t="str">
            <v>ERICSSON</v>
          </cell>
          <cell r="H633" t="str">
            <v>MOOV</v>
          </cell>
          <cell r="I633" t="str">
            <v>COCODY</v>
          </cell>
          <cell r="J633" t="str">
            <v>ABIDJAN</v>
          </cell>
          <cell r="K633" t="str">
            <v>ABIDJAN</v>
          </cell>
          <cell r="L633" t="str">
            <v>ABIDJAN</v>
          </cell>
          <cell r="M633" t="str">
            <v>COCODY CENTRE</v>
          </cell>
          <cell r="N633" t="str">
            <v>ABIDJAN</v>
          </cell>
        </row>
        <row r="634">
          <cell r="B634" t="str">
            <v>AC642</v>
          </cell>
          <cell r="C634" t="str">
            <v>ALLOKOI</v>
          </cell>
          <cell r="D634" t="str">
            <v>-4.15192</v>
          </cell>
          <cell r="E634" t="str">
            <v>5.39468</v>
          </cell>
          <cell r="F634" t="str">
            <v>2G/3G/4G</v>
          </cell>
          <cell r="G634" t="str">
            <v>ERICSSON</v>
          </cell>
          <cell r="H634" t="str">
            <v>MOOV</v>
          </cell>
          <cell r="I634" t="str">
            <v>ATTINGUIE</v>
          </cell>
          <cell r="J634" t="str">
            <v>ANYAMA</v>
          </cell>
          <cell r="K634" t="str">
            <v>ABIDJAN</v>
          </cell>
          <cell r="L634" t="str">
            <v>ABIDJAN</v>
          </cell>
          <cell r="M634" t="str">
            <v>YOPOUGON SABLE</v>
          </cell>
          <cell r="N634" t="str">
            <v>ABIDJAN</v>
          </cell>
        </row>
        <row r="635">
          <cell r="B635" t="str">
            <v>AC643</v>
          </cell>
          <cell r="C635" t="str">
            <v>ORLEON</v>
          </cell>
          <cell r="D635" t="str">
            <v>-4.11101</v>
          </cell>
          <cell r="E635" t="str">
            <v>5.32558</v>
          </cell>
          <cell r="F635" t="str">
            <v>2G/3G/4G</v>
          </cell>
          <cell r="G635" t="str">
            <v>ERICSSON</v>
          </cell>
          <cell r="H635" t="str">
            <v>IHS (OCI)</v>
          </cell>
          <cell r="I635" t="str">
            <v>YOPOUGON</v>
          </cell>
          <cell r="J635" t="str">
            <v>ABIDJAN</v>
          </cell>
          <cell r="K635" t="str">
            <v>ABIDJAN</v>
          </cell>
          <cell r="L635" t="str">
            <v>ABIDJAN</v>
          </cell>
          <cell r="M635" t="str">
            <v>YOPOUGON FICGAYO</v>
          </cell>
          <cell r="N635" t="str">
            <v>ABIDJAN</v>
          </cell>
        </row>
        <row r="636">
          <cell r="B636" t="str">
            <v>AC644</v>
          </cell>
          <cell r="C636" t="str">
            <v>CARR_ANTENNE</v>
          </cell>
          <cell r="D636" t="str">
            <v>-4.0975</v>
          </cell>
          <cell r="E636" t="str">
            <v>5.33279</v>
          </cell>
          <cell r="F636" t="str">
            <v>2G/3G/4G</v>
          </cell>
          <cell r="G636" t="str">
            <v>ERICSSON</v>
          </cell>
          <cell r="H636" t="str">
            <v>MOOV</v>
          </cell>
          <cell r="I636" t="str">
            <v>YOPOUGON</v>
          </cell>
          <cell r="J636" t="str">
            <v>ABIDJAN</v>
          </cell>
          <cell r="K636" t="str">
            <v>ABIDJAN</v>
          </cell>
          <cell r="L636" t="str">
            <v>ABIDJAN</v>
          </cell>
          <cell r="M636" t="str">
            <v>YOPOUGON FICGAYO</v>
          </cell>
          <cell r="N636" t="str">
            <v>ABIDJAN</v>
          </cell>
        </row>
        <row r="637">
          <cell r="B637" t="str">
            <v>AC645</v>
          </cell>
          <cell r="C637" t="str">
            <v>LOKOUA</v>
          </cell>
          <cell r="D637" t="str">
            <v>-4.10659</v>
          </cell>
          <cell r="E637" t="str">
            <v>5.31272</v>
          </cell>
          <cell r="F637" t="str">
            <v>2G/3G/4G</v>
          </cell>
          <cell r="G637" t="str">
            <v>ERICSSON</v>
          </cell>
          <cell r="H637" t="str">
            <v>MOOV</v>
          </cell>
          <cell r="I637" t="str">
            <v>YOPOUGON</v>
          </cell>
          <cell r="J637" t="str">
            <v>ABIDJAN</v>
          </cell>
          <cell r="K637" t="str">
            <v>ABIDJAN</v>
          </cell>
          <cell r="L637" t="str">
            <v>ABIDJAN</v>
          </cell>
          <cell r="M637" t="str">
            <v>YOPOUGON FICGAYO</v>
          </cell>
          <cell r="N637" t="str">
            <v>ABIDJAN</v>
          </cell>
        </row>
        <row r="638">
          <cell r="B638" t="str">
            <v>AC646</v>
          </cell>
          <cell r="C638" t="str">
            <v>CITE_SIR</v>
          </cell>
          <cell r="D638" t="str">
            <v>-3.92994</v>
          </cell>
          <cell r="E638" t="str">
            <v>5.39175</v>
          </cell>
          <cell r="F638" t="str">
            <v>2G/3G/4G</v>
          </cell>
          <cell r="G638" t="str">
            <v>ERICSSON</v>
          </cell>
          <cell r="H638" t="str">
            <v>MOOV</v>
          </cell>
          <cell r="I638" t="str">
            <v>BINGERVILLE</v>
          </cell>
          <cell r="J638" t="str">
            <v>BINGERVILLE</v>
          </cell>
          <cell r="K638" t="str">
            <v>ABIDJAN</v>
          </cell>
          <cell r="L638" t="str">
            <v>ABIDJAN</v>
          </cell>
          <cell r="M638" t="str">
            <v>COCODY LATRILLE</v>
          </cell>
          <cell r="N638" t="str">
            <v>ABIDJAN</v>
          </cell>
        </row>
        <row r="639">
          <cell r="B639" t="str">
            <v>AC647</v>
          </cell>
          <cell r="C639" t="str">
            <v>AGBAN</v>
          </cell>
          <cell r="D639" t="str">
            <v>-4.0084</v>
          </cell>
          <cell r="E639" t="str">
            <v>5.3622</v>
          </cell>
          <cell r="F639" t="str">
            <v>2G/3G/4G</v>
          </cell>
          <cell r="G639" t="str">
            <v>ERICSSON</v>
          </cell>
          <cell r="H639" t="str">
            <v>MOOV</v>
          </cell>
          <cell r="I639" t="str">
            <v>COCODY</v>
          </cell>
          <cell r="J639" t="str">
            <v>ABIDJAN</v>
          </cell>
          <cell r="K639" t="str">
            <v>ABIDJAN</v>
          </cell>
          <cell r="L639" t="str">
            <v>ABIDJAN</v>
          </cell>
          <cell r="M639" t="str">
            <v>COCODY LATRILLE</v>
          </cell>
          <cell r="N639" t="str">
            <v>ABIDJAN</v>
          </cell>
        </row>
        <row r="640">
          <cell r="B640" t="str">
            <v>AC648</v>
          </cell>
          <cell r="C640" t="str">
            <v>LAURIER_9</v>
          </cell>
          <cell r="D640" t="str">
            <v>-3.9303</v>
          </cell>
          <cell r="E640" t="str">
            <v>5.36281</v>
          </cell>
          <cell r="F640" t="str">
            <v>2G/3G/4G</v>
          </cell>
          <cell r="G640" t="str">
            <v>ERICSSON</v>
          </cell>
          <cell r="H640" t="str">
            <v>MOOV</v>
          </cell>
          <cell r="I640" t="str">
            <v>BINGERVILLE</v>
          </cell>
          <cell r="J640" t="str">
            <v>BINGERVILLE</v>
          </cell>
          <cell r="K640" t="str">
            <v>ABIDJAN</v>
          </cell>
          <cell r="L640" t="str">
            <v>ABIDJAN</v>
          </cell>
          <cell r="M640" t="str">
            <v>COCODY CENTRE</v>
          </cell>
          <cell r="N640" t="str">
            <v>ABIDJAN</v>
          </cell>
        </row>
        <row r="641">
          <cell r="B641" t="str">
            <v>AC649</v>
          </cell>
          <cell r="C641" t="str">
            <v>MANGUIER</v>
          </cell>
          <cell r="D641" t="str">
            <v>-3.99537</v>
          </cell>
          <cell r="E641" t="str">
            <v>5.40448</v>
          </cell>
          <cell r="F641" t="str">
            <v>2G/3G/4G</v>
          </cell>
          <cell r="G641" t="str">
            <v>ERICSSON</v>
          </cell>
          <cell r="H641" t="str">
            <v>MOOV</v>
          </cell>
          <cell r="I641" t="str">
            <v>COCODY</v>
          </cell>
          <cell r="J641" t="str">
            <v>ABIDJAN</v>
          </cell>
          <cell r="K641" t="str">
            <v>ABIDJAN</v>
          </cell>
          <cell r="L641" t="str">
            <v>ABIDJAN</v>
          </cell>
          <cell r="M641" t="str">
            <v>COCODY LATRILLE</v>
          </cell>
          <cell r="N641" t="str">
            <v>ABIDJAN</v>
          </cell>
        </row>
        <row r="642">
          <cell r="B642" t="str">
            <v>AC650</v>
          </cell>
          <cell r="C642" t="str">
            <v>COCO_SERVICE</v>
          </cell>
          <cell r="D642" t="str">
            <v>-4.0102</v>
          </cell>
          <cell r="E642" t="str">
            <v>5.39532</v>
          </cell>
          <cell r="F642" t="str">
            <v>2G/3G/4G</v>
          </cell>
          <cell r="G642" t="str">
            <v>ERICSSON</v>
          </cell>
          <cell r="H642" t="str">
            <v>MOOV</v>
          </cell>
          <cell r="I642" t="str">
            <v>ABOBO</v>
          </cell>
          <cell r="J642" t="str">
            <v>ABIDJAN</v>
          </cell>
          <cell r="K642" t="str">
            <v>ABIDJAN</v>
          </cell>
          <cell r="L642" t="str">
            <v>ABIDJAN</v>
          </cell>
          <cell r="M642" t="str">
            <v>ABOBO</v>
          </cell>
          <cell r="N642" t="str">
            <v>ABIDJAN</v>
          </cell>
        </row>
        <row r="643">
          <cell r="B643" t="str">
            <v>AC651</v>
          </cell>
          <cell r="C643" t="str">
            <v>CASA</v>
          </cell>
          <cell r="D643" t="str">
            <v>-4.0001</v>
          </cell>
          <cell r="E643" t="str">
            <v>5.3665</v>
          </cell>
          <cell r="F643" t="str">
            <v>2G/3G/4G</v>
          </cell>
          <cell r="G643" t="str">
            <v>ERICSSON</v>
          </cell>
          <cell r="H643" t="str">
            <v>MOOV</v>
          </cell>
          <cell r="I643" t="str">
            <v>COCODY</v>
          </cell>
          <cell r="J643" t="str">
            <v>ABIDJAN</v>
          </cell>
          <cell r="K643" t="str">
            <v>ABIDJAN</v>
          </cell>
          <cell r="L643" t="str">
            <v>ABIDJAN</v>
          </cell>
          <cell r="M643" t="str">
            <v>COCODY LATRILLE</v>
          </cell>
          <cell r="N643" t="str">
            <v>ABIDJAN</v>
          </cell>
        </row>
        <row r="644">
          <cell r="B644" t="str">
            <v>AC652</v>
          </cell>
          <cell r="C644" t="str">
            <v>AZITO_AKWABA</v>
          </cell>
          <cell r="D644" t="str">
            <v>-4.08846</v>
          </cell>
          <cell r="E644" t="str">
            <v>5.31159</v>
          </cell>
          <cell r="F644" t="str">
            <v>2G/3G/4G</v>
          </cell>
          <cell r="G644" t="str">
            <v>ERICSSON</v>
          </cell>
          <cell r="H644" t="str">
            <v>MOOV</v>
          </cell>
          <cell r="I644" t="str">
            <v>YOPOUGON</v>
          </cell>
          <cell r="J644" t="str">
            <v>ABIDJAN</v>
          </cell>
          <cell r="K644" t="str">
            <v>ABIDJAN</v>
          </cell>
          <cell r="L644" t="str">
            <v>ABIDJAN</v>
          </cell>
          <cell r="M644" t="str">
            <v>YOPOUGON FICGAYO</v>
          </cell>
          <cell r="N644" t="str">
            <v>ABIDJAN</v>
          </cell>
        </row>
        <row r="645">
          <cell r="B645" t="str">
            <v>AC653</v>
          </cell>
          <cell r="C645" t="str">
            <v>LOKO</v>
          </cell>
          <cell r="D645" t="str">
            <v>-3.98616</v>
          </cell>
          <cell r="E645" t="str">
            <v>5.31072</v>
          </cell>
          <cell r="F645" t="str">
            <v>2G/3G/4G</v>
          </cell>
          <cell r="G645" t="str">
            <v>ERICSSON</v>
          </cell>
          <cell r="H645" t="str">
            <v>MOOV</v>
          </cell>
          <cell r="I645" t="str">
            <v>MARCORY</v>
          </cell>
          <cell r="J645" t="str">
            <v>ABIDJAN</v>
          </cell>
          <cell r="K645" t="str">
            <v>ABIDJAN</v>
          </cell>
          <cell r="L645" t="str">
            <v>ABIDJAN</v>
          </cell>
          <cell r="M645" t="str">
            <v>MARCORY</v>
          </cell>
          <cell r="N645" t="str">
            <v>ABIDJAN</v>
          </cell>
        </row>
        <row r="646">
          <cell r="B646" t="str">
            <v>AC654</v>
          </cell>
          <cell r="C646" t="str">
            <v>SAMCO</v>
          </cell>
          <cell r="D646" t="str">
            <v>-3.978778</v>
          </cell>
          <cell r="E646" t="str">
            <v>5.28125</v>
          </cell>
          <cell r="F646" t="str">
            <v>2G/3G/4G</v>
          </cell>
          <cell r="G646" t="str">
            <v>ERICSSON</v>
          </cell>
          <cell r="H646" t="str">
            <v>MOOV</v>
          </cell>
          <cell r="I646" t="str">
            <v>MARCORY</v>
          </cell>
          <cell r="J646" t="str">
            <v>ABIDJAN</v>
          </cell>
          <cell r="K646" t="str">
            <v>ABIDJAN</v>
          </cell>
          <cell r="L646" t="str">
            <v>ABIDJAN</v>
          </cell>
          <cell r="M646" t="str">
            <v>MARCORY</v>
          </cell>
          <cell r="N646" t="str">
            <v>ABIDJAN</v>
          </cell>
        </row>
        <row r="647">
          <cell r="B647" t="str">
            <v>AC655</v>
          </cell>
          <cell r="C647" t="str">
            <v>AHOUE</v>
          </cell>
          <cell r="D647" t="str">
            <v>-3.946611</v>
          </cell>
          <cell r="E647" t="str">
            <v>5.495417</v>
          </cell>
          <cell r="F647" t="str">
            <v>2G/3G/4G</v>
          </cell>
          <cell r="G647" t="str">
            <v>ERICSSON</v>
          </cell>
          <cell r="H647" t="str">
            <v>MOOV</v>
          </cell>
          <cell r="I647" t="str">
            <v>AHOUE</v>
          </cell>
          <cell r="J647" t="str">
            <v>BROFODOUME</v>
          </cell>
          <cell r="K647" t="str">
            <v>ABIDJAN</v>
          </cell>
          <cell r="L647" t="str">
            <v>ABIDJAN</v>
          </cell>
          <cell r="M647" t="str">
            <v>ABOBO</v>
          </cell>
          <cell r="N647" t="str">
            <v>ABIDJAN</v>
          </cell>
        </row>
        <row r="648">
          <cell r="B648" t="str">
            <v>AC656</v>
          </cell>
          <cell r="C648" t="str">
            <v>NEUVIEME_TRANCHE</v>
          </cell>
          <cell r="D648" t="str">
            <v>-3.97665</v>
          </cell>
          <cell r="E648" t="str">
            <v>5.3875</v>
          </cell>
          <cell r="F648" t="str">
            <v>2G/3G/4G</v>
          </cell>
          <cell r="G648" t="str">
            <v>ERICSSON</v>
          </cell>
          <cell r="H648" t="str">
            <v>MOOV</v>
          </cell>
          <cell r="I648" t="str">
            <v>COCODY</v>
          </cell>
          <cell r="J648" t="str">
            <v>ABIDJAN</v>
          </cell>
          <cell r="K648" t="str">
            <v>ABIDJAN</v>
          </cell>
          <cell r="L648" t="str">
            <v>ABIDJAN</v>
          </cell>
          <cell r="M648" t="str">
            <v>COCODY LATRILLE</v>
          </cell>
          <cell r="N648" t="str">
            <v>ABIDJAN</v>
          </cell>
        </row>
        <row r="649">
          <cell r="B649" t="str">
            <v>AC657</v>
          </cell>
          <cell r="C649" t="str">
            <v>CAR_DJEDJE_MADY</v>
          </cell>
          <cell r="D649" t="str">
            <v>-3.969187</v>
          </cell>
          <cell r="E649" t="str">
            <v>5.365897</v>
          </cell>
          <cell r="F649" t="str">
            <v>2G/3G/4G</v>
          </cell>
          <cell r="G649" t="str">
            <v>ERICSSON</v>
          </cell>
          <cell r="H649" t="str">
            <v>MOOV</v>
          </cell>
          <cell r="I649" t="str">
            <v>COCODY</v>
          </cell>
          <cell r="J649" t="str">
            <v>ABIDJAN</v>
          </cell>
          <cell r="K649" t="str">
            <v>ABIDJAN</v>
          </cell>
          <cell r="L649" t="str">
            <v>ABIDJAN</v>
          </cell>
          <cell r="M649" t="str">
            <v>COCODY LATRILLE</v>
          </cell>
          <cell r="N649" t="str">
            <v>ABIDJAN</v>
          </cell>
        </row>
        <row r="650">
          <cell r="B650" t="str">
            <v>AC658</v>
          </cell>
          <cell r="C650" t="str">
            <v>AHOUGNASSOU-ALLAHOU</v>
          </cell>
          <cell r="D650" t="str">
            <v>-5.052893</v>
          </cell>
          <cell r="E650" t="str">
            <v>7.160699</v>
          </cell>
          <cell r="F650" t="str">
            <v>2G/3G/4G</v>
          </cell>
          <cell r="G650" t="str">
            <v>HUAWEI</v>
          </cell>
          <cell r="H650" t="str">
            <v>MOOV</v>
          </cell>
          <cell r="I650" t="str">
            <v>AHOUGNASSOU-ALLAHOU</v>
          </cell>
          <cell r="J650" t="str">
            <v>TIEBISSOU</v>
          </cell>
          <cell r="K650" t="str">
            <v>TIEBISSOU</v>
          </cell>
          <cell r="L650" t="str">
            <v>BELIER</v>
          </cell>
          <cell r="M650" t="str">
            <v>YAMOUSSOUKRO</v>
          </cell>
          <cell r="N650" t="str">
            <v>UPCOUNTRY</v>
          </cell>
        </row>
        <row r="651">
          <cell r="B651" t="str">
            <v>AC659</v>
          </cell>
          <cell r="C651" t="str">
            <v>LEMANIA</v>
          </cell>
          <cell r="D651" t="str">
            <v>-3.98504</v>
          </cell>
          <cell r="E651" t="str">
            <v>5.36061</v>
          </cell>
          <cell r="F651" t="str">
            <v>2G/3G/4G</v>
          </cell>
          <cell r="G651" t="str">
            <v>ERICSSON</v>
          </cell>
          <cell r="H651" t="str">
            <v>MOOV</v>
          </cell>
          <cell r="I651" t="str">
            <v>COCODY</v>
          </cell>
          <cell r="J651" t="str">
            <v>ABIDJAN</v>
          </cell>
          <cell r="K651" t="str">
            <v>ABIDJAN</v>
          </cell>
          <cell r="L651" t="str">
            <v>ABIDJAN</v>
          </cell>
          <cell r="M651" t="str">
            <v>COCODY LATRILLE</v>
          </cell>
          <cell r="N651" t="str">
            <v>ABIDJAN</v>
          </cell>
        </row>
        <row r="652">
          <cell r="B652" t="str">
            <v>AC660</v>
          </cell>
          <cell r="C652" t="str">
            <v>ECOLE_POLICE</v>
          </cell>
          <cell r="D652" t="str">
            <v>-3.988076</v>
          </cell>
          <cell r="E652" t="str">
            <v>5.352167</v>
          </cell>
          <cell r="F652" t="str">
            <v>2G/3G/4G</v>
          </cell>
          <cell r="G652" t="str">
            <v>ERICSSON</v>
          </cell>
          <cell r="H652" t="str">
            <v>IHS (OCI)</v>
          </cell>
          <cell r="I652" t="str">
            <v>COCODY</v>
          </cell>
          <cell r="J652" t="str">
            <v>ABIDJAN</v>
          </cell>
          <cell r="K652" t="str">
            <v>ABIDJAN</v>
          </cell>
          <cell r="L652" t="str">
            <v>ABIDJAN</v>
          </cell>
          <cell r="M652" t="str">
            <v>COCODY CENTRE</v>
          </cell>
          <cell r="N652" t="str">
            <v>ABIDJAN</v>
          </cell>
        </row>
        <row r="653">
          <cell r="B653" t="str">
            <v>AC661</v>
          </cell>
          <cell r="C653" t="str">
            <v>MOTOBE</v>
          </cell>
          <cell r="D653" t="str">
            <v>-3.63681</v>
          </cell>
          <cell r="E653" t="str">
            <v>5.3127</v>
          </cell>
          <cell r="F653" t="str">
            <v>2G/3G/4G</v>
          </cell>
          <cell r="G653" t="str">
            <v>HUAWEI</v>
          </cell>
          <cell r="H653" t="str">
            <v>IHS</v>
          </cell>
          <cell r="I653" t="str">
            <v>MOTOBE</v>
          </cell>
          <cell r="J653" t="str">
            <v>OGHLWAPO</v>
          </cell>
          <cell r="K653" t="str">
            <v>ALEPE</v>
          </cell>
          <cell r="L653" t="str">
            <v>LA ME</v>
          </cell>
          <cell r="M653" t="str">
            <v>MARCORY</v>
          </cell>
          <cell r="N653" t="str">
            <v>UPCOUNTRY</v>
          </cell>
        </row>
        <row r="654">
          <cell r="B654" t="str">
            <v>AC662</v>
          </cell>
          <cell r="C654" t="str">
            <v>LAS_PALMAS</v>
          </cell>
          <cell r="D654" t="str">
            <v>-3.99464</v>
          </cell>
          <cell r="E654" t="str">
            <v>5.38086</v>
          </cell>
          <cell r="F654" t="str">
            <v>2G/3G/4G</v>
          </cell>
          <cell r="G654" t="str">
            <v>ERICSSON</v>
          </cell>
          <cell r="H654" t="str">
            <v>MOOV</v>
          </cell>
          <cell r="I654" t="str">
            <v>COCODY</v>
          </cell>
          <cell r="J654" t="str">
            <v>ABIDJAN</v>
          </cell>
          <cell r="K654" t="str">
            <v>ABIDJAN</v>
          </cell>
          <cell r="L654" t="str">
            <v>ABIDJAN</v>
          </cell>
          <cell r="M654" t="str">
            <v>COCODY LATRILLE</v>
          </cell>
          <cell r="N654" t="str">
            <v>ABIDJAN</v>
          </cell>
        </row>
        <row r="655">
          <cell r="B655" t="str">
            <v>AC663</v>
          </cell>
          <cell r="C655" t="str">
            <v>BRIDGE_BANK</v>
          </cell>
          <cell r="D655" t="str">
            <v>-4.012028</v>
          </cell>
          <cell r="E655" t="str">
            <v>5.319111</v>
          </cell>
          <cell r="F655" t="str">
            <v>2G/3G/4G</v>
          </cell>
          <cell r="G655" t="str">
            <v>ERICSSON</v>
          </cell>
          <cell r="H655" t="str">
            <v>MOOV</v>
          </cell>
          <cell r="I655" t="str">
            <v>PLATEAU</v>
          </cell>
          <cell r="J655" t="str">
            <v>ABIDJAN</v>
          </cell>
          <cell r="K655" t="str">
            <v>ABIDJAN</v>
          </cell>
          <cell r="L655" t="str">
            <v>ABIDJAN</v>
          </cell>
          <cell r="M655" t="str">
            <v>PLATEAU</v>
          </cell>
          <cell r="N655" t="str">
            <v>ABIDJAN</v>
          </cell>
        </row>
        <row r="656">
          <cell r="B656" t="str">
            <v>AC664</v>
          </cell>
          <cell r="C656" t="str">
            <v>MARCHE_MAROC</v>
          </cell>
          <cell r="D656" t="str">
            <v>-4.10514</v>
          </cell>
          <cell r="E656" t="str">
            <v>5.33892</v>
          </cell>
          <cell r="F656" t="str">
            <v>2G/3G/4G</v>
          </cell>
          <cell r="G656" t="str">
            <v>ERICSSON</v>
          </cell>
          <cell r="H656" t="str">
            <v>MOOV</v>
          </cell>
          <cell r="I656" t="str">
            <v>YOPOUGON</v>
          </cell>
          <cell r="J656" t="str">
            <v>ABIDJAN</v>
          </cell>
          <cell r="K656" t="str">
            <v>ABIDJAN</v>
          </cell>
          <cell r="L656" t="str">
            <v>ABIDJAN</v>
          </cell>
          <cell r="M656" t="str">
            <v>YOPOUGON FICGAYO</v>
          </cell>
          <cell r="N656" t="str">
            <v>ABIDJAN</v>
          </cell>
        </row>
        <row r="657">
          <cell r="B657" t="str">
            <v>AC665</v>
          </cell>
          <cell r="C657" t="str">
            <v>LIEVRE_ROUGE</v>
          </cell>
          <cell r="D657" t="str">
            <v>-4.11306</v>
          </cell>
          <cell r="E657" t="str">
            <v>5.3349</v>
          </cell>
          <cell r="F657" t="str">
            <v>2G/3G/4G</v>
          </cell>
          <cell r="G657" t="str">
            <v>ERICSSON</v>
          </cell>
          <cell r="H657" t="str">
            <v>MOOV</v>
          </cell>
          <cell r="I657" t="str">
            <v>YOPOUGON</v>
          </cell>
          <cell r="J657" t="str">
            <v>ABIDJAN</v>
          </cell>
          <cell r="K657" t="str">
            <v>ABIDJAN</v>
          </cell>
          <cell r="L657" t="str">
            <v>ABIDJAN</v>
          </cell>
          <cell r="M657" t="str">
            <v>YOPOUGON FICGAYO</v>
          </cell>
          <cell r="N657" t="str">
            <v>ABIDJAN</v>
          </cell>
        </row>
        <row r="658">
          <cell r="B658" t="str">
            <v>AC666</v>
          </cell>
          <cell r="C658" t="str">
            <v>SOGEPHIA_SOLIDE</v>
          </cell>
          <cell r="D658" t="str">
            <v>-4.08168</v>
          </cell>
          <cell r="E658" t="str">
            <v>5.33818</v>
          </cell>
          <cell r="F658" t="str">
            <v>2G/3G/4G</v>
          </cell>
          <cell r="G658" t="str">
            <v>ERICSSON</v>
          </cell>
          <cell r="H658" t="str">
            <v>MOOV</v>
          </cell>
          <cell r="I658" t="str">
            <v>YOPOUGON</v>
          </cell>
          <cell r="J658" t="str">
            <v>ABIDJAN</v>
          </cell>
          <cell r="K658" t="str">
            <v>ABIDJAN</v>
          </cell>
          <cell r="L658" t="str">
            <v>ABIDJAN</v>
          </cell>
          <cell r="M658" t="str">
            <v>YOPOUGON FICGAYO</v>
          </cell>
          <cell r="N658" t="str">
            <v>ABIDJAN</v>
          </cell>
        </row>
        <row r="659">
          <cell r="B659" t="str">
            <v>AC667</v>
          </cell>
          <cell r="C659" t="str">
            <v>ST LAURENT</v>
          </cell>
          <cell r="D659" t="str">
            <v>-4.06832</v>
          </cell>
          <cell r="E659" t="str">
            <v>5.32754</v>
          </cell>
          <cell r="F659" t="str">
            <v>2G/3G/4G</v>
          </cell>
          <cell r="G659" t="str">
            <v>ERICSSON</v>
          </cell>
          <cell r="H659" t="str">
            <v>MOOV</v>
          </cell>
          <cell r="I659" t="str">
            <v>YOPOUGON</v>
          </cell>
          <cell r="J659" t="str">
            <v>ABIDJAN</v>
          </cell>
          <cell r="K659" t="str">
            <v>ABIDJAN</v>
          </cell>
          <cell r="L659" t="str">
            <v>ABIDJAN</v>
          </cell>
          <cell r="M659" t="str">
            <v>YOPOUGON SABLE</v>
          </cell>
          <cell r="N659" t="str">
            <v>ABIDJAN</v>
          </cell>
        </row>
        <row r="660">
          <cell r="B660" t="str">
            <v>AC668</v>
          </cell>
          <cell r="C660" t="str">
            <v>PHCIE_TIZRA</v>
          </cell>
          <cell r="D660" t="str">
            <v>-4.05557</v>
          </cell>
          <cell r="E660" t="str">
            <v>5.33376</v>
          </cell>
          <cell r="F660" t="str">
            <v>2G/3G/4G</v>
          </cell>
          <cell r="G660" t="str">
            <v>ERICSSON</v>
          </cell>
          <cell r="H660" t="str">
            <v>IHS</v>
          </cell>
          <cell r="I660" t="str">
            <v>YOPOUGON</v>
          </cell>
          <cell r="J660" t="str">
            <v>ABIDJAN</v>
          </cell>
          <cell r="K660" t="str">
            <v>ABIDJAN</v>
          </cell>
          <cell r="L660" t="str">
            <v>ABIDJAN</v>
          </cell>
          <cell r="M660" t="str">
            <v>YOPOUGON SABLE</v>
          </cell>
          <cell r="N660" t="str">
            <v>ABIDJAN</v>
          </cell>
        </row>
        <row r="661">
          <cell r="B661" t="str">
            <v>AC669</v>
          </cell>
          <cell r="C661" t="str">
            <v>FRATERNITE_MATIN</v>
          </cell>
          <cell r="D661" t="str">
            <v>-4.0195</v>
          </cell>
          <cell r="E661" t="str">
            <v>5.3423</v>
          </cell>
          <cell r="F661" t="str">
            <v>2G/3G/4G</v>
          </cell>
          <cell r="G661" t="str">
            <v>ERICSSON</v>
          </cell>
          <cell r="H661" t="str">
            <v>MOOV</v>
          </cell>
          <cell r="I661" t="str">
            <v>ADJAME</v>
          </cell>
          <cell r="J661" t="str">
            <v>ABIDJAN</v>
          </cell>
          <cell r="K661" t="str">
            <v>ABIDJAN</v>
          </cell>
          <cell r="L661" t="str">
            <v>ABIDJAN</v>
          </cell>
          <cell r="M661" t="str">
            <v>PLATEAU</v>
          </cell>
          <cell r="N661" t="str">
            <v>ABIDJAN</v>
          </cell>
        </row>
        <row r="662">
          <cell r="B662" t="str">
            <v>AC670</v>
          </cell>
          <cell r="C662" t="str">
            <v>CARR_CHU</v>
          </cell>
          <cell r="D662" t="str">
            <v>-4.08855</v>
          </cell>
          <cell r="E662" t="str">
            <v>5.35547</v>
          </cell>
          <cell r="F662" t="str">
            <v>2G/3G/4G</v>
          </cell>
          <cell r="G662" t="str">
            <v>ERICSSON</v>
          </cell>
          <cell r="H662" t="str">
            <v>MOOV</v>
          </cell>
          <cell r="I662" t="str">
            <v>YOPOUGON</v>
          </cell>
          <cell r="J662" t="str">
            <v>ABIDJAN</v>
          </cell>
          <cell r="K662" t="str">
            <v>ABIDJAN</v>
          </cell>
          <cell r="L662" t="str">
            <v>ABIDJAN</v>
          </cell>
          <cell r="M662" t="str">
            <v>YOPOUGON FICGAYO</v>
          </cell>
          <cell r="N662" t="str">
            <v>ABIDJAN</v>
          </cell>
        </row>
        <row r="663">
          <cell r="B663" t="str">
            <v>AC671</v>
          </cell>
          <cell r="C663" t="str">
            <v>YATSEKOI</v>
          </cell>
          <cell r="D663" t="str">
            <v>-4.097</v>
          </cell>
          <cell r="E663" t="str">
            <v>5.37117</v>
          </cell>
          <cell r="F663" t="str">
            <v>2G/3G/4G</v>
          </cell>
          <cell r="G663" t="str">
            <v>ERICSSON</v>
          </cell>
          <cell r="H663" t="str">
            <v>MOOV</v>
          </cell>
          <cell r="I663" t="str">
            <v>YOPOUGON</v>
          </cell>
          <cell r="J663" t="str">
            <v>ABIDJAN</v>
          </cell>
          <cell r="K663" t="str">
            <v>ABIDJAN</v>
          </cell>
          <cell r="L663" t="str">
            <v>ABIDJAN</v>
          </cell>
          <cell r="M663" t="str">
            <v>YOPOUGON SABLE</v>
          </cell>
          <cell r="N663" t="str">
            <v>ABIDJAN</v>
          </cell>
        </row>
        <row r="664">
          <cell r="B664" t="str">
            <v>AC672</v>
          </cell>
          <cell r="C664" t="str">
            <v>CITE_TRESOR</v>
          </cell>
          <cell r="D664" t="str">
            <v>-4.10592</v>
          </cell>
          <cell r="E664" t="str">
            <v>5.35083</v>
          </cell>
          <cell r="F664" t="str">
            <v>2G/3G/4G</v>
          </cell>
          <cell r="G664" t="str">
            <v>ERICSSON</v>
          </cell>
          <cell r="H664" t="str">
            <v>MOOV</v>
          </cell>
          <cell r="I664" t="str">
            <v>YOPOUGON</v>
          </cell>
          <cell r="J664" t="str">
            <v>ABIDJAN</v>
          </cell>
          <cell r="K664" t="str">
            <v>ABIDJAN</v>
          </cell>
          <cell r="L664" t="str">
            <v>ABIDJAN</v>
          </cell>
          <cell r="M664" t="str">
            <v>YOPOUGON FICGAYO</v>
          </cell>
          <cell r="N664" t="str">
            <v>ABIDJAN</v>
          </cell>
        </row>
        <row r="665">
          <cell r="B665" t="str">
            <v>AC673</v>
          </cell>
          <cell r="C665" t="str">
            <v>GESCO_HEVEA</v>
          </cell>
          <cell r="D665" t="str">
            <v>-4.10776</v>
          </cell>
          <cell r="E665" t="str">
            <v>5.35874</v>
          </cell>
          <cell r="F665" t="str">
            <v>2G/3G/4G</v>
          </cell>
          <cell r="G665" t="str">
            <v>ERICSSON</v>
          </cell>
          <cell r="H665" t="str">
            <v>MOOV</v>
          </cell>
          <cell r="I665" t="str">
            <v>YOPOUGON</v>
          </cell>
          <cell r="J665" t="str">
            <v>ABIDJAN</v>
          </cell>
          <cell r="K665" t="str">
            <v>ABIDJAN</v>
          </cell>
          <cell r="L665" t="str">
            <v>ABIDJAN</v>
          </cell>
          <cell r="M665" t="str">
            <v>YOPOUGON FICGAYO</v>
          </cell>
          <cell r="N665" t="str">
            <v>ABIDJAN</v>
          </cell>
        </row>
        <row r="666">
          <cell r="B666" t="str">
            <v>AC674</v>
          </cell>
          <cell r="C666" t="str">
            <v>FIGUIER</v>
          </cell>
          <cell r="D666" t="str">
            <v>-3.91077</v>
          </cell>
          <cell r="E666" t="str">
            <v>5.37892</v>
          </cell>
          <cell r="F666" t="str">
            <v>2G/3G/4G</v>
          </cell>
          <cell r="G666" t="str">
            <v>ERICSSON</v>
          </cell>
          <cell r="H666" t="str">
            <v>MOOV</v>
          </cell>
          <cell r="I666" t="str">
            <v>BINGERVILLE</v>
          </cell>
          <cell r="J666" t="str">
            <v>BINGERVILLE</v>
          </cell>
          <cell r="K666" t="str">
            <v>ABIDJAN</v>
          </cell>
          <cell r="L666" t="str">
            <v>ABIDJAN</v>
          </cell>
          <cell r="M666" t="str">
            <v>COCODY LATRILLE</v>
          </cell>
          <cell r="N666" t="str">
            <v>ABIDJAN</v>
          </cell>
        </row>
        <row r="667">
          <cell r="B667" t="str">
            <v>AC675</v>
          </cell>
          <cell r="C667" t="str">
            <v>ZI_SOTRA</v>
          </cell>
          <cell r="D667" t="str">
            <v>-4.07507</v>
          </cell>
          <cell r="E667" t="str">
            <v>5.36579</v>
          </cell>
          <cell r="F667" t="str">
            <v>2G/3G/4G</v>
          </cell>
          <cell r="G667" t="str">
            <v>ERICSSON</v>
          </cell>
          <cell r="H667" t="str">
            <v>MOOV</v>
          </cell>
          <cell r="I667" t="str">
            <v>YOPOUGON</v>
          </cell>
          <cell r="J667" t="str">
            <v>ABIDJAN</v>
          </cell>
          <cell r="K667" t="str">
            <v>ABIDJAN</v>
          </cell>
          <cell r="L667" t="str">
            <v>ABIDJAN</v>
          </cell>
          <cell r="M667" t="str">
            <v>YOPOUGON SABLE</v>
          </cell>
          <cell r="N667" t="str">
            <v>ABIDJAN</v>
          </cell>
        </row>
        <row r="668">
          <cell r="B668" t="str">
            <v>AC676</v>
          </cell>
          <cell r="C668" t="str">
            <v>ST_LOUIS</v>
          </cell>
          <cell r="D668" t="str">
            <v>-4.05843</v>
          </cell>
          <cell r="E668" t="str">
            <v>5.34572</v>
          </cell>
          <cell r="F668" t="str">
            <v>2G/3G/4G</v>
          </cell>
          <cell r="G668" t="str">
            <v>ERICSSON</v>
          </cell>
          <cell r="H668" t="str">
            <v>MOOV</v>
          </cell>
          <cell r="I668" t="str">
            <v>YOPOUGON</v>
          </cell>
          <cell r="J668" t="str">
            <v>ABIDJAN</v>
          </cell>
          <cell r="K668" t="str">
            <v>ABIDJAN</v>
          </cell>
          <cell r="L668" t="str">
            <v>ABIDJAN</v>
          </cell>
          <cell r="M668" t="str">
            <v>YOPOUGON SABLE</v>
          </cell>
          <cell r="N668" t="str">
            <v>ABIDJAN</v>
          </cell>
        </row>
        <row r="669">
          <cell r="B669" t="str">
            <v>AC677</v>
          </cell>
          <cell r="C669" t="str">
            <v>ELISEE</v>
          </cell>
          <cell r="D669" t="str">
            <v>-4.09406</v>
          </cell>
          <cell r="E669" t="str">
            <v>5.34518</v>
          </cell>
          <cell r="F669" t="str">
            <v>2G/3G/4G</v>
          </cell>
          <cell r="G669" t="str">
            <v>ERICSSON</v>
          </cell>
          <cell r="H669" t="str">
            <v>MOOV</v>
          </cell>
          <cell r="I669" t="str">
            <v>YOPOUGON</v>
          </cell>
          <cell r="J669" t="str">
            <v>ABIDJAN</v>
          </cell>
          <cell r="K669" t="str">
            <v>ABIDJAN</v>
          </cell>
          <cell r="L669" t="str">
            <v>ABIDJAN</v>
          </cell>
          <cell r="M669" t="str">
            <v>YOPOUGON FICGAYO</v>
          </cell>
          <cell r="N669" t="str">
            <v>ABIDJAN</v>
          </cell>
        </row>
        <row r="670">
          <cell r="B670" t="str">
            <v>AC678</v>
          </cell>
          <cell r="C670" t="str">
            <v>PREMIER_PONT</v>
          </cell>
          <cell r="D670" t="str">
            <v>-4.0673</v>
          </cell>
          <cell r="E670" t="str">
            <v>5.36192</v>
          </cell>
          <cell r="F670" t="str">
            <v>2G/3G/4G</v>
          </cell>
          <cell r="G670" t="str">
            <v>ERICSSON</v>
          </cell>
          <cell r="H670" t="str">
            <v>MOOV</v>
          </cell>
          <cell r="I670" t="str">
            <v>YOPOUGON</v>
          </cell>
          <cell r="J670" t="str">
            <v>ABIDJAN</v>
          </cell>
          <cell r="K670" t="str">
            <v>ABIDJAN</v>
          </cell>
          <cell r="L670" t="str">
            <v>ABIDJAN</v>
          </cell>
          <cell r="M670" t="str">
            <v>YOPOUGON SABLE</v>
          </cell>
          <cell r="N670" t="str">
            <v>ABIDJAN</v>
          </cell>
        </row>
        <row r="671">
          <cell r="B671" t="str">
            <v>AC679</v>
          </cell>
          <cell r="C671" t="str">
            <v>BETHANIE</v>
          </cell>
          <cell r="D671" t="str">
            <v>-3.99802</v>
          </cell>
          <cell r="E671" t="str">
            <v>5.389</v>
          </cell>
          <cell r="F671" t="str">
            <v>2G/3G/4G</v>
          </cell>
          <cell r="G671" t="str">
            <v>ERICSSON</v>
          </cell>
          <cell r="H671" t="str">
            <v>MOOV</v>
          </cell>
          <cell r="I671" t="str">
            <v>COCODY</v>
          </cell>
          <cell r="J671" t="str">
            <v>ABIDJAN</v>
          </cell>
          <cell r="K671" t="str">
            <v>ABIDJAN</v>
          </cell>
          <cell r="L671" t="str">
            <v>ABIDJAN</v>
          </cell>
          <cell r="M671" t="str">
            <v>COCODY LATRILLE</v>
          </cell>
          <cell r="N671" t="str">
            <v>ABIDJAN</v>
          </cell>
        </row>
        <row r="672">
          <cell r="B672" t="str">
            <v>AC680</v>
          </cell>
          <cell r="C672" t="str">
            <v>PK18_SICOGI</v>
          </cell>
          <cell r="D672" t="str">
            <v>-4.03957</v>
          </cell>
          <cell r="E672" t="str">
            <v>5.453333</v>
          </cell>
          <cell r="F672" t="str">
            <v>2G/3G/4G</v>
          </cell>
          <cell r="G672" t="str">
            <v>ERICSSON</v>
          </cell>
          <cell r="H672" t="str">
            <v>MOOV</v>
          </cell>
          <cell r="I672" t="str">
            <v>ABOBO</v>
          </cell>
          <cell r="J672" t="str">
            <v>ABIDJAN</v>
          </cell>
          <cell r="K672" t="str">
            <v>ABIDJAN</v>
          </cell>
          <cell r="L672" t="str">
            <v>ABIDJAN</v>
          </cell>
          <cell r="M672" t="str">
            <v>ABOBO</v>
          </cell>
          <cell r="N672" t="str">
            <v>ABIDJAN</v>
          </cell>
        </row>
        <row r="673">
          <cell r="B673" t="str">
            <v>AC681</v>
          </cell>
          <cell r="C673" t="str">
            <v>AGRIPAK</v>
          </cell>
          <cell r="D673" t="str">
            <v>-4.042861</v>
          </cell>
          <cell r="E673" t="str">
            <v>5.443639</v>
          </cell>
          <cell r="F673" t="str">
            <v>2G/3G/4G</v>
          </cell>
          <cell r="G673" t="str">
            <v>ERICSSON</v>
          </cell>
          <cell r="H673" t="str">
            <v>MOOV</v>
          </cell>
          <cell r="I673" t="str">
            <v>ABOBO</v>
          </cell>
          <cell r="J673" t="str">
            <v>ABIDJAN</v>
          </cell>
          <cell r="K673" t="str">
            <v>ABIDJAN</v>
          </cell>
          <cell r="L673" t="str">
            <v>ABIDJAN</v>
          </cell>
          <cell r="M673" t="str">
            <v>ABOBO</v>
          </cell>
          <cell r="N673" t="str">
            <v>ABIDJAN</v>
          </cell>
        </row>
        <row r="674">
          <cell r="B674" t="str">
            <v>AC682</v>
          </cell>
          <cell r="C674" t="str">
            <v>ROUTE_DABOU</v>
          </cell>
          <cell r="D674" t="str">
            <v>-4.10634</v>
          </cell>
          <cell r="E674" t="str">
            <v>5.34491</v>
          </cell>
          <cell r="F674" t="str">
            <v>2G/3G/4G</v>
          </cell>
          <cell r="G674" t="str">
            <v>ERICSSON</v>
          </cell>
          <cell r="H674" t="str">
            <v>MOOV</v>
          </cell>
          <cell r="I674" t="str">
            <v>YOPOUGON</v>
          </cell>
          <cell r="J674" t="str">
            <v>ABIDJAN</v>
          </cell>
          <cell r="K674" t="str">
            <v>ABIDJAN</v>
          </cell>
          <cell r="L674" t="str">
            <v>ABIDJAN</v>
          </cell>
          <cell r="M674" t="str">
            <v>YOPOUGON FICGAYO</v>
          </cell>
          <cell r="N674" t="str">
            <v>ABIDJAN</v>
          </cell>
        </row>
        <row r="675">
          <cell r="B675" t="str">
            <v>AC683</v>
          </cell>
          <cell r="C675" t="str">
            <v>CAFE_VERSAILLES</v>
          </cell>
          <cell r="D675" t="str">
            <v>-3.986</v>
          </cell>
          <cell r="E675" t="str">
            <v>5.392789</v>
          </cell>
          <cell r="F675" t="str">
            <v>2G/3G/4G</v>
          </cell>
          <cell r="G675" t="str">
            <v>ERICSSON</v>
          </cell>
          <cell r="H675" t="str">
            <v>MOOV</v>
          </cell>
          <cell r="I675" t="str">
            <v>COCODY</v>
          </cell>
          <cell r="J675" t="str">
            <v>ABIDJAN</v>
          </cell>
          <cell r="K675" t="str">
            <v>ABIDJAN</v>
          </cell>
          <cell r="L675" t="str">
            <v>ABIDJAN</v>
          </cell>
          <cell r="M675" t="str">
            <v>COCODY LATRILLE</v>
          </cell>
          <cell r="N675" t="str">
            <v>ABIDJAN</v>
          </cell>
        </row>
        <row r="676">
          <cell r="B676" t="str">
            <v>AC684</v>
          </cell>
          <cell r="C676" t="str">
            <v>CITE_DON_MELO</v>
          </cell>
          <cell r="D676" t="str">
            <v>-3.97416</v>
          </cell>
          <cell r="E676" t="str">
            <v>5.409744</v>
          </cell>
          <cell r="F676" t="str">
            <v>2G/3G/4G</v>
          </cell>
          <cell r="G676" t="str">
            <v>ERICSSON</v>
          </cell>
          <cell r="H676" t="str">
            <v>MOOV</v>
          </cell>
          <cell r="I676" t="str">
            <v>COCODY</v>
          </cell>
          <cell r="J676" t="str">
            <v>ABIDJAN</v>
          </cell>
          <cell r="K676" t="str">
            <v>ABIDJAN</v>
          </cell>
          <cell r="L676" t="str">
            <v>ABIDJAN</v>
          </cell>
          <cell r="M676" t="str">
            <v>COCODY LATRILLE</v>
          </cell>
          <cell r="N676" t="str">
            <v>ABIDJAN</v>
          </cell>
        </row>
        <row r="677">
          <cell r="B677" t="str">
            <v>AC685</v>
          </cell>
          <cell r="C677" t="str">
            <v>MAHOU</v>
          </cell>
          <cell r="D677" t="str">
            <v>-3.99729</v>
          </cell>
          <cell r="E677" t="str">
            <v>5.3994</v>
          </cell>
          <cell r="F677" t="str">
            <v>2G/3G/4G</v>
          </cell>
          <cell r="G677" t="str">
            <v>ERICSSON</v>
          </cell>
          <cell r="H677" t="str">
            <v>MOOV</v>
          </cell>
          <cell r="I677" t="str">
            <v>COCODY</v>
          </cell>
          <cell r="J677" t="str">
            <v>ABIDJAN</v>
          </cell>
          <cell r="K677" t="str">
            <v>ABIDJAN</v>
          </cell>
          <cell r="L677" t="str">
            <v>ABIDJAN</v>
          </cell>
          <cell r="M677" t="str">
            <v>COCODY LATRILLE</v>
          </cell>
          <cell r="N677" t="str">
            <v>ABIDJAN</v>
          </cell>
        </row>
        <row r="678">
          <cell r="B678" t="str">
            <v>AC686</v>
          </cell>
          <cell r="C678" t="str">
            <v>ST_MATHIEU</v>
          </cell>
          <cell r="D678" t="str">
            <v>-4.0333</v>
          </cell>
          <cell r="E678" t="str">
            <v>5.43055</v>
          </cell>
          <cell r="F678" t="str">
            <v>2G/3G/4G</v>
          </cell>
          <cell r="G678" t="str">
            <v>ERICSSON</v>
          </cell>
          <cell r="H678" t="str">
            <v>MOOV</v>
          </cell>
          <cell r="I678" t="str">
            <v>ABOBO</v>
          </cell>
          <cell r="J678" t="str">
            <v>ABIDJAN</v>
          </cell>
          <cell r="K678" t="str">
            <v>ABIDJAN</v>
          </cell>
          <cell r="L678" t="str">
            <v>ABIDJAN</v>
          </cell>
          <cell r="M678" t="str">
            <v>ABOBO</v>
          </cell>
          <cell r="N678" t="str">
            <v>ABIDJAN</v>
          </cell>
        </row>
        <row r="679">
          <cell r="B679" t="str">
            <v>AC687</v>
          </cell>
          <cell r="C679" t="str">
            <v>MATERNITE_AFFOSABO</v>
          </cell>
          <cell r="D679" t="str">
            <v>-4.0337</v>
          </cell>
          <cell r="E679" t="str">
            <v>5.42564</v>
          </cell>
          <cell r="F679" t="str">
            <v>2G/3G/4G</v>
          </cell>
          <cell r="G679" t="str">
            <v>ERICSSON</v>
          </cell>
          <cell r="H679" t="str">
            <v>MOOV</v>
          </cell>
          <cell r="I679" t="str">
            <v>ABOBO</v>
          </cell>
          <cell r="J679" t="str">
            <v>ABIDJAN</v>
          </cell>
          <cell r="K679" t="str">
            <v>ABIDJAN</v>
          </cell>
          <cell r="L679" t="str">
            <v>ABIDJAN</v>
          </cell>
          <cell r="M679" t="str">
            <v>ABOBO</v>
          </cell>
          <cell r="N679" t="str">
            <v>ABIDJAN</v>
          </cell>
        </row>
        <row r="680">
          <cell r="B680" t="str">
            <v>ET790</v>
          </cell>
          <cell r="C680" t="str">
            <v>NEW_ADJAME_FORUM</v>
          </cell>
          <cell r="D680" t="str">
            <v>-4.02837</v>
          </cell>
          <cell r="E680" t="str">
            <v>5.344724</v>
          </cell>
          <cell r="F680" t="str">
            <v>2G/3G/4G</v>
          </cell>
          <cell r="G680" t="str">
            <v>ERICSSON</v>
          </cell>
          <cell r="H680" t="str">
            <v>MOOV</v>
          </cell>
          <cell r="I680" t="str">
            <v>ADJAME</v>
          </cell>
          <cell r="J680" t="str">
            <v>ABIDJAN</v>
          </cell>
          <cell r="K680" t="str">
            <v>ABIDJAN</v>
          </cell>
          <cell r="L680" t="str">
            <v>ABIDJAN</v>
          </cell>
          <cell r="M680" t="str">
            <v>PLATEAU</v>
          </cell>
          <cell r="N680" t="str">
            <v>ABIDJAN</v>
          </cell>
        </row>
        <row r="681">
          <cell r="B681" t="str">
            <v>AC689</v>
          </cell>
          <cell r="C681" t="str">
            <v>SACRE_COEUR</v>
          </cell>
          <cell r="D681" t="str">
            <v>-3.994222</v>
          </cell>
          <cell r="E681" t="str">
            <v>5.431722</v>
          </cell>
          <cell r="F681" t="str">
            <v>2G/3G/4G</v>
          </cell>
          <cell r="G681" t="str">
            <v>ERICSSON</v>
          </cell>
          <cell r="H681" t="str">
            <v>MOOV</v>
          </cell>
          <cell r="I681" t="str">
            <v>ABOBO</v>
          </cell>
          <cell r="J681" t="str">
            <v>ABIDJAN</v>
          </cell>
          <cell r="K681" t="str">
            <v>ABIDJAN</v>
          </cell>
          <cell r="L681" t="str">
            <v>ABIDJAN</v>
          </cell>
          <cell r="M681" t="str">
            <v>ABOBO</v>
          </cell>
          <cell r="N681" t="str">
            <v>ABIDJAN</v>
          </cell>
        </row>
        <row r="682">
          <cell r="B682" t="str">
            <v>AC690</v>
          </cell>
          <cell r="C682" t="str">
            <v>KABAKRO</v>
          </cell>
          <cell r="D682" t="str">
            <v>-4.0837</v>
          </cell>
          <cell r="E682" t="str">
            <v>5.44961</v>
          </cell>
          <cell r="F682" t="str">
            <v>2G/3G/4G</v>
          </cell>
          <cell r="G682" t="str">
            <v>ERICSSON</v>
          </cell>
          <cell r="H682" t="str">
            <v>MOOV</v>
          </cell>
          <cell r="I682" t="str">
            <v>ABOBO</v>
          </cell>
          <cell r="J682" t="str">
            <v>ABIDJAN</v>
          </cell>
          <cell r="K682" t="str">
            <v>ABIDJAN</v>
          </cell>
          <cell r="L682" t="str">
            <v>ABIDJAN</v>
          </cell>
          <cell r="M682" t="str">
            <v>ABOBO</v>
          </cell>
          <cell r="N682" t="str">
            <v>ABIDJAN</v>
          </cell>
        </row>
        <row r="683">
          <cell r="B683" t="str">
            <v>AC691</v>
          </cell>
          <cell r="C683" t="str">
            <v>EBIMPE</v>
          </cell>
          <cell r="D683" t="str">
            <v>-4.07159</v>
          </cell>
          <cell r="E683" t="str">
            <v>5.50047</v>
          </cell>
          <cell r="F683" t="str">
            <v>2G/3G/4G</v>
          </cell>
          <cell r="G683" t="str">
            <v>ERICSSON</v>
          </cell>
          <cell r="H683" t="str">
            <v>MOOV</v>
          </cell>
          <cell r="I683" t="str">
            <v>ANYAMA</v>
          </cell>
          <cell r="J683" t="str">
            <v>ANYAMA</v>
          </cell>
          <cell r="K683" t="str">
            <v>ABIDJAN</v>
          </cell>
          <cell r="L683" t="str">
            <v>ABIDJAN</v>
          </cell>
          <cell r="M683" t="str">
            <v>ABOBO</v>
          </cell>
          <cell r="N683" t="str">
            <v>ABIDJAN</v>
          </cell>
        </row>
        <row r="684">
          <cell r="B684" t="str">
            <v>AC692</v>
          </cell>
          <cell r="C684" t="str">
            <v>PARIS_VILLAGE</v>
          </cell>
          <cell r="D684" t="str">
            <v>-3.9052</v>
          </cell>
          <cell r="E684" t="str">
            <v>5.3602</v>
          </cell>
          <cell r="F684" t="str">
            <v>2G/3G/4G</v>
          </cell>
          <cell r="G684" t="str">
            <v>ERICSSON</v>
          </cell>
          <cell r="H684" t="str">
            <v>MOOV</v>
          </cell>
          <cell r="I684" t="str">
            <v>BINGERVILLE</v>
          </cell>
          <cell r="J684" t="str">
            <v>BINGERVILLE</v>
          </cell>
          <cell r="K684" t="str">
            <v>ABIDJAN</v>
          </cell>
          <cell r="L684" t="str">
            <v>ABIDJAN</v>
          </cell>
          <cell r="M684" t="str">
            <v>COCODY LATRILLE</v>
          </cell>
          <cell r="N684" t="str">
            <v>ABIDJAN</v>
          </cell>
        </row>
        <row r="685">
          <cell r="B685" t="str">
            <v>AC693</v>
          </cell>
          <cell r="C685" t="str">
            <v>ARTISANAL</v>
          </cell>
          <cell r="D685" t="str">
            <v>-3.7601</v>
          </cell>
          <cell r="E685" t="str">
            <v>5.20969</v>
          </cell>
          <cell r="F685" t="str">
            <v>2G/3G/4G</v>
          </cell>
          <cell r="G685" t="str">
            <v>HUAWEI</v>
          </cell>
          <cell r="H685" t="str">
            <v>MOOV</v>
          </cell>
          <cell r="I685" t="str">
            <v>GRAND-BASSAM</v>
          </cell>
          <cell r="J685" t="str">
            <v>GRAND-BASSAM</v>
          </cell>
          <cell r="K685" t="str">
            <v>GRAND-BASSAM</v>
          </cell>
          <cell r="L685" t="str">
            <v>SUD-COMOE</v>
          </cell>
          <cell r="M685" t="str">
            <v>MARCORY</v>
          </cell>
          <cell r="N685" t="str">
            <v>UPCOUNTRY</v>
          </cell>
        </row>
        <row r="686">
          <cell r="B686" t="str">
            <v>AC694</v>
          </cell>
          <cell r="C686" t="str">
            <v>NAMBANAKAHA</v>
          </cell>
          <cell r="D686" t="str">
            <v>-5.173139</v>
          </cell>
          <cell r="E686" t="str">
            <v>8.936139</v>
          </cell>
          <cell r="F686" t="str">
            <v>2G/3G/4G</v>
          </cell>
          <cell r="G686" t="str">
            <v>HUAWEI</v>
          </cell>
          <cell r="H686" t="str">
            <v>MOOV</v>
          </cell>
          <cell r="I686" t="str">
            <v>NAMBANAKAHA</v>
          </cell>
          <cell r="J686" t="str">
            <v>NIEDEKAHA</v>
          </cell>
          <cell r="K686" t="str">
            <v>NIAKARAMADOUGOU</v>
          </cell>
          <cell r="L686" t="str">
            <v>HAMBOL</v>
          </cell>
          <cell r="M686" t="str">
            <v>KORHOGO</v>
          </cell>
          <cell r="N686" t="str">
            <v>UPCOUNTRY</v>
          </cell>
        </row>
        <row r="687">
          <cell r="B687" t="str">
            <v>AC695</v>
          </cell>
          <cell r="C687" t="str">
            <v>TIENGARAKAHA</v>
          </cell>
          <cell r="D687" t="str">
            <v>-5.23718</v>
          </cell>
          <cell r="E687" t="str">
            <v>9.39737</v>
          </cell>
          <cell r="F687" t="str">
            <v>2G/3G/4G</v>
          </cell>
          <cell r="G687" t="str">
            <v>HUAWEI</v>
          </cell>
          <cell r="H687" t="str">
            <v>MOOV</v>
          </cell>
          <cell r="I687" t="str">
            <v>TIENGARAKAHA</v>
          </cell>
          <cell r="J687" t="str">
            <v>BADIKAHA</v>
          </cell>
          <cell r="K687" t="str">
            <v>NIAKARAMADOUGOU</v>
          </cell>
          <cell r="L687" t="str">
            <v>HAMBOL</v>
          </cell>
          <cell r="M687" t="str">
            <v>KORHOGO</v>
          </cell>
          <cell r="N687" t="str">
            <v>UPCOUNTRY</v>
          </cell>
        </row>
        <row r="688">
          <cell r="B688" t="str">
            <v>AC696</v>
          </cell>
          <cell r="C688" t="str">
            <v>TARATO</v>
          </cell>
          <cell r="D688" t="str">
            <v>-5.99793</v>
          </cell>
          <cell r="E688" t="str">
            <v>9.5417</v>
          </cell>
          <cell r="F688" t="str">
            <v>2G/3G/4G</v>
          </cell>
          <cell r="G688" t="str">
            <v>HUAWEI</v>
          </cell>
          <cell r="H688" t="str">
            <v>MOOV</v>
          </cell>
          <cell r="I688" t="str">
            <v>TARATO</v>
          </cell>
          <cell r="J688" t="str">
            <v>NIOFOIN</v>
          </cell>
          <cell r="K688" t="str">
            <v>KORHOGO</v>
          </cell>
          <cell r="L688" t="str">
            <v>PORO</v>
          </cell>
          <cell r="M688" t="str">
            <v>KORHOGO</v>
          </cell>
          <cell r="N688" t="str">
            <v>UPCOUNTRY</v>
          </cell>
        </row>
        <row r="689">
          <cell r="B689" t="str">
            <v>AC697</v>
          </cell>
          <cell r="C689" t="str">
            <v>TIASSO (MARAMANA)</v>
          </cell>
          <cell r="D689" t="str">
            <v>-6.26119</v>
          </cell>
          <cell r="E689" t="str">
            <v>9.71814</v>
          </cell>
          <cell r="F689" t="str">
            <v>2G/3G/4G</v>
          </cell>
          <cell r="G689" t="str">
            <v>HUAWEI</v>
          </cell>
          <cell r="H689" t="str">
            <v>MOOV</v>
          </cell>
          <cell r="I689" t="str">
            <v>MARAMANA</v>
          </cell>
          <cell r="J689" t="str">
            <v>KASSERE</v>
          </cell>
          <cell r="K689" t="str">
            <v>BOUNDIALI</v>
          </cell>
          <cell r="L689" t="str">
            <v>BAGOUE</v>
          </cell>
          <cell r="M689" t="str">
            <v>KORHOGO</v>
          </cell>
          <cell r="N689" t="str">
            <v>UPCOUNTRY</v>
          </cell>
        </row>
        <row r="690">
          <cell r="B690" t="str">
            <v>AC698</v>
          </cell>
          <cell r="C690" t="str">
            <v>KIEMOU</v>
          </cell>
          <cell r="D690" t="str">
            <v>-5.5544</v>
          </cell>
          <cell r="E690" t="str">
            <v>9.0561</v>
          </cell>
          <cell r="F690" t="str">
            <v>2G/3G/4G</v>
          </cell>
          <cell r="G690" t="str">
            <v>HUAWEI</v>
          </cell>
          <cell r="H690" t="str">
            <v>MOOV</v>
          </cell>
          <cell r="I690" t="str">
            <v>KIEMOU</v>
          </cell>
          <cell r="J690" t="str">
            <v>KIEMOU</v>
          </cell>
          <cell r="K690" t="str">
            <v>KORHOGO</v>
          </cell>
          <cell r="L690" t="str">
            <v>PORO</v>
          </cell>
          <cell r="M690" t="str">
            <v>KORHOGO</v>
          </cell>
          <cell r="N690" t="str">
            <v>UPCOUNTRY</v>
          </cell>
        </row>
        <row r="691">
          <cell r="B691" t="str">
            <v>AC699</v>
          </cell>
          <cell r="C691" t="str">
            <v>NAWOKAHA</v>
          </cell>
          <cell r="D691" t="str">
            <v>-5.37225</v>
          </cell>
          <cell r="E691" t="str">
            <v>8.89171</v>
          </cell>
          <cell r="F691" t="str">
            <v>2G/3G/4G</v>
          </cell>
          <cell r="G691" t="str">
            <v>HUAWEI</v>
          </cell>
          <cell r="H691" t="str">
            <v>MOOV</v>
          </cell>
          <cell r="I691" t="str">
            <v>NAWOKAHA</v>
          </cell>
          <cell r="J691" t="str">
            <v>NIAKARAMADOUGOU</v>
          </cell>
          <cell r="K691" t="str">
            <v>NIAKARAMADOUGOU</v>
          </cell>
          <cell r="L691" t="str">
            <v>HAMBOL</v>
          </cell>
          <cell r="M691" t="str">
            <v>KORHOGO</v>
          </cell>
          <cell r="N691" t="str">
            <v>UPCOUNTRY</v>
          </cell>
        </row>
        <row r="692">
          <cell r="B692" t="str">
            <v>AC700</v>
          </cell>
          <cell r="C692" t="str">
            <v>BAMORO</v>
          </cell>
          <cell r="D692" t="str">
            <v>-5.0484325</v>
          </cell>
          <cell r="E692" t="str">
            <v>7.8322379</v>
          </cell>
          <cell r="F692" t="str">
            <v>2G/3G/4G</v>
          </cell>
          <cell r="G692" t="str">
            <v>HUAWEI</v>
          </cell>
          <cell r="H692" t="str">
            <v>MOOV</v>
          </cell>
          <cell r="I692" t="str">
            <v>BAMOROBAOULE</v>
          </cell>
          <cell r="J692" t="str">
            <v>BOUAKE</v>
          </cell>
          <cell r="K692" t="str">
            <v>BOUAKE</v>
          </cell>
          <cell r="L692" t="str">
            <v>GBEKE</v>
          </cell>
          <cell r="M692" t="str">
            <v>BOUAKE</v>
          </cell>
          <cell r="N692" t="str">
            <v>UPCOUNTRY</v>
          </cell>
        </row>
        <row r="693">
          <cell r="B693" t="str">
            <v>AC701</v>
          </cell>
          <cell r="C693" t="str">
            <v>OUANADIEKAHA</v>
          </cell>
          <cell r="D693" t="str">
            <v>-5.1748645</v>
          </cell>
          <cell r="E693" t="str">
            <v>8.3656748</v>
          </cell>
          <cell r="F693" t="str">
            <v>2G/3G/4G</v>
          </cell>
          <cell r="G693" t="str">
            <v>HUAWEI</v>
          </cell>
          <cell r="H693" t="str">
            <v>MOOV</v>
          </cell>
          <cell r="I693" t="str">
            <v>OUANADIEKAHA</v>
          </cell>
          <cell r="J693" t="str">
            <v>FRONAN</v>
          </cell>
          <cell r="K693" t="str">
            <v>KATIOLA</v>
          </cell>
          <cell r="L693" t="str">
            <v>HAMBOL</v>
          </cell>
          <cell r="M693" t="str">
            <v>BOUAKE</v>
          </cell>
          <cell r="N693" t="str">
            <v>UPCOUNTRY</v>
          </cell>
        </row>
        <row r="694">
          <cell r="B694" t="str">
            <v>AC702</v>
          </cell>
          <cell r="C694" t="str">
            <v>BADIKAHA</v>
          </cell>
          <cell r="D694" t="str">
            <v>-5.16193</v>
          </cell>
          <cell r="E694" t="str">
            <v>9.18993</v>
          </cell>
          <cell r="F694" t="str">
            <v>2G/3G/4G</v>
          </cell>
          <cell r="G694" t="str">
            <v>HUAWEI</v>
          </cell>
          <cell r="H694" t="str">
            <v>MOOV</v>
          </cell>
          <cell r="I694" t="str">
            <v>BADIKAHA</v>
          </cell>
          <cell r="J694" t="str">
            <v>BADIKAHA</v>
          </cell>
          <cell r="K694" t="str">
            <v>NIAKARAMADOUGOU</v>
          </cell>
          <cell r="L694" t="str">
            <v>HAMBOL</v>
          </cell>
          <cell r="M694" t="str">
            <v>KORHOGO</v>
          </cell>
          <cell r="N694" t="str">
            <v>UPCOUNTRY</v>
          </cell>
        </row>
        <row r="695">
          <cell r="B695" t="str">
            <v>AC703</v>
          </cell>
          <cell r="C695" t="str">
            <v>CARREFOUR_CHU</v>
          </cell>
          <cell r="D695" t="str">
            <v>-4.084877</v>
          </cell>
          <cell r="E695" t="str">
            <v>5.358561</v>
          </cell>
          <cell r="F695" t="str">
            <v>2G/3G/4G</v>
          </cell>
          <cell r="G695" t="str">
            <v>ERICSSON</v>
          </cell>
          <cell r="H695" t="str">
            <v>MOOV</v>
          </cell>
          <cell r="I695" t="str">
            <v>YOPOUGON</v>
          </cell>
          <cell r="J695" t="str">
            <v>ABIDJAN</v>
          </cell>
          <cell r="K695" t="str">
            <v>ABIDJAN</v>
          </cell>
          <cell r="L695" t="str">
            <v>ABIDJAN</v>
          </cell>
          <cell r="M695" t="str">
            <v>YOPOUGON FICGAYO</v>
          </cell>
          <cell r="N695" t="str">
            <v>ABIDJAN</v>
          </cell>
        </row>
        <row r="696">
          <cell r="B696" t="str">
            <v>AC704</v>
          </cell>
          <cell r="C696" t="str">
            <v>MAMIE_ADJOUA</v>
          </cell>
          <cell r="D696" t="str">
            <v>-4.09855</v>
          </cell>
          <cell r="E696" t="str">
            <v>5.36242</v>
          </cell>
          <cell r="F696" t="str">
            <v>2G/3G/4G</v>
          </cell>
          <cell r="G696" t="str">
            <v>ERICSSON</v>
          </cell>
          <cell r="H696" t="str">
            <v>IHS</v>
          </cell>
          <cell r="I696" t="str">
            <v>YOPOUGON</v>
          </cell>
          <cell r="J696" t="str">
            <v>ABIDJAN</v>
          </cell>
          <cell r="K696" t="str">
            <v>ABIDJAN</v>
          </cell>
          <cell r="L696" t="str">
            <v>ABIDJAN</v>
          </cell>
          <cell r="M696" t="str">
            <v>YOPOUGON FICGAYO</v>
          </cell>
          <cell r="N696" t="str">
            <v>ABIDJAN</v>
          </cell>
        </row>
        <row r="697">
          <cell r="B697" t="str">
            <v>AC705</v>
          </cell>
          <cell r="C697" t="str">
            <v>ISSIA_4</v>
          </cell>
          <cell r="D697" t="str">
            <v>-6.578997</v>
          </cell>
          <cell r="E697" t="str">
            <v>6.495196</v>
          </cell>
          <cell r="F697" t="str">
            <v>2G/3G/4G</v>
          </cell>
          <cell r="G697" t="str">
            <v>HUAWEI</v>
          </cell>
          <cell r="H697" t="str">
            <v>MOOV</v>
          </cell>
          <cell r="I697" t="str">
            <v>ISSIA</v>
          </cell>
          <cell r="J697" t="str">
            <v>ISSIA</v>
          </cell>
          <cell r="K697" t="str">
            <v>ISSIA</v>
          </cell>
          <cell r="L697" t="str">
            <v>HAUT-SASSANDRA</v>
          </cell>
          <cell r="M697" t="str">
            <v>DALOA</v>
          </cell>
          <cell r="N697" t="str">
            <v>UPCOUNTRY</v>
          </cell>
        </row>
        <row r="698">
          <cell r="B698" t="str">
            <v>AC706</v>
          </cell>
          <cell r="C698" t="str">
            <v>BASE_CIE</v>
          </cell>
          <cell r="D698" t="str">
            <v>-4.08937617</v>
          </cell>
          <cell r="E698" t="str">
            <v>5.33430731</v>
          </cell>
          <cell r="F698" t="str">
            <v>2G/3G/4G</v>
          </cell>
          <cell r="G698" t="str">
            <v>ERICSSON</v>
          </cell>
          <cell r="H698" t="str">
            <v>MOOV</v>
          </cell>
          <cell r="I698" t="str">
            <v>YOPOUGON</v>
          </cell>
          <cell r="J698" t="str">
            <v>ABIDJAN</v>
          </cell>
          <cell r="K698" t="str">
            <v>ABIDJAN</v>
          </cell>
          <cell r="L698" t="str">
            <v>ABIDJAN</v>
          </cell>
          <cell r="M698" t="str">
            <v>YOPOUGON FICGAYO</v>
          </cell>
          <cell r="N698" t="str">
            <v>ABIDJAN</v>
          </cell>
        </row>
        <row r="699">
          <cell r="B699" t="str">
            <v>AC707</v>
          </cell>
          <cell r="C699" t="str">
            <v>DORIAN</v>
          </cell>
          <cell r="D699" t="str">
            <v>-4.0656427</v>
          </cell>
          <cell r="E699" t="str">
            <v>5.31838451</v>
          </cell>
          <cell r="F699" t="str">
            <v>2G/3G/4G</v>
          </cell>
          <cell r="G699" t="str">
            <v>ERICSSON</v>
          </cell>
          <cell r="H699" t="str">
            <v>MOOV</v>
          </cell>
          <cell r="I699" t="str">
            <v>YOPOUGON</v>
          </cell>
          <cell r="J699" t="str">
            <v>ABIDJAN</v>
          </cell>
          <cell r="K699" t="str">
            <v>ABIDJAN</v>
          </cell>
          <cell r="L699" t="str">
            <v>ABIDJAN</v>
          </cell>
          <cell r="M699" t="str">
            <v>YOPOUGON SABLE</v>
          </cell>
          <cell r="N699" t="str">
            <v>ABIDJAN</v>
          </cell>
        </row>
        <row r="700">
          <cell r="B700" t="str">
            <v>AC708</v>
          </cell>
          <cell r="C700" t="str">
            <v>BOISSI</v>
          </cell>
          <cell r="D700" t="str">
            <v>-4.05237582</v>
          </cell>
          <cell r="E700" t="str">
            <v>5.32790457</v>
          </cell>
          <cell r="F700" t="str">
            <v>2G/3G/4G</v>
          </cell>
          <cell r="G700" t="str">
            <v>ERICSSON</v>
          </cell>
          <cell r="H700" t="str">
            <v>MOOV</v>
          </cell>
          <cell r="I700" t="str">
            <v>YOPOUGON</v>
          </cell>
          <cell r="J700" t="str">
            <v>ABIDJAN</v>
          </cell>
          <cell r="K700" t="str">
            <v>ABIDJAN</v>
          </cell>
          <cell r="L700" t="str">
            <v>ABIDJAN</v>
          </cell>
          <cell r="M700" t="str">
            <v>YOPOUGON SABLE</v>
          </cell>
          <cell r="N700" t="str">
            <v>ABIDJAN</v>
          </cell>
        </row>
        <row r="701">
          <cell r="B701" t="str">
            <v>AC709</v>
          </cell>
          <cell r="C701" t="str">
            <v>YOP_MAIRIE</v>
          </cell>
          <cell r="D701" t="str">
            <v>-4.06717394</v>
          </cell>
          <cell r="E701" t="str">
            <v>5.34289375</v>
          </cell>
          <cell r="F701" t="str">
            <v>2G/3G/4G</v>
          </cell>
          <cell r="G701" t="str">
            <v>ERICSSON</v>
          </cell>
          <cell r="H701" t="str">
            <v>MOOV</v>
          </cell>
          <cell r="I701" t="str">
            <v>YOPOUGON</v>
          </cell>
          <cell r="J701" t="str">
            <v>ABIDJAN</v>
          </cell>
          <cell r="K701" t="str">
            <v>ABIDJAN</v>
          </cell>
          <cell r="L701" t="str">
            <v>ABIDJAN</v>
          </cell>
          <cell r="M701" t="str">
            <v>YOPOUGON SABLE</v>
          </cell>
          <cell r="N701" t="str">
            <v>ABIDJAN</v>
          </cell>
        </row>
        <row r="702">
          <cell r="B702" t="str">
            <v>AC710</v>
          </cell>
          <cell r="C702" t="str">
            <v>NOUVEAU_QUARTIER</v>
          </cell>
          <cell r="D702" t="str">
            <v>-4.04632886</v>
          </cell>
          <cell r="E702" t="str">
            <v>5.33803628</v>
          </cell>
          <cell r="F702" t="str">
            <v>2G/3G/4G</v>
          </cell>
          <cell r="G702" t="str">
            <v>ERICSSON</v>
          </cell>
          <cell r="H702" t="str">
            <v>MOOV</v>
          </cell>
          <cell r="I702" t="str">
            <v>YOPOUGON</v>
          </cell>
          <cell r="J702" t="str">
            <v>ABIDJAN</v>
          </cell>
          <cell r="K702" t="str">
            <v>ABIDJAN</v>
          </cell>
          <cell r="L702" t="str">
            <v>ABIDJAN</v>
          </cell>
          <cell r="M702" t="str">
            <v>YOPOUGON SABLE</v>
          </cell>
          <cell r="N702" t="str">
            <v>ABIDJAN</v>
          </cell>
        </row>
        <row r="703">
          <cell r="B703" t="str">
            <v>AC711</v>
          </cell>
          <cell r="C703" t="str">
            <v>SANTE</v>
          </cell>
          <cell r="D703" t="str">
            <v>-4.04573113</v>
          </cell>
          <cell r="E703" t="str">
            <v>5.31007003</v>
          </cell>
          <cell r="F703" t="str">
            <v>2G/3G/4G</v>
          </cell>
          <cell r="G703" t="str">
            <v>ERICSSON</v>
          </cell>
          <cell r="H703" t="str">
            <v>MOOV</v>
          </cell>
          <cell r="I703" t="str">
            <v>YOPOUGON</v>
          </cell>
          <cell r="J703" t="str">
            <v>ABIDJAN</v>
          </cell>
          <cell r="K703" t="str">
            <v>ABIDJAN</v>
          </cell>
          <cell r="L703" t="str">
            <v>ABIDJAN</v>
          </cell>
          <cell r="M703" t="str">
            <v>YOPOUGON SABLE</v>
          </cell>
          <cell r="N703" t="str">
            <v>ABIDJAN</v>
          </cell>
        </row>
        <row r="704">
          <cell r="B704" t="str">
            <v>AC712</v>
          </cell>
          <cell r="C704" t="str">
            <v>CONCINELL</v>
          </cell>
          <cell r="D704" t="str">
            <v>-4.01547554</v>
          </cell>
          <cell r="E704" t="str">
            <v>5.30524519</v>
          </cell>
          <cell r="F704" t="str">
            <v>2G/3G/4G</v>
          </cell>
          <cell r="G704" t="str">
            <v>ERICSSON</v>
          </cell>
          <cell r="H704" t="str">
            <v>MOOV</v>
          </cell>
          <cell r="I704" t="str">
            <v>TREICHVILLE</v>
          </cell>
          <cell r="J704" t="str">
            <v>ABIDJAN</v>
          </cell>
          <cell r="K704" t="str">
            <v>ABIDJAN</v>
          </cell>
          <cell r="L704" t="str">
            <v>ABIDJAN</v>
          </cell>
          <cell r="M704" t="str">
            <v>PLATEAU</v>
          </cell>
          <cell r="N704" t="str">
            <v>ABIDJAN</v>
          </cell>
        </row>
        <row r="705">
          <cell r="B705" t="str">
            <v>AC713</v>
          </cell>
          <cell r="C705" t="str">
            <v>DESCARTE</v>
          </cell>
          <cell r="D705" t="str">
            <v>-3.97179314</v>
          </cell>
          <cell r="E705" t="str">
            <v>5.28331736</v>
          </cell>
          <cell r="F705" t="str">
            <v>2G/3G/4G</v>
          </cell>
          <cell r="G705" t="str">
            <v>ERICSSON</v>
          </cell>
          <cell r="H705" t="str">
            <v>MOOV</v>
          </cell>
          <cell r="I705" t="str">
            <v>MARCORY</v>
          </cell>
          <cell r="J705" t="str">
            <v>ABIDJAN</v>
          </cell>
          <cell r="K705" t="str">
            <v>ABIDJAN</v>
          </cell>
          <cell r="L705" t="str">
            <v>ABIDJAN</v>
          </cell>
          <cell r="M705" t="str">
            <v>MARCORY</v>
          </cell>
          <cell r="N705" t="str">
            <v>ABIDJAN</v>
          </cell>
        </row>
        <row r="706">
          <cell r="B706" t="str">
            <v>AC714</v>
          </cell>
          <cell r="C706" t="str">
            <v>DIDEROT</v>
          </cell>
          <cell r="D706" t="str">
            <v>-4.01101029</v>
          </cell>
          <cell r="E706" t="str">
            <v>5.4104564</v>
          </cell>
          <cell r="F706" t="str">
            <v>2G/3G/4G</v>
          </cell>
          <cell r="G706" t="str">
            <v>ERICSSON</v>
          </cell>
          <cell r="H706" t="str">
            <v>MOOV</v>
          </cell>
          <cell r="I706" t="str">
            <v>ABOBO</v>
          </cell>
          <cell r="J706" t="str">
            <v>ABIDJAN</v>
          </cell>
          <cell r="K706" t="str">
            <v>ABIDJAN</v>
          </cell>
          <cell r="L706" t="str">
            <v>ABIDJAN</v>
          </cell>
          <cell r="M706" t="str">
            <v>ABOBO</v>
          </cell>
          <cell r="N706" t="str">
            <v>ABIDJAN</v>
          </cell>
        </row>
        <row r="707">
          <cell r="B707" t="str">
            <v>AC715</v>
          </cell>
          <cell r="C707" t="str">
            <v>QUARTIER_ELEPHANT</v>
          </cell>
          <cell r="D707" t="str">
            <v>-3.88829</v>
          </cell>
          <cell r="E707" t="str">
            <v>5.24234</v>
          </cell>
          <cell r="F707" t="str">
            <v>2G/3G/4G</v>
          </cell>
          <cell r="G707" t="str">
            <v>HUAWEI</v>
          </cell>
          <cell r="H707" t="str">
            <v>IHS (OCI)</v>
          </cell>
          <cell r="I707" t="str">
            <v>PORT-BOUET</v>
          </cell>
          <cell r="J707" t="str">
            <v>ABIDJAN</v>
          </cell>
          <cell r="K707" t="str">
            <v>ABIDJAN</v>
          </cell>
          <cell r="L707" t="str">
            <v>ABIDJAN</v>
          </cell>
          <cell r="M707" t="str">
            <v>MARCORY</v>
          </cell>
          <cell r="N707" t="str">
            <v>ABIDJAN</v>
          </cell>
        </row>
        <row r="708">
          <cell r="B708" t="str">
            <v>AC716</v>
          </cell>
          <cell r="C708" t="str">
            <v>ABATA</v>
          </cell>
          <cell r="D708" t="str">
            <v>-3.92</v>
          </cell>
          <cell r="E708" t="str">
            <v>5.34645</v>
          </cell>
          <cell r="F708" t="str">
            <v>2G/3G/4G</v>
          </cell>
          <cell r="G708" t="str">
            <v>ERICSSON</v>
          </cell>
          <cell r="H708" t="str">
            <v>MOOV</v>
          </cell>
          <cell r="I708" t="str">
            <v>BINGERVILLE</v>
          </cell>
          <cell r="J708" t="str">
            <v>BINGERVILLE</v>
          </cell>
          <cell r="K708" t="str">
            <v>ABIDJAN</v>
          </cell>
          <cell r="L708" t="str">
            <v>ABIDJAN</v>
          </cell>
          <cell r="M708" t="str">
            <v>COCODY CENTRE</v>
          </cell>
          <cell r="N708" t="str">
            <v>ABIDJAN</v>
          </cell>
        </row>
        <row r="709">
          <cell r="B709" t="str">
            <v>AC717</v>
          </cell>
          <cell r="C709" t="str">
            <v>DAGBA_EXTENSION</v>
          </cell>
          <cell r="D709" t="str">
            <v>-3.88420251</v>
          </cell>
          <cell r="E709" t="str">
            <v>5.34172827</v>
          </cell>
          <cell r="F709" t="str">
            <v>2G/3G/4G</v>
          </cell>
          <cell r="G709" t="str">
            <v>ERICSSON</v>
          </cell>
          <cell r="H709" t="str">
            <v>MOOV</v>
          </cell>
          <cell r="I709" t="str">
            <v>BINGERVILLE</v>
          </cell>
          <cell r="J709" t="str">
            <v>BINGERVILLE</v>
          </cell>
          <cell r="K709" t="str">
            <v>ABIDJAN</v>
          </cell>
          <cell r="L709" t="str">
            <v>ABIDJAN</v>
          </cell>
          <cell r="M709" t="str">
            <v>COCODY LATRILLE</v>
          </cell>
          <cell r="N709" t="str">
            <v>ABIDJAN</v>
          </cell>
        </row>
        <row r="710">
          <cell r="B710" t="str">
            <v>AC718</v>
          </cell>
          <cell r="C710" t="str">
            <v>BINGES_ANADER</v>
          </cell>
          <cell r="D710" t="str">
            <v>-3.87333919</v>
          </cell>
          <cell r="E710" t="str">
            <v>5.36880791</v>
          </cell>
          <cell r="F710" t="str">
            <v>2G/3G/4G</v>
          </cell>
          <cell r="G710" t="str">
            <v>ERICSSON</v>
          </cell>
          <cell r="H710" t="str">
            <v>MOOV</v>
          </cell>
          <cell r="I710" t="str">
            <v>BINGERVILLE</v>
          </cell>
          <cell r="J710" t="str">
            <v>BINGERVILLE</v>
          </cell>
          <cell r="K710" t="str">
            <v>ABIDJAN</v>
          </cell>
          <cell r="L710" t="str">
            <v>ABIDJAN</v>
          </cell>
          <cell r="M710" t="str">
            <v>COCODY LATRILLE</v>
          </cell>
          <cell r="N710" t="str">
            <v>ABIDJAN</v>
          </cell>
        </row>
        <row r="711">
          <cell r="B711" t="str">
            <v>AC719</v>
          </cell>
          <cell r="C711" t="str">
            <v>MISSION_EPHRATA</v>
          </cell>
          <cell r="D711" t="str">
            <v>-3.9339</v>
          </cell>
          <cell r="E711" t="str">
            <v>5.38186</v>
          </cell>
          <cell r="F711" t="str">
            <v>2G/3G/4G</v>
          </cell>
          <cell r="G711" t="str">
            <v>ERICSSON</v>
          </cell>
          <cell r="H711" t="str">
            <v>MOOV</v>
          </cell>
          <cell r="I711" t="str">
            <v>COCODY</v>
          </cell>
          <cell r="J711" t="str">
            <v>ABIDJAN</v>
          </cell>
          <cell r="K711" t="str">
            <v>ABIDJAN</v>
          </cell>
          <cell r="L711" t="str">
            <v>ABIDJAN</v>
          </cell>
          <cell r="M711" t="str">
            <v>COCODY LATRILLE</v>
          </cell>
          <cell r="N711" t="str">
            <v>ABIDJAN</v>
          </cell>
        </row>
        <row r="712">
          <cell r="B712" t="str">
            <v>AC720</v>
          </cell>
          <cell r="C712" t="str">
            <v>SYNACASS_CI</v>
          </cell>
          <cell r="D712" t="str">
            <v>-3.944548</v>
          </cell>
          <cell r="E712" t="str">
            <v>5.348205</v>
          </cell>
          <cell r="F712" t="str">
            <v>2G/3G/4G</v>
          </cell>
          <cell r="G712" t="str">
            <v>ERICSSON</v>
          </cell>
          <cell r="H712" t="str">
            <v>MOOV</v>
          </cell>
          <cell r="I712" t="str">
            <v>COCODY</v>
          </cell>
          <cell r="J712" t="str">
            <v>ABIDJAN</v>
          </cell>
          <cell r="K712" t="str">
            <v>ABIDJAN</v>
          </cell>
          <cell r="L712" t="str">
            <v>ABIDJAN</v>
          </cell>
          <cell r="M712" t="str">
            <v>COCODY CENTRE</v>
          </cell>
          <cell r="N712" t="str">
            <v>ABIDJAN</v>
          </cell>
        </row>
        <row r="713">
          <cell r="B713" t="str">
            <v>AC721</v>
          </cell>
          <cell r="C713" t="str">
            <v>CITE_CIE</v>
          </cell>
          <cell r="D713" t="str">
            <v>-3.95367256</v>
          </cell>
          <cell r="E713" t="str">
            <v>5.35868371</v>
          </cell>
          <cell r="F713" t="str">
            <v>2G/3G/4G</v>
          </cell>
          <cell r="G713" t="str">
            <v>ERICSSON</v>
          </cell>
          <cell r="H713" t="str">
            <v>MOOV</v>
          </cell>
          <cell r="I713" t="str">
            <v>COCODY</v>
          </cell>
          <cell r="J713" t="str">
            <v>ABIDJAN</v>
          </cell>
          <cell r="K713" t="str">
            <v>ABIDJAN</v>
          </cell>
          <cell r="L713" t="str">
            <v>ABIDJAN</v>
          </cell>
          <cell r="M713" t="str">
            <v>COCODY CENTRE</v>
          </cell>
          <cell r="N713" t="str">
            <v>ABIDJAN</v>
          </cell>
        </row>
        <row r="714">
          <cell r="B714" t="str">
            <v>AC722</v>
          </cell>
          <cell r="C714" t="str">
            <v>AMBASSADE_USA</v>
          </cell>
          <cell r="D714" t="str">
            <v>-3.96910501</v>
          </cell>
          <cell r="E714" t="str">
            <v>5.33589258</v>
          </cell>
          <cell r="F714" t="str">
            <v>2G/3G/4G</v>
          </cell>
          <cell r="G714" t="str">
            <v>ERICSSON</v>
          </cell>
          <cell r="H714" t="str">
            <v>MOOV</v>
          </cell>
          <cell r="I714" t="str">
            <v>COCODY</v>
          </cell>
          <cell r="J714" t="str">
            <v>ABIDJAN</v>
          </cell>
          <cell r="K714" t="str">
            <v>ABIDJAN</v>
          </cell>
          <cell r="L714" t="str">
            <v>ABIDJAN</v>
          </cell>
          <cell r="M714" t="str">
            <v>COCODY CENTRE</v>
          </cell>
          <cell r="N714" t="str">
            <v>ABIDJAN</v>
          </cell>
        </row>
        <row r="715">
          <cell r="B715" t="str">
            <v>AC723</v>
          </cell>
          <cell r="C715" t="str">
            <v>CARINN_COUTURE</v>
          </cell>
          <cell r="D715" t="str">
            <v>-4.01803</v>
          </cell>
          <cell r="E715" t="str">
            <v>5.35647</v>
          </cell>
          <cell r="F715" t="str">
            <v>2G/3G/4G</v>
          </cell>
          <cell r="G715" t="str">
            <v>ERICSSON</v>
          </cell>
          <cell r="H715" t="str">
            <v>IHS (OCI)</v>
          </cell>
          <cell r="I715" t="str">
            <v>ADJAME</v>
          </cell>
          <cell r="J715" t="str">
            <v>ABIDJAN</v>
          </cell>
          <cell r="K715" t="str">
            <v>ABIDJAN</v>
          </cell>
          <cell r="L715" t="str">
            <v>ABIDJAN</v>
          </cell>
          <cell r="M715" t="str">
            <v>PLATEAU</v>
          </cell>
          <cell r="N715" t="str">
            <v>ABIDJAN</v>
          </cell>
        </row>
        <row r="716">
          <cell r="B716" t="str">
            <v>AC724</v>
          </cell>
          <cell r="C716" t="str">
            <v>BRACODI</v>
          </cell>
          <cell r="D716" t="str">
            <v>-4.02556672</v>
          </cell>
          <cell r="E716" t="str">
            <v>5.36119958</v>
          </cell>
          <cell r="F716" t="str">
            <v>2G/3G/4G</v>
          </cell>
          <cell r="G716" t="str">
            <v>ERICSSON</v>
          </cell>
          <cell r="H716" t="str">
            <v>MOOV</v>
          </cell>
          <cell r="I716" t="str">
            <v>ADJAME</v>
          </cell>
          <cell r="J716" t="str">
            <v>ABIDJAN</v>
          </cell>
          <cell r="K716" t="str">
            <v>ABIDJAN</v>
          </cell>
          <cell r="L716" t="str">
            <v>ABIDJAN</v>
          </cell>
          <cell r="M716" t="str">
            <v>PLATEAU</v>
          </cell>
          <cell r="N716" t="str">
            <v>ABIDJAN</v>
          </cell>
        </row>
        <row r="717">
          <cell r="B717" t="str">
            <v>AC725</v>
          </cell>
          <cell r="C717" t="str">
            <v>GOBELET_VILLAGE</v>
          </cell>
          <cell r="D717" t="str">
            <v>-3.98444965</v>
          </cell>
          <cell r="E717" t="str">
            <v>5.36619676</v>
          </cell>
          <cell r="F717" t="str">
            <v>2G/3G/4G</v>
          </cell>
          <cell r="G717" t="str">
            <v>ERICSSON</v>
          </cell>
          <cell r="H717" t="str">
            <v>MOOV</v>
          </cell>
          <cell r="I717" t="str">
            <v>COCODY</v>
          </cell>
          <cell r="J717" t="str">
            <v>ABIDJAN</v>
          </cell>
          <cell r="K717" t="str">
            <v>ABIDJAN</v>
          </cell>
          <cell r="L717" t="str">
            <v>ABIDJAN</v>
          </cell>
          <cell r="M717" t="str">
            <v>COCODY LATRILLE</v>
          </cell>
          <cell r="N717" t="str">
            <v>ABIDJAN</v>
          </cell>
        </row>
        <row r="718">
          <cell r="B718" t="str">
            <v>AC726</v>
          </cell>
          <cell r="C718" t="str">
            <v>ANGRE_PRGRME6</v>
          </cell>
          <cell r="D718" t="str">
            <v>-3.9702</v>
          </cell>
          <cell r="E718" t="str">
            <v>5.3991</v>
          </cell>
          <cell r="F718" t="str">
            <v>2G/3G/4G</v>
          </cell>
          <cell r="G718" t="str">
            <v>ERICSSON</v>
          </cell>
          <cell r="H718" t="str">
            <v>MOOV</v>
          </cell>
          <cell r="I718" t="str">
            <v>COCODY</v>
          </cell>
          <cell r="J718" t="str">
            <v>ABIDJAN</v>
          </cell>
          <cell r="K718" t="str">
            <v>ABIDJAN</v>
          </cell>
          <cell r="L718" t="str">
            <v>ABIDJAN</v>
          </cell>
          <cell r="M718" t="str">
            <v>COCODY LATRILLE</v>
          </cell>
          <cell r="N718" t="str">
            <v>ABIDJAN</v>
          </cell>
        </row>
        <row r="719">
          <cell r="B719" t="str">
            <v>AC727</v>
          </cell>
          <cell r="C719" t="str">
            <v>GESCO_FOURIERE</v>
          </cell>
          <cell r="D719" t="str">
            <v>-4.10022222222222</v>
          </cell>
          <cell r="E719" t="str">
            <v>5.36775</v>
          </cell>
          <cell r="F719" t="str">
            <v>2G/3G/4G</v>
          </cell>
          <cell r="G719" t="str">
            <v>ERICSSON</v>
          </cell>
          <cell r="H719" t="str">
            <v>IHS</v>
          </cell>
          <cell r="I719" t="str">
            <v>YOPOUGON</v>
          </cell>
          <cell r="J719" t="str">
            <v>ABIDJAN</v>
          </cell>
          <cell r="K719" t="str">
            <v>ABIDJAN</v>
          </cell>
          <cell r="L719" t="str">
            <v>ABIDJAN</v>
          </cell>
          <cell r="M719" t="str">
            <v>YOPOUGON FICGAYO</v>
          </cell>
          <cell r="N719" t="str">
            <v>ABIDJAN</v>
          </cell>
        </row>
        <row r="720">
          <cell r="B720" t="str">
            <v>AC728</v>
          </cell>
          <cell r="C720" t="str">
            <v>ABOBO_BAOULE</v>
          </cell>
          <cell r="D720" t="str">
            <v>-3.989932</v>
          </cell>
          <cell r="E720" t="str">
            <v>5.425888</v>
          </cell>
          <cell r="F720" t="str">
            <v>2G/3G/4G</v>
          </cell>
          <cell r="G720" t="str">
            <v>ERICSSON</v>
          </cell>
          <cell r="H720" t="str">
            <v>MOOV</v>
          </cell>
          <cell r="I720" t="str">
            <v>ABOBO</v>
          </cell>
          <cell r="J720" t="str">
            <v>ABIDJAN</v>
          </cell>
          <cell r="K720" t="str">
            <v>ABIDJAN</v>
          </cell>
          <cell r="L720" t="str">
            <v>ABIDJAN</v>
          </cell>
          <cell r="M720" t="str">
            <v>ABOBO</v>
          </cell>
          <cell r="N720" t="str">
            <v>ABIDJAN</v>
          </cell>
        </row>
        <row r="721">
          <cell r="B721" t="str">
            <v>AC729</v>
          </cell>
          <cell r="C721" t="str">
            <v>ABOBO_CLOTCHA</v>
          </cell>
          <cell r="D721" t="str">
            <v>-3.996618</v>
          </cell>
          <cell r="E721" t="str">
            <v>5.422522</v>
          </cell>
          <cell r="F721" t="str">
            <v>2G/3G/4G</v>
          </cell>
          <cell r="G721" t="str">
            <v>ERICSSON</v>
          </cell>
          <cell r="H721" t="str">
            <v>MOOV</v>
          </cell>
          <cell r="I721" t="str">
            <v>ABOBO</v>
          </cell>
          <cell r="J721" t="str">
            <v>ABIDJAN</v>
          </cell>
          <cell r="K721" t="str">
            <v>ABIDJAN</v>
          </cell>
          <cell r="L721" t="str">
            <v>ABIDJAN</v>
          </cell>
          <cell r="M721" t="str">
            <v>ABOBO</v>
          </cell>
          <cell r="N721" t="str">
            <v>ABIDJAN</v>
          </cell>
        </row>
        <row r="722">
          <cell r="B722" t="str">
            <v>AC730</v>
          </cell>
          <cell r="C722" t="str">
            <v>BALZAC</v>
          </cell>
          <cell r="D722" t="str">
            <v>-2.8077</v>
          </cell>
          <cell r="E722" t="str">
            <v>8.05407</v>
          </cell>
          <cell r="F722" t="str">
            <v>2G/3G/4G</v>
          </cell>
          <cell r="G722" t="str">
            <v>ERICSSON</v>
          </cell>
          <cell r="H722" t="str">
            <v>MOOV</v>
          </cell>
          <cell r="I722" t="str">
            <v>BONDOUKOU</v>
          </cell>
          <cell r="J722" t="str">
            <v>BONDOUKOU</v>
          </cell>
          <cell r="K722" t="str">
            <v>BONDOUKOU</v>
          </cell>
          <cell r="L722" t="str">
            <v>GONTOUGO</v>
          </cell>
          <cell r="M722" t="str">
            <v>ABENGOUROU</v>
          </cell>
          <cell r="N722" t="str">
            <v>UPCOUNTRY</v>
          </cell>
        </row>
        <row r="723">
          <cell r="B723" t="str">
            <v>AC731</v>
          </cell>
          <cell r="C723" t="str">
            <v>KAMAGAYA</v>
          </cell>
          <cell r="D723" t="str">
            <v>-2.785</v>
          </cell>
          <cell r="E723" t="str">
            <v>8.0265</v>
          </cell>
          <cell r="F723" t="str">
            <v>2G/3G/4G</v>
          </cell>
          <cell r="G723" t="str">
            <v>ERICSSON</v>
          </cell>
          <cell r="H723" t="str">
            <v>MOOV</v>
          </cell>
          <cell r="I723" t="str">
            <v>BONDOUKOU</v>
          </cell>
          <cell r="J723" t="str">
            <v>BONDOUKOU</v>
          </cell>
          <cell r="K723" t="str">
            <v>BONDOUKOU</v>
          </cell>
          <cell r="L723" t="str">
            <v>GONTOUGO</v>
          </cell>
          <cell r="M723" t="str">
            <v>ABENGOUROU</v>
          </cell>
          <cell r="N723" t="str">
            <v>UPCOUNTRY</v>
          </cell>
        </row>
        <row r="724">
          <cell r="B724" t="str">
            <v>AC732</v>
          </cell>
          <cell r="C724" t="str">
            <v>AMIAN_KOUASSIKRO</v>
          </cell>
          <cell r="D724" t="str">
            <v>-3.64327</v>
          </cell>
          <cell r="E724" t="str">
            <v>6.46807</v>
          </cell>
          <cell r="F724" t="str">
            <v>2G/3G/4G</v>
          </cell>
          <cell r="G724" t="str">
            <v>ERICSSON</v>
          </cell>
          <cell r="H724" t="str">
            <v>MOOV</v>
          </cell>
          <cell r="I724" t="str">
            <v>AMIAN KOUASSIKRO</v>
          </cell>
          <cell r="J724" t="str">
            <v>ANIASSUE</v>
          </cell>
          <cell r="K724" t="str">
            <v>ABENGOUROU</v>
          </cell>
          <cell r="L724" t="str">
            <v>INDENIE-DJUABLIN</v>
          </cell>
          <cell r="M724" t="str">
            <v>ABENGOUROU</v>
          </cell>
          <cell r="N724" t="str">
            <v>UPCOUNTRY</v>
          </cell>
        </row>
        <row r="725">
          <cell r="B725" t="str">
            <v>AC733</v>
          </cell>
          <cell r="C725" t="str">
            <v>APPROMPRON</v>
          </cell>
          <cell r="D725" t="str">
            <v>-3.31184</v>
          </cell>
          <cell r="E725" t="str">
            <v>6.29565</v>
          </cell>
          <cell r="F725" t="str">
            <v>2G/3G/4G</v>
          </cell>
          <cell r="G725" t="str">
            <v>ERICSSON</v>
          </cell>
          <cell r="H725" t="str">
            <v>IHS (OCI)</v>
          </cell>
          <cell r="I725" t="str">
            <v>APPRONPRON AFEWA</v>
          </cell>
          <cell r="J725" t="str">
            <v>DIAMARAKRO</v>
          </cell>
          <cell r="K725" t="str">
            <v>BETTIE</v>
          </cell>
          <cell r="L725" t="str">
            <v>INDENIE-DJUABLIN</v>
          </cell>
          <cell r="M725" t="str">
            <v>ABENGOUROU</v>
          </cell>
          <cell r="N725" t="str">
            <v>UPCOUNTRY</v>
          </cell>
        </row>
        <row r="726">
          <cell r="B726" t="str">
            <v>AC734</v>
          </cell>
          <cell r="C726" t="str">
            <v>APPOUASSO</v>
          </cell>
          <cell r="D726" t="str">
            <v>-3.17448</v>
          </cell>
          <cell r="E726" t="str">
            <v>5.96051</v>
          </cell>
          <cell r="F726" t="str">
            <v>2G/3G/4G</v>
          </cell>
          <cell r="G726" t="str">
            <v>ERICSSON</v>
          </cell>
          <cell r="H726" t="str">
            <v>MOOV</v>
          </cell>
          <cell r="I726" t="str">
            <v>APPOUASSO</v>
          </cell>
          <cell r="J726" t="str">
            <v>BIANOUAN</v>
          </cell>
          <cell r="K726" t="str">
            <v>ABOISSO</v>
          </cell>
          <cell r="L726" t="str">
            <v>SUD-COMOE</v>
          </cell>
          <cell r="M726" t="str">
            <v>MARCORY</v>
          </cell>
          <cell r="N726" t="str">
            <v>UPCOUNTRY</v>
          </cell>
        </row>
        <row r="727">
          <cell r="B727" t="str">
            <v>AC735</v>
          </cell>
          <cell r="C727" t="str">
            <v>ATTIEKRO</v>
          </cell>
          <cell r="D727" t="str">
            <v>-3.20459</v>
          </cell>
          <cell r="E727" t="str">
            <v>6.10715</v>
          </cell>
          <cell r="F727" t="str">
            <v>2G/3G/4G</v>
          </cell>
          <cell r="G727" t="str">
            <v>ERICSSON</v>
          </cell>
          <cell r="H727" t="str">
            <v>IHS (OCI)</v>
          </cell>
          <cell r="I727" t="str">
            <v>ATTIEKRO</v>
          </cell>
          <cell r="J727" t="str">
            <v>BIANOUAN</v>
          </cell>
          <cell r="K727" t="str">
            <v>ABOISSO</v>
          </cell>
          <cell r="L727" t="str">
            <v>SUD-COMOE</v>
          </cell>
          <cell r="M727" t="str">
            <v>MARCORY</v>
          </cell>
          <cell r="N727" t="str">
            <v>UPCOUNTRY</v>
          </cell>
        </row>
        <row r="728">
          <cell r="B728" t="str">
            <v>AC736</v>
          </cell>
          <cell r="C728" t="str">
            <v>AYENOUAN</v>
          </cell>
          <cell r="D728" t="str">
            <v>-3.32623</v>
          </cell>
          <cell r="E728" t="str">
            <v>5.38326</v>
          </cell>
          <cell r="F728" t="str">
            <v>2G/3G/4G</v>
          </cell>
          <cell r="G728" t="str">
            <v>ERICSSON</v>
          </cell>
          <cell r="H728" t="str">
            <v>MOOV</v>
          </cell>
          <cell r="I728" t="str">
            <v>AYENOUAN</v>
          </cell>
          <cell r="J728" t="str">
            <v>ADAOU</v>
          </cell>
          <cell r="K728" t="str">
            <v>ABOISSO</v>
          </cell>
          <cell r="L728" t="str">
            <v>SUD-COMOE</v>
          </cell>
          <cell r="M728" t="str">
            <v>MARCORY</v>
          </cell>
          <cell r="N728" t="str">
            <v>UPCOUNTRY</v>
          </cell>
        </row>
        <row r="729">
          <cell r="B729" t="str">
            <v>AC737</v>
          </cell>
          <cell r="C729" t="str">
            <v>DIBY</v>
          </cell>
          <cell r="D729" t="str">
            <v>-2.97707</v>
          </cell>
          <cell r="E729" t="str">
            <v>5.6505</v>
          </cell>
          <cell r="F729" t="str">
            <v>2G/3G/4G</v>
          </cell>
          <cell r="G729" t="str">
            <v>ERICSSON</v>
          </cell>
          <cell r="H729" t="str">
            <v>MOOV</v>
          </cell>
          <cell r="I729" t="str">
            <v>DIBY</v>
          </cell>
          <cell r="J729" t="str">
            <v>MAFERE</v>
          </cell>
          <cell r="K729" t="str">
            <v>ABOISSO</v>
          </cell>
          <cell r="L729" t="str">
            <v>SUD-COMOE</v>
          </cell>
          <cell r="M729" t="str">
            <v>MARCORY</v>
          </cell>
          <cell r="N729" t="str">
            <v>UPCOUNTRY</v>
          </cell>
        </row>
        <row r="730">
          <cell r="B730" t="str">
            <v>AC738</v>
          </cell>
          <cell r="C730" t="str">
            <v>KAKOUKRO_LIMITE</v>
          </cell>
          <cell r="D730" t="str">
            <v>-3.44379</v>
          </cell>
          <cell r="E730" t="str">
            <v>5.35648</v>
          </cell>
          <cell r="F730" t="str">
            <v>2G/3G/4G</v>
          </cell>
          <cell r="G730" t="str">
            <v>ERICSSON</v>
          </cell>
          <cell r="H730" t="str">
            <v>MOOV</v>
          </cell>
          <cell r="I730" t="str">
            <v>KAKOUKRO-LIMITE</v>
          </cell>
          <cell r="J730" t="str">
            <v>ADAOU</v>
          </cell>
          <cell r="K730" t="str">
            <v>ABOISSO</v>
          </cell>
          <cell r="L730" t="str">
            <v>SUD-COMOE</v>
          </cell>
          <cell r="M730" t="str">
            <v>MARCORY</v>
          </cell>
          <cell r="N730" t="str">
            <v>UPCOUNTRY</v>
          </cell>
        </row>
        <row r="731">
          <cell r="B731" t="str">
            <v>AC739</v>
          </cell>
          <cell r="C731" t="str">
            <v>KETESSO</v>
          </cell>
          <cell r="D731" t="str">
            <v>-3.1768</v>
          </cell>
          <cell r="E731" t="str">
            <v>5.88344</v>
          </cell>
          <cell r="F731" t="str">
            <v>2G/3G/4G</v>
          </cell>
          <cell r="G731" t="str">
            <v>ERICSSON</v>
          </cell>
          <cell r="H731" t="str">
            <v>IHS (OCI)</v>
          </cell>
          <cell r="I731" t="str">
            <v>KETESSO</v>
          </cell>
          <cell r="J731" t="str">
            <v>BIANOUAN</v>
          </cell>
          <cell r="K731" t="str">
            <v>ABOISSO</v>
          </cell>
          <cell r="L731" t="str">
            <v>SUD-COMOE</v>
          </cell>
          <cell r="M731" t="str">
            <v>MARCORY</v>
          </cell>
          <cell r="N731" t="str">
            <v>UPCOUNTRY</v>
          </cell>
        </row>
        <row r="732">
          <cell r="B732" t="str">
            <v>AC740</v>
          </cell>
          <cell r="C732" t="str">
            <v>ASSAKRO</v>
          </cell>
          <cell r="D732" t="str">
            <v>-3.63473</v>
          </cell>
          <cell r="E732" t="str">
            <v>6.58098</v>
          </cell>
          <cell r="F732" t="str">
            <v>2G/3G/4G</v>
          </cell>
          <cell r="G732" t="str">
            <v>ERICSSON</v>
          </cell>
          <cell r="H732" t="str">
            <v>MOOV</v>
          </cell>
          <cell r="I732" t="str">
            <v>ASSAKRO</v>
          </cell>
          <cell r="J732" t="str">
            <v>ANIASSUE</v>
          </cell>
          <cell r="K732" t="str">
            <v>ABENGOUROU</v>
          </cell>
          <cell r="L732" t="str">
            <v>INDENIE-DJUABLIN</v>
          </cell>
          <cell r="M732" t="str">
            <v>ABENGOUROU</v>
          </cell>
          <cell r="N732" t="str">
            <v>UPCOUNTRY</v>
          </cell>
        </row>
        <row r="733">
          <cell r="B733" t="str">
            <v>AC741</v>
          </cell>
          <cell r="C733" t="str">
            <v>BEBOU</v>
          </cell>
          <cell r="D733" t="str">
            <v>-3.41405</v>
          </cell>
          <cell r="E733" t="str">
            <v>6.3664</v>
          </cell>
          <cell r="F733" t="str">
            <v>2G/3G/4G</v>
          </cell>
          <cell r="G733" t="str">
            <v>ERICSSON</v>
          </cell>
          <cell r="H733" t="str">
            <v>MOOV</v>
          </cell>
          <cell r="I733" t="str">
            <v>BEBOU</v>
          </cell>
          <cell r="J733" t="str">
            <v>ZARANOU</v>
          </cell>
          <cell r="K733" t="str">
            <v>ABENGOUROU</v>
          </cell>
          <cell r="L733" t="str">
            <v>INDENIE-DJUABLIN</v>
          </cell>
          <cell r="M733" t="str">
            <v>ABENGOUROU</v>
          </cell>
          <cell r="N733" t="str">
            <v>UPCOUNTRY</v>
          </cell>
        </row>
        <row r="734">
          <cell r="B734" t="str">
            <v>AC742</v>
          </cell>
          <cell r="C734" t="str">
            <v>DAME</v>
          </cell>
          <cell r="D734" t="str">
            <v>-3.1457</v>
          </cell>
          <cell r="E734" t="str">
            <v>7.06267</v>
          </cell>
          <cell r="F734" t="str">
            <v>2G/3G/4G</v>
          </cell>
          <cell r="G734" t="str">
            <v>ERICSSON</v>
          </cell>
          <cell r="H734" t="str">
            <v>IHS (CIT)</v>
          </cell>
          <cell r="I734" t="str">
            <v>DAME</v>
          </cell>
          <cell r="J734" t="str">
            <v>DAME</v>
          </cell>
          <cell r="K734" t="str">
            <v>AGNIBILEKROU</v>
          </cell>
          <cell r="L734" t="str">
            <v>INDENIE-DJUABLIN</v>
          </cell>
          <cell r="M734" t="str">
            <v>ABENGOUROU</v>
          </cell>
          <cell r="N734" t="str">
            <v>UPCOUNTRY</v>
          </cell>
        </row>
        <row r="735">
          <cell r="B735" t="str">
            <v>AC743</v>
          </cell>
          <cell r="C735" t="str">
            <v>WATE</v>
          </cell>
          <cell r="D735" t="str">
            <v>-6.78</v>
          </cell>
          <cell r="E735" t="str">
            <v>4.93706</v>
          </cell>
          <cell r="F735" t="str">
            <v>2G/3G/4G</v>
          </cell>
          <cell r="G735" t="str">
            <v>ERICSSON</v>
          </cell>
          <cell r="H735" t="str">
            <v>MOOV</v>
          </cell>
          <cell r="I735" t="str">
            <v>WATE</v>
          </cell>
          <cell r="J735" t="str">
            <v>SAN-PEDRO</v>
          </cell>
          <cell r="K735" t="str">
            <v>SAN-PEDRO</v>
          </cell>
          <cell r="L735" t="str">
            <v>SAN-PEDRO</v>
          </cell>
          <cell r="M735" t="str">
            <v>SAN-PEDRO</v>
          </cell>
          <cell r="N735" t="str">
            <v>UPCOUNTRY</v>
          </cell>
        </row>
        <row r="736">
          <cell r="B736" t="str">
            <v>AC744</v>
          </cell>
          <cell r="C736" t="str">
            <v>ANNO</v>
          </cell>
          <cell r="D736" t="str">
            <v>-4.38155</v>
          </cell>
          <cell r="E736" t="str">
            <v>5.8587</v>
          </cell>
          <cell r="F736" t="str">
            <v>2G/3G/4G</v>
          </cell>
          <cell r="G736" t="str">
            <v>ERICSSON</v>
          </cell>
          <cell r="H736" t="str">
            <v>MOOV</v>
          </cell>
          <cell r="I736" t="str">
            <v>ANNO</v>
          </cell>
          <cell r="J736" t="str">
            <v>LOVIGUIE</v>
          </cell>
          <cell r="K736" t="str">
            <v>AGBOVILLE</v>
          </cell>
          <cell r="L736" t="str">
            <v>AGNEBY-TIASSA</v>
          </cell>
          <cell r="M736" t="str">
            <v>ABOBO</v>
          </cell>
          <cell r="N736" t="str">
            <v>UPCOUNTRY</v>
          </cell>
        </row>
        <row r="737">
          <cell r="B737" t="str">
            <v>AC745</v>
          </cell>
          <cell r="C737" t="str">
            <v>ATTIGUEHI</v>
          </cell>
          <cell r="D737" t="str">
            <v>-4.55222</v>
          </cell>
          <cell r="E737" t="str">
            <v>6.07018</v>
          </cell>
          <cell r="F737" t="str">
            <v>2G/3G/4G</v>
          </cell>
          <cell r="G737" t="str">
            <v>ERICSSON</v>
          </cell>
          <cell r="H737" t="str">
            <v>MOOV</v>
          </cell>
          <cell r="I737" t="str">
            <v>ATTIGUEHI</v>
          </cell>
          <cell r="J737" t="str">
            <v>N'DOUCI</v>
          </cell>
          <cell r="K737" t="str">
            <v>TIASSALE</v>
          </cell>
          <cell r="L737" t="str">
            <v>AGNEBY-TIASSA</v>
          </cell>
          <cell r="M737" t="str">
            <v>ABOBO</v>
          </cell>
          <cell r="N737" t="str">
            <v>UPCOUNTRY</v>
          </cell>
        </row>
        <row r="738">
          <cell r="B738" t="str">
            <v>AC746</v>
          </cell>
          <cell r="C738" t="str">
            <v>MANZANOUAN</v>
          </cell>
          <cell r="D738" t="str">
            <v>-3.28974</v>
          </cell>
          <cell r="E738" t="str">
            <v>6.84277</v>
          </cell>
          <cell r="F738" t="str">
            <v>2G/3G/4G</v>
          </cell>
          <cell r="G738" t="str">
            <v>ERICSSON</v>
          </cell>
          <cell r="H738" t="str">
            <v>MOOV</v>
          </cell>
          <cell r="I738" t="str">
            <v>MANZANOUAN</v>
          </cell>
          <cell r="J738" t="str">
            <v>AKOBOISSUE</v>
          </cell>
          <cell r="K738" t="str">
            <v>AGNIBILEKROU</v>
          </cell>
          <cell r="L738" t="str">
            <v>INDENIE-DJUABLIN</v>
          </cell>
          <cell r="M738" t="str">
            <v>ABENGOUROU</v>
          </cell>
          <cell r="N738" t="str">
            <v>UPCOUNTRY</v>
          </cell>
        </row>
        <row r="739">
          <cell r="B739" t="str">
            <v>AC747</v>
          </cell>
          <cell r="C739" t="str">
            <v>BECEDI_BRIGNAN</v>
          </cell>
          <cell r="D739" t="str">
            <v>-4.01</v>
          </cell>
          <cell r="E739" t="str">
            <v>5.91031</v>
          </cell>
          <cell r="F739" t="str">
            <v>2G/3G/4G</v>
          </cell>
          <cell r="G739" t="str">
            <v>ERICSSON</v>
          </cell>
          <cell r="H739" t="str">
            <v>MOOV</v>
          </cell>
          <cell r="I739" t="str">
            <v>BECEDI-BRIGNAN</v>
          </cell>
          <cell r="J739" t="str">
            <v>BECEDI-BRIGNAN</v>
          </cell>
          <cell r="K739" t="str">
            <v>ADZOPE</v>
          </cell>
          <cell r="L739" t="str">
            <v>LA ME</v>
          </cell>
          <cell r="M739" t="str">
            <v>ABOBO</v>
          </cell>
          <cell r="N739" t="str">
            <v>UPCOUNTRY</v>
          </cell>
        </row>
        <row r="740">
          <cell r="B740" t="str">
            <v>AC748</v>
          </cell>
          <cell r="C740" t="str">
            <v>AHOUANOU</v>
          </cell>
          <cell r="D740" t="str">
            <v>-4.85668</v>
          </cell>
          <cell r="E740" t="str">
            <v>5.51124</v>
          </cell>
          <cell r="F740" t="str">
            <v>2G/3G/4G</v>
          </cell>
          <cell r="G740" t="str">
            <v>ERICSSON</v>
          </cell>
          <cell r="H740" t="str">
            <v>MOOV</v>
          </cell>
          <cell r="I740" t="str">
            <v>AHOUANOU</v>
          </cell>
          <cell r="J740" t="str">
            <v>AHOUANOU</v>
          </cell>
          <cell r="K740" t="str">
            <v>GRAND-LAHOU</v>
          </cell>
          <cell r="L740" t="str">
            <v>GRANDS-PONTS</v>
          </cell>
          <cell r="M740" t="str">
            <v>YOPOUGON FICGAYO</v>
          </cell>
          <cell r="N740" t="str">
            <v>UPCOUNTRY</v>
          </cell>
        </row>
        <row r="741">
          <cell r="B741" t="str">
            <v>AC749</v>
          </cell>
          <cell r="C741" t="str">
            <v>BIEBY</v>
          </cell>
          <cell r="D741" t="str">
            <v>-3.64046</v>
          </cell>
          <cell r="E741" t="str">
            <v>6.08023</v>
          </cell>
          <cell r="F741" t="str">
            <v>2G/3G/4G</v>
          </cell>
          <cell r="G741" t="str">
            <v>ERICSSON</v>
          </cell>
          <cell r="H741" t="str">
            <v>MOOV</v>
          </cell>
          <cell r="I741" t="str">
            <v>BIEBY</v>
          </cell>
          <cell r="J741" t="str">
            <v>BIEBY</v>
          </cell>
          <cell r="K741" t="str">
            <v>YAKASSE-ATTOBROU</v>
          </cell>
          <cell r="L741" t="str">
            <v>LA ME</v>
          </cell>
          <cell r="M741" t="str">
            <v>ABENGOUROU</v>
          </cell>
          <cell r="N741" t="str">
            <v>UPCOUNTRY</v>
          </cell>
        </row>
        <row r="742">
          <cell r="B742" t="str">
            <v>AC750</v>
          </cell>
          <cell r="C742" t="str">
            <v>DIAPE</v>
          </cell>
          <cell r="D742" t="str">
            <v>-3.92875</v>
          </cell>
          <cell r="E742" t="str">
            <v>6.01554</v>
          </cell>
          <cell r="F742" t="str">
            <v>2G/3G/4G</v>
          </cell>
          <cell r="G742" t="str">
            <v>ERICSSON</v>
          </cell>
          <cell r="H742" t="str">
            <v>MOOV</v>
          </cell>
          <cell r="I742" t="str">
            <v>DIAPE</v>
          </cell>
          <cell r="J742" t="str">
            <v>AGOU</v>
          </cell>
          <cell r="K742" t="str">
            <v>ADZOPE</v>
          </cell>
          <cell r="L742" t="str">
            <v>LA ME</v>
          </cell>
          <cell r="M742" t="str">
            <v>ABENGOUROU</v>
          </cell>
          <cell r="N742" t="str">
            <v>UPCOUNTRY</v>
          </cell>
        </row>
        <row r="743">
          <cell r="B743" t="str">
            <v>AC751</v>
          </cell>
          <cell r="C743" t="str">
            <v>BACANDA</v>
          </cell>
          <cell r="D743" t="str">
            <v>-4.88099</v>
          </cell>
          <cell r="E743" t="str">
            <v>5.63434</v>
          </cell>
          <cell r="F743" t="str">
            <v>2G/3G/4G</v>
          </cell>
          <cell r="G743" t="str">
            <v>ERICSSON</v>
          </cell>
          <cell r="H743" t="str">
            <v>MOOV</v>
          </cell>
          <cell r="I743" t="str">
            <v>BACANDA</v>
          </cell>
          <cell r="J743" t="str">
            <v>BACANDA</v>
          </cell>
          <cell r="K743" t="str">
            <v>GRAND-LAHOU</v>
          </cell>
          <cell r="L743" t="str">
            <v>GRANDS-PONTS</v>
          </cell>
          <cell r="M743" t="str">
            <v>YOPOUGON SABLE</v>
          </cell>
          <cell r="N743" t="str">
            <v>UPCOUNTRY</v>
          </cell>
        </row>
        <row r="744">
          <cell r="B744" t="str">
            <v>AC752</v>
          </cell>
          <cell r="C744" t="str">
            <v>KOYEKRO</v>
          </cell>
          <cell r="D744" t="str">
            <v>-4.74899</v>
          </cell>
          <cell r="E744" t="str">
            <v>6.15369</v>
          </cell>
          <cell r="F744" t="str">
            <v>2G/3G/4G</v>
          </cell>
          <cell r="G744" t="str">
            <v>ERICSSON</v>
          </cell>
          <cell r="H744" t="str">
            <v>MOOV</v>
          </cell>
          <cell r="I744" t="str">
            <v>KOYEKRO</v>
          </cell>
          <cell r="J744" t="str">
            <v>MOROKRO</v>
          </cell>
          <cell r="K744" t="str">
            <v>TIASSALE</v>
          </cell>
          <cell r="L744" t="str">
            <v>AGNEBY-TIASSA</v>
          </cell>
          <cell r="M744" t="str">
            <v>YOPOUGON SABLE</v>
          </cell>
          <cell r="N744" t="str">
            <v>UPCOUNTRY</v>
          </cell>
        </row>
        <row r="745">
          <cell r="B745" t="str">
            <v>AC753</v>
          </cell>
          <cell r="C745" t="str">
            <v>COSROU</v>
          </cell>
          <cell r="D745" t="str">
            <v>-4.657</v>
          </cell>
          <cell r="E745" t="str">
            <v>5.32057</v>
          </cell>
          <cell r="F745" t="str">
            <v>2G/3G/4G</v>
          </cell>
          <cell r="G745" t="str">
            <v>ERICSSON</v>
          </cell>
          <cell r="H745" t="str">
            <v>MOOV</v>
          </cell>
          <cell r="I745" t="str">
            <v>COSROU</v>
          </cell>
          <cell r="J745" t="str">
            <v>TOUPAH</v>
          </cell>
          <cell r="K745" t="str">
            <v>DABOU</v>
          </cell>
          <cell r="L745" t="str">
            <v>GRANDS-PONTS</v>
          </cell>
          <cell r="M745" t="str">
            <v>YOPOUGON FICGAYO</v>
          </cell>
          <cell r="N745" t="str">
            <v>UPCOUNTRY</v>
          </cell>
        </row>
        <row r="746">
          <cell r="B746" t="str">
            <v>AC754</v>
          </cell>
          <cell r="C746" t="str">
            <v>TANGUELAN</v>
          </cell>
          <cell r="D746" t="str">
            <v>-3.31075</v>
          </cell>
          <cell r="E746" t="str">
            <v>7.16381</v>
          </cell>
          <cell r="F746" t="str">
            <v>2G/3G/4G</v>
          </cell>
          <cell r="G746" t="str">
            <v>ERICSSON</v>
          </cell>
          <cell r="H746" t="str">
            <v>MOOV</v>
          </cell>
          <cell r="I746" t="str">
            <v>TANGUELAN</v>
          </cell>
          <cell r="J746" t="str">
            <v>TANGUELAN</v>
          </cell>
          <cell r="K746" t="str">
            <v>AGNIBILEKROU</v>
          </cell>
          <cell r="L746" t="str">
            <v>INDENIE-DJUABLIN</v>
          </cell>
          <cell r="M746" t="str">
            <v>ABENGOUROU</v>
          </cell>
          <cell r="N746" t="str">
            <v>UPCOUNTRY</v>
          </cell>
        </row>
        <row r="747">
          <cell r="B747" t="str">
            <v>AC755</v>
          </cell>
          <cell r="C747" t="str">
            <v>PETIT_YAPO</v>
          </cell>
          <cell r="D747" t="str">
            <v>-4.143</v>
          </cell>
          <cell r="E747" t="str">
            <v>5.80293</v>
          </cell>
          <cell r="F747" t="str">
            <v>2G/3G/4G</v>
          </cell>
          <cell r="G747" t="str">
            <v>ERICSSON</v>
          </cell>
          <cell r="H747" t="str">
            <v>MOOV</v>
          </cell>
          <cell r="I747" t="str">
            <v>PETITYAPO</v>
          </cell>
          <cell r="J747" t="str">
            <v>AGBOVILLE</v>
          </cell>
          <cell r="K747" t="str">
            <v>AGBOVILLE</v>
          </cell>
          <cell r="L747" t="str">
            <v>AGNEBY-TIASSA</v>
          </cell>
          <cell r="M747" t="str">
            <v>ABOBO</v>
          </cell>
          <cell r="N747" t="str">
            <v>UPCOUNTRY</v>
          </cell>
        </row>
        <row r="748">
          <cell r="B748" t="str">
            <v>AC756</v>
          </cell>
          <cell r="C748" t="str">
            <v>ASSUEFRY</v>
          </cell>
          <cell r="D748" t="str">
            <v>-2.97838</v>
          </cell>
          <cell r="E748" t="str">
            <v>7.70243</v>
          </cell>
          <cell r="F748" t="str">
            <v>2G/3G/4G</v>
          </cell>
          <cell r="G748" t="str">
            <v>ERICSSON</v>
          </cell>
          <cell r="H748" t="str">
            <v>MOOV</v>
          </cell>
          <cell r="I748" t="str">
            <v>ASSUEFRY</v>
          </cell>
          <cell r="J748" t="str">
            <v>ASSUEFRY</v>
          </cell>
          <cell r="K748" t="str">
            <v>TRANSUA</v>
          </cell>
          <cell r="L748" t="str">
            <v>GONTOUGO</v>
          </cell>
          <cell r="M748" t="str">
            <v>ABENGOUROU</v>
          </cell>
          <cell r="N748" t="str">
            <v>UPCOUNTRY</v>
          </cell>
        </row>
        <row r="749">
          <cell r="B749" t="str">
            <v>AC757</v>
          </cell>
          <cell r="C749" t="str">
            <v>VIEUX_BADIAN</v>
          </cell>
          <cell r="D749" t="str">
            <v>-4.652363</v>
          </cell>
          <cell r="E749" t="str">
            <v>5.389923</v>
          </cell>
          <cell r="F749" t="str">
            <v>2G/3G/4G</v>
          </cell>
          <cell r="G749" t="str">
            <v>ERICSSON</v>
          </cell>
          <cell r="H749" t="str">
            <v>MOOV</v>
          </cell>
          <cell r="I749" t="str">
            <v>NOUVEL-OUSROU</v>
          </cell>
          <cell r="J749" t="str">
            <v>TOUPAH</v>
          </cell>
          <cell r="K749" t="str">
            <v>DABOU</v>
          </cell>
          <cell r="L749" t="str">
            <v>GRANDS-PONTS</v>
          </cell>
          <cell r="M749" t="str">
            <v>YOPOUGON FICGAYO</v>
          </cell>
          <cell r="N749" t="str">
            <v>UPCOUNTRY</v>
          </cell>
        </row>
        <row r="750">
          <cell r="B750" t="str">
            <v>AC758</v>
          </cell>
          <cell r="C750" t="str">
            <v>KOUASSI_DATEKRO</v>
          </cell>
          <cell r="D750" t="str">
            <v>-3.53222</v>
          </cell>
          <cell r="E750" t="str">
            <v>7.82022</v>
          </cell>
          <cell r="F750" t="str">
            <v>2G/3G/4G</v>
          </cell>
          <cell r="G750" t="str">
            <v>ERICSSON</v>
          </cell>
          <cell r="H750" t="str">
            <v>IHS (CIT)</v>
          </cell>
          <cell r="I750" t="str">
            <v>KOUASSI-DATEKRO</v>
          </cell>
          <cell r="J750" t="str">
            <v>KOUASSI-DATEKRO</v>
          </cell>
          <cell r="K750" t="str">
            <v>KOUN-FAO</v>
          </cell>
          <cell r="L750" t="str">
            <v>GONTOUGO</v>
          </cell>
          <cell r="M750" t="str">
            <v>ABENGOUROU</v>
          </cell>
          <cell r="N750" t="str">
            <v>UPCOUNTRY</v>
          </cell>
        </row>
        <row r="751">
          <cell r="B751" t="str">
            <v>AC759</v>
          </cell>
          <cell r="C751" t="str">
            <v>OLODIO</v>
          </cell>
          <cell r="D751" t="str">
            <v>-7.47</v>
          </cell>
          <cell r="E751" t="str">
            <v>4.71301</v>
          </cell>
          <cell r="F751" t="str">
            <v>2G/3G/4G</v>
          </cell>
          <cell r="G751" t="str">
            <v>ERICSSON</v>
          </cell>
          <cell r="H751" t="str">
            <v>MOOV</v>
          </cell>
          <cell r="I751" t="str">
            <v>OLODIO</v>
          </cell>
          <cell r="J751" t="str">
            <v>OLODIO</v>
          </cell>
          <cell r="K751" t="str">
            <v>TABOU</v>
          </cell>
          <cell r="L751" t="str">
            <v>SAN-PEDRO</v>
          </cell>
          <cell r="M751" t="str">
            <v>SAN-PEDRO</v>
          </cell>
          <cell r="N751" t="str">
            <v>UPCOUNTRY</v>
          </cell>
        </row>
        <row r="752">
          <cell r="B752" t="str">
            <v>AC760</v>
          </cell>
          <cell r="C752" t="str">
            <v>NONOUAN</v>
          </cell>
          <cell r="D752" t="str">
            <v>-6.37249</v>
          </cell>
          <cell r="E752" t="str">
            <v>5.02534</v>
          </cell>
          <cell r="F752" t="str">
            <v>2G/3G/4G</v>
          </cell>
          <cell r="G752" t="str">
            <v>ERICSSON</v>
          </cell>
          <cell r="H752" t="str">
            <v>MOOV</v>
          </cell>
          <cell r="I752" t="str">
            <v>NONOUAN</v>
          </cell>
          <cell r="J752" t="str">
            <v>GABIADJI</v>
          </cell>
          <cell r="K752" t="str">
            <v>SAN-PEDRO</v>
          </cell>
          <cell r="L752" t="str">
            <v>SAN-PEDRO</v>
          </cell>
          <cell r="M752" t="str">
            <v>SAN-PEDRO</v>
          </cell>
          <cell r="N752" t="str">
            <v>UPCOUNTRY</v>
          </cell>
        </row>
        <row r="753">
          <cell r="B753" t="str">
            <v>AC761</v>
          </cell>
          <cell r="C753" t="str">
            <v>DOUMOROSSI</v>
          </cell>
          <cell r="D753" t="str">
            <v>-3.49648</v>
          </cell>
          <cell r="E753" t="str">
            <v>7.58953</v>
          </cell>
          <cell r="F753" t="str">
            <v>2G/3G/4G</v>
          </cell>
          <cell r="G753" t="str">
            <v>ERICSSON</v>
          </cell>
          <cell r="H753" t="str">
            <v>MOOV</v>
          </cell>
          <cell r="I753" t="str">
            <v>DOUMOROSSI</v>
          </cell>
          <cell r="J753" t="str">
            <v>BOAHIA</v>
          </cell>
          <cell r="K753" t="str">
            <v>KOUN-FAO</v>
          </cell>
          <cell r="L753" t="str">
            <v>GONTOUGO</v>
          </cell>
          <cell r="M753" t="str">
            <v>ABENGOUROU</v>
          </cell>
          <cell r="N753" t="str">
            <v>UPCOUNTRY</v>
          </cell>
        </row>
        <row r="754">
          <cell r="B754" t="str">
            <v>AC762</v>
          </cell>
          <cell r="C754" t="str">
            <v>PETIT_PEDRO</v>
          </cell>
          <cell r="D754" t="str">
            <v>-6.59156</v>
          </cell>
          <cell r="E754" t="str">
            <v>4.88681</v>
          </cell>
          <cell r="F754" t="str">
            <v>2G/3G/4G</v>
          </cell>
          <cell r="G754" t="str">
            <v>ERICSSON</v>
          </cell>
          <cell r="H754" t="str">
            <v>MOOV</v>
          </cell>
          <cell r="I754" t="str">
            <v>PETIT-PEDRO</v>
          </cell>
          <cell r="J754" t="str">
            <v>SAN-PEDRO</v>
          </cell>
          <cell r="K754" t="str">
            <v>SAN-PEDRO</v>
          </cell>
          <cell r="L754" t="str">
            <v>SAN-PEDRO</v>
          </cell>
          <cell r="M754" t="str">
            <v>SAN-PEDRO</v>
          </cell>
          <cell r="N754" t="str">
            <v>UPCOUNTRY</v>
          </cell>
        </row>
        <row r="755">
          <cell r="B755" t="str">
            <v>AC763</v>
          </cell>
          <cell r="C755" t="str">
            <v>KOTIESSOU</v>
          </cell>
          <cell r="D755" t="str">
            <v>-5.05973</v>
          </cell>
          <cell r="E755" t="str">
            <v>6.18136</v>
          </cell>
          <cell r="F755" t="str">
            <v>2G/3G/4G</v>
          </cell>
          <cell r="G755" t="str">
            <v>ERICSSON</v>
          </cell>
          <cell r="H755" t="str">
            <v>MOOV</v>
          </cell>
          <cell r="I755" t="str">
            <v>KOTIESSOU</v>
          </cell>
          <cell r="J755" t="str">
            <v>TAABO</v>
          </cell>
          <cell r="K755" t="str">
            <v>TAABO</v>
          </cell>
          <cell r="L755" t="str">
            <v>AGNEBY-TIASSA</v>
          </cell>
          <cell r="M755" t="str">
            <v>YAMOUSSOUKRO</v>
          </cell>
          <cell r="N755" t="str">
            <v>UPCOUNTRY</v>
          </cell>
        </row>
        <row r="756">
          <cell r="B756" t="str">
            <v>AC764</v>
          </cell>
          <cell r="C756" t="str">
            <v>FLAKIEDOUGOU</v>
          </cell>
          <cell r="D756" t="str">
            <v>-3.12777</v>
          </cell>
          <cell r="E756" t="str">
            <v>8.48523</v>
          </cell>
          <cell r="F756" t="str">
            <v>2G/3G/4G</v>
          </cell>
          <cell r="G756" t="str">
            <v>ERICSSON</v>
          </cell>
          <cell r="H756" t="str">
            <v>MOOV</v>
          </cell>
          <cell r="I756" t="str">
            <v>FLAKIEDOUGOU</v>
          </cell>
          <cell r="J756" t="str">
            <v>LAOUDI-BA</v>
          </cell>
          <cell r="K756" t="str">
            <v>BONDOUKOU</v>
          </cell>
          <cell r="L756" t="str">
            <v>GONTOUGO</v>
          </cell>
          <cell r="M756" t="str">
            <v>ABENGOUROU</v>
          </cell>
          <cell r="N756" t="str">
            <v>UPCOUNTRY</v>
          </cell>
        </row>
        <row r="757">
          <cell r="B757" t="str">
            <v>AC765</v>
          </cell>
          <cell r="C757" t="str">
            <v>TIEGBA</v>
          </cell>
          <cell r="D757" t="str">
            <v>-5.142</v>
          </cell>
          <cell r="E757" t="str">
            <v>5.60375</v>
          </cell>
          <cell r="F757" t="str">
            <v>2G/3G/4G</v>
          </cell>
          <cell r="G757" t="str">
            <v>ERICSSON</v>
          </cell>
          <cell r="H757" t="str">
            <v>MOOV</v>
          </cell>
          <cell r="I757" t="str">
            <v>TIEGBA</v>
          </cell>
          <cell r="J757" t="str">
            <v>GUITRY</v>
          </cell>
          <cell r="K757" t="str">
            <v>GUITRY</v>
          </cell>
          <cell r="L757" t="str">
            <v>LOH-DJIBOUA</v>
          </cell>
          <cell r="M757" t="str">
            <v>DIVO</v>
          </cell>
          <cell r="N757" t="str">
            <v>UPCOUNTRY</v>
          </cell>
        </row>
        <row r="758">
          <cell r="B758" t="str">
            <v>AC766</v>
          </cell>
          <cell r="C758" t="str">
            <v>DAHIRI</v>
          </cell>
          <cell r="D758" t="str">
            <v>-5.53043</v>
          </cell>
          <cell r="E758" t="str">
            <v>5.27898</v>
          </cell>
          <cell r="F758" t="str">
            <v>2G/3G/4G</v>
          </cell>
          <cell r="G758" t="str">
            <v>ERICSSON</v>
          </cell>
          <cell r="H758" t="str">
            <v>IHS (OCI)</v>
          </cell>
          <cell r="I758" t="str">
            <v>DAHIRI</v>
          </cell>
          <cell r="J758" t="str">
            <v>DAHIRI</v>
          </cell>
          <cell r="K758" t="str">
            <v>GBOKLE</v>
          </cell>
          <cell r="L758" t="str">
            <v>GBOKLE</v>
          </cell>
          <cell r="M758" t="str">
            <v>SAN-PEDRO</v>
          </cell>
          <cell r="N758" t="str">
            <v>UPCOUNTRY</v>
          </cell>
        </row>
        <row r="759">
          <cell r="B759" t="str">
            <v>AC767</v>
          </cell>
          <cell r="C759" t="str">
            <v>DAKPADOU</v>
          </cell>
          <cell r="D759" t="str">
            <v>-6.07215</v>
          </cell>
          <cell r="E759" t="str">
            <v>5.24329</v>
          </cell>
          <cell r="F759" t="str">
            <v>2G/3G/4G</v>
          </cell>
          <cell r="G759" t="str">
            <v>ERICSSON</v>
          </cell>
          <cell r="H759" t="str">
            <v>MOOV</v>
          </cell>
          <cell r="I759" t="str">
            <v>DAKPADOU</v>
          </cell>
          <cell r="J759" t="str">
            <v>DAKPADOU</v>
          </cell>
          <cell r="K759" t="str">
            <v>SASSANDRA</v>
          </cell>
          <cell r="L759" t="str">
            <v>GBOKLE</v>
          </cell>
          <cell r="M759" t="str">
            <v>SAN-PEDRO</v>
          </cell>
          <cell r="N759" t="str">
            <v>UPCOUNTRY</v>
          </cell>
        </row>
        <row r="760">
          <cell r="B760" t="str">
            <v>AC768</v>
          </cell>
          <cell r="C760" t="str">
            <v>BROUDOUKOU_KPENDA</v>
          </cell>
          <cell r="D760" t="str">
            <v>-5.52043</v>
          </cell>
          <cell r="E760" t="str">
            <v>5.52787</v>
          </cell>
          <cell r="F760" t="str">
            <v>2G/3G/4G</v>
          </cell>
          <cell r="G760" t="str">
            <v>ERICSSON</v>
          </cell>
          <cell r="H760" t="str">
            <v>MOOV</v>
          </cell>
          <cell r="I760" t="str">
            <v>BROUDOUKOU-KPENDA</v>
          </cell>
          <cell r="J760" t="str">
            <v>DAIRO-DIDIZO</v>
          </cell>
          <cell r="K760" t="str">
            <v>GUITRY</v>
          </cell>
          <cell r="L760" t="str">
            <v>LOH-DJIBOUA</v>
          </cell>
          <cell r="M760" t="str">
            <v>DIVO</v>
          </cell>
          <cell r="N760" t="str">
            <v>UPCOUNTRY</v>
          </cell>
        </row>
        <row r="761">
          <cell r="B761" t="str">
            <v>AC769</v>
          </cell>
          <cell r="C761" t="str">
            <v>DOKPODON</v>
          </cell>
          <cell r="D761" t="str">
            <v>-5.4503</v>
          </cell>
          <cell r="E761" t="str">
            <v>5.19193</v>
          </cell>
          <cell r="F761" t="str">
            <v>2G/3G/4G</v>
          </cell>
          <cell r="G761" t="str">
            <v>ERICSSON</v>
          </cell>
          <cell r="H761" t="str">
            <v>MOOV</v>
          </cell>
          <cell r="I761" t="str">
            <v>DOKPODON</v>
          </cell>
          <cell r="J761" t="str">
            <v>EBONOU</v>
          </cell>
          <cell r="K761" t="str">
            <v>GRAND-LAHOU</v>
          </cell>
          <cell r="L761" t="str">
            <v>GRANDS-PONTS</v>
          </cell>
          <cell r="M761" t="str">
            <v>SAN-PEDRO</v>
          </cell>
          <cell r="N761" t="str">
            <v>UPCOUNTRY</v>
          </cell>
        </row>
        <row r="762">
          <cell r="B762" t="str">
            <v>AC770</v>
          </cell>
          <cell r="C762" t="str">
            <v>LAUZOUA</v>
          </cell>
          <cell r="D762" t="str">
            <v>-5.31957</v>
          </cell>
          <cell r="E762" t="str">
            <v>5.20787</v>
          </cell>
          <cell r="F762" t="str">
            <v>2G/3G/4G</v>
          </cell>
          <cell r="G762" t="str">
            <v>ERICSSON</v>
          </cell>
          <cell r="H762" t="str">
            <v>IHS (OCI)</v>
          </cell>
          <cell r="I762" t="str">
            <v>LAUZOUA</v>
          </cell>
          <cell r="J762" t="str">
            <v>LAUZOUA</v>
          </cell>
          <cell r="K762" t="str">
            <v>GUITRY</v>
          </cell>
          <cell r="L762" t="str">
            <v>LOH-DJIBOUA</v>
          </cell>
          <cell r="M762" t="str">
            <v>SAN-PEDRO</v>
          </cell>
          <cell r="N762" t="str">
            <v>UPCOUNTRY</v>
          </cell>
        </row>
        <row r="763">
          <cell r="B763" t="str">
            <v>AC771</v>
          </cell>
          <cell r="C763" t="str">
            <v>PALMCI_BOUBO</v>
          </cell>
          <cell r="D763" t="str">
            <v>-5.32155</v>
          </cell>
          <cell r="E763" t="str">
            <v>5.64408</v>
          </cell>
          <cell r="F763" t="str">
            <v>2G/3G/4G</v>
          </cell>
          <cell r="G763" t="str">
            <v>ERICSSON</v>
          </cell>
          <cell r="H763" t="str">
            <v>MOOV</v>
          </cell>
          <cell r="I763" t="str">
            <v>PALMCI-BOUBO</v>
          </cell>
          <cell r="J763" t="str">
            <v>DIVO</v>
          </cell>
          <cell r="K763" t="str">
            <v>DIVO</v>
          </cell>
          <cell r="L763" t="str">
            <v>LOH-DJIBOUA</v>
          </cell>
          <cell r="M763" t="str">
            <v>DIVO</v>
          </cell>
          <cell r="N763" t="str">
            <v>UPCOUNTRY</v>
          </cell>
        </row>
        <row r="764">
          <cell r="B764" t="str">
            <v>AC772</v>
          </cell>
          <cell r="C764" t="str">
            <v>HERMANKONO_DIES</v>
          </cell>
          <cell r="D764" t="str">
            <v>-5.36758</v>
          </cell>
          <cell r="E764" t="str">
            <v>5.5826</v>
          </cell>
          <cell r="F764" t="str">
            <v>2G/3G/4G</v>
          </cell>
          <cell r="G764" t="str">
            <v>ERICSSON</v>
          </cell>
          <cell r="H764" t="str">
            <v>MOOV</v>
          </cell>
          <cell r="I764" t="str">
            <v>HERMANKONO DIES</v>
          </cell>
          <cell r="J764" t="str">
            <v>DAIRO-DIDIZO</v>
          </cell>
          <cell r="K764" t="str">
            <v>GUITRY</v>
          </cell>
          <cell r="L764" t="str">
            <v>LOH-DJIBOUA</v>
          </cell>
          <cell r="M764" t="str">
            <v>DIVO</v>
          </cell>
          <cell r="N764" t="str">
            <v>UPCOUNTRY</v>
          </cell>
        </row>
        <row r="765">
          <cell r="B765" t="str">
            <v>AC773</v>
          </cell>
          <cell r="C765" t="str">
            <v>LOBAKUYA</v>
          </cell>
          <cell r="D765" t="str">
            <v>-6.34472</v>
          </cell>
          <cell r="E765" t="str">
            <v>5.08311</v>
          </cell>
          <cell r="F765" t="str">
            <v>2G/3G/4G</v>
          </cell>
          <cell r="G765" t="str">
            <v>ERICSSON</v>
          </cell>
          <cell r="H765" t="str">
            <v>MOOV</v>
          </cell>
          <cell r="I765" t="str">
            <v>LOBAKUYA</v>
          </cell>
          <cell r="J765" t="str">
            <v>LOBAKUYA</v>
          </cell>
          <cell r="K765" t="str">
            <v>SASSANDRA</v>
          </cell>
          <cell r="L765" t="str">
            <v>GBOKLE</v>
          </cell>
          <cell r="M765" t="str">
            <v>SAN-PEDRO</v>
          </cell>
          <cell r="N765" t="str">
            <v>UPCOUNTRY</v>
          </cell>
        </row>
        <row r="766">
          <cell r="B766" t="str">
            <v>AC774</v>
          </cell>
          <cell r="C766" t="str">
            <v>LOULOUDOU</v>
          </cell>
          <cell r="D766" t="str">
            <v>-5.56957</v>
          </cell>
          <cell r="E766" t="str">
            <v>5.22198</v>
          </cell>
          <cell r="F766" t="str">
            <v>2G/3G/4G</v>
          </cell>
          <cell r="G766" t="str">
            <v>ERICSSON</v>
          </cell>
          <cell r="H766" t="str">
            <v>MOOV</v>
          </cell>
          <cell r="I766" t="str">
            <v>LOULOUDOU</v>
          </cell>
          <cell r="J766" t="str">
            <v>FRESCO</v>
          </cell>
          <cell r="K766" t="str">
            <v>GBOKLE</v>
          </cell>
          <cell r="L766" t="str">
            <v>GBOKLE</v>
          </cell>
          <cell r="M766" t="str">
            <v>SAN-PEDRO</v>
          </cell>
          <cell r="N766" t="str">
            <v>UPCOUNTRY</v>
          </cell>
        </row>
        <row r="767">
          <cell r="B767" t="str">
            <v>AC775</v>
          </cell>
          <cell r="C767" t="str">
            <v>DIDOKO</v>
          </cell>
          <cell r="D767" t="str">
            <v>-5.31883</v>
          </cell>
          <cell r="E767" t="str">
            <v>6.02138</v>
          </cell>
          <cell r="F767" t="str">
            <v>2G/3G/4G</v>
          </cell>
          <cell r="G767" t="str">
            <v>ERICSSON</v>
          </cell>
          <cell r="H767" t="str">
            <v>MOOV</v>
          </cell>
          <cell r="I767" t="str">
            <v>DIDOKO</v>
          </cell>
          <cell r="J767" t="str">
            <v>DIDOKO</v>
          </cell>
          <cell r="K767" t="str">
            <v>DIVO</v>
          </cell>
          <cell r="L767" t="str">
            <v>LOH-DJIBOUA</v>
          </cell>
          <cell r="M767" t="str">
            <v>DIVO</v>
          </cell>
          <cell r="N767" t="str">
            <v>UPCOUNTRY</v>
          </cell>
        </row>
        <row r="768">
          <cell r="B768" t="str">
            <v>AC776</v>
          </cell>
          <cell r="C768" t="str">
            <v>GUIGUEDOU</v>
          </cell>
          <cell r="D768" t="str">
            <v>-5.55676</v>
          </cell>
          <cell r="E768" t="str">
            <v>5.96024</v>
          </cell>
          <cell r="F768" t="str">
            <v>2G/3G/4G</v>
          </cell>
          <cell r="G768" t="str">
            <v>ERICSSON</v>
          </cell>
          <cell r="H768" t="str">
            <v>MOOV</v>
          </cell>
          <cell r="I768" t="str">
            <v>GUIGUEDOU</v>
          </cell>
          <cell r="J768" t="str">
            <v>LAKOTA</v>
          </cell>
          <cell r="K768" t="str">
            <v>LAKOTA</v>
          </cell>
          <cell r="L768" t="str">
            <v>LOH-DJIBOUA</v>
          </cell>
          <cell r="M768" t="str">
            <v>DIVO</v>
          </cell>
          <cell r="N768" t="str">
            <v>UPCOUNTRY</v>
          </cell>
        </row>
        <row r="769">
          <cell r="B769" t="str">
            <v>AC777</v>
          </cell>
          <cell r="C769" t="str">
            <v>GAGNY</v>
          </cell>
          <cell r="D769" t="str">
            <v>-6.74</v>
          </cell>
          <cell r="E769" t="str">
            <v>5.04384</v>
          </cell>
          <cell r="F769" t="str">
            <v>2G/3G/4G</v>
          </cell>
          <cell r="G769" t="str">
            <v>ERICSSON</v>
          </cell>
          <cell r="H769" t="str">
            <v>MOOV</v>
          </cell>
          <cell r="I769" t="str">
            <v>GAGNY</v>
          </cell>
          <cell r="J769" t="str">
            <v>DOBA</v>
          </cell>
          <cell r="K769" t="str">
            <v>SAN-PEDRO</v>
          </cell>
          <cell r="L769" t="str">
            <v>SAN-PEDRO</v>
          </cell>
          <cell r="M769" t="str">
            <v>SAN-PEDRO</v>
          </cell>
          <cell r="N769" t="str">
            <v>UPCOUNTRY</v>
          </cell>
        </row>
        <row r="770">
          <cell r="B770" t="str">
            <v>AC778</v>
          </cell>
          <cell r="C770" t="str">
            <v>IROPORIA</v>
          </cell>
          <cell r="D770" t="str">
            <v>-5.17241</v>
          </cell>
          <cell r="E770" t="str">
            <v>6.03237</v>
          </cell>
          <cell r="F770" t="str">
            <v>2G/3G/4G</v>
          </cell>
          <cell r="G770" t="str">
            <v>ERICSSON</v>
          </cell>
          <cell r="H770" t="str">
            <v>MOOV</v>
          </cell>
          <cell r="I770" t="str">
            <v>IROPORIA</v>
          </cell>
          <cell r="J770" t="str">
            <v>DIDOKO</v>
          </cell>
          <cell r="K770" t="str">
            <v>DIVO</v>
          </cell>
          <cell r="L770" t="str">
            <v>LOH-DJIBOUA</v>
          </cell>
          <cell r="M770" t="str">
            <v>DIVO</v>
          </cell>
          <cell r="N770" t="str">
            <v>UPCOUNTRY</v>
          </cell>
        </row>
        <row r="771">
          <cell r="B771" t="str">
            <v>AC779</v>
          </cell>
          <cell r="C771" t="str">
            <v>KADEKO</v>
          </cell>
          <cell r="D771" t="str">
            <v>-5.54258</v>
          </cell>
          <cell r="E771" t="str">
            <v>6.08288</v>
          </cell>
          <cell r="F771" t="str">
            <v>2G/3G/4G</v>
          </cell>
          <cell r="G771" t="str">
            <v>ERICSSON</v>
          </cell>
          <cell r="H771" t="str">
            <v>MOOV</v>
          </cell>
          <cell r="I771" t="str">
            <v>KADEKO</v>
          </cell>
          <cell r="J771" t="str">
            <v>GAGORE</v>
          </cell>
          <cell r="K771" t="str">
            <v>LAKOTA</v>
          </cell>
          <cell r="L771" t="str">
            <v>LOH-DJIBOUA</v>
          </cell>
          <cell r="M771" t="str">
            <v>DIVO</v>
          </cell>
          <cell r="N771" t="str">
            <v>UPCOUNTRY</v>
          </cell>
        </row>
        <row r="772">
          <cell r="B772" t="str">
            <v>AC780</v>
          </cell>
          <cell r="C772" t="str">
            <v>KAGBE</v>
          </cell>
          <cell r="D772" t="str">
            <v>-5.33179</v>
          </cell>
          <cell r="E772" t="str">
            <v>6.15588</v>
          </cell>
          <cell r="F772" t="str">
            <v>2G/3G/4G</v>
          </cell>
          <cell r="G772" t="str">
            <v>ERICSSON</v>
          </cell>
          <cell r="H772" t="str">
            <v>MOOV</v>
          </cell>
          <cell r="I772" t="str">
            <v>KAGBE</v>
          </cell>
          <cell r="J772" t="str">
            <v>HIRE</v>
          </cell>
          <cell r="K772" t="str">
            <v>DIVO</v>
          </cell>
          <cell r="L772" t="str">
            <v>LOH-DJIBOUA</v>
          </cell>
          <cell r="M772" t="str">
            <v>DIVO</v>
          </cell>
          <cell r="N772" t="str">
            <v>UPCOUNTRY</v>
          </cell>
        </row>
        <row r="773">
          <cell r="B773" t="str">
            <v>AC781</v>
          </cell>
          <cell r="C773" t="str">
            <v>GBAPET</v>
          </cell>
          <cell r="D773" t="str">
            <v>-7.49128</v>
          </cell>
          <cell r="E773" t="str">
            <v>4.9767</v>
          </cell>
          <cell r="F773" t="str">
            <v>2G/3G/4G</v>
          </cell>
          <cell r="G773" t="str">
            <v>ERICSSON</v>
          </cell>
          <cell r="H773" t="str">
            <v>MOOV</v>
          </cell>
          <cell r="I773" t="str">
            <v>GBAPET</v>
          </cell>
          <cell r="J773" t="str">
            <v>GRABO</v>
          </cell>
          <cell r="K773" t="str">
            <v>TABOU</v>
          </cell>
          <cell r="L773" t="str">
            <v>SAN-PEDRO</v>
          </cell>
          <cell r="M773" t="str">
            <v>SAN-PEDRO</v>
          </cell>
          <cell r="N773" t="str">
            <v>UPCOUNTRY</v>
          </cell>
        </row>
        <row r="774">
          <cell r="B774" t="str">
            <v>AC782</v>
          </cell>
          <cell r="C774" t="str">
            <v>BELEM</v>
          </cell>
          <cell r="D774" t="str">
            <v>-6.88451</v>
          </cell>
          <cell r="E774" t="str">
            <v>4.93933</v>
          </cell>
          <cell r="F774" t="str">
            <v>2G/3G/4G</v>
          </cell>
          <cell r="G774" t="str">
            <v>ERICSSON</v>
          </cell>
          <cell r="H774" t="str">
            <v>MOOV</v>
          </cell>
          <cell r="I774" t="str">
            <v>MAGNERY</v>
          </cell>
          <cell r="J774" t="str">
            <v>DOGBO</v>
          </cell>
          <cell r="K774" t="str">
            <v>SAN-PEDRO</v>
          </cell>
          <cell r="L774" t="str">
            <v>SAN-PEDRO</v>
          </cell>
          <cell r="M774" t="str">
            <v>SAN-PEDRO</v>
          </cell>
          <cell r="N774" t="str">
            <v>UPCOUNTRY</v>
          </cell>
        </row>
        <row r="775">
          <cell r="B775" t="str">
            <v>AC783</v>
          </cell>
          <cell r="C775" t="str">
            <v>KOUTA</v>
          </cell>
          <cell r="D775" t="str">
            <v>-5.23014</v>
          </cell>
          <cell r="E775" t="str">
            <v>5.48606</v>
          </cell>
          <cell r="F775" t="str">
            <v>2G/3G/4G</v>
          </cell>
          <cell r="G775" t="str">
            <v>ERICSSON</v>
          </cell>
          <cell r="H775" t="str">
            <v>MOOV</v>
          </cell>
          <cell r="I775" t="str">
            <v>KOUTA</v>
          </cell>
          <cell r="J775" t="str">
            <v>GUITRY</v>
          </cell>
          <cell r="K775" t="str">
            <v>GUITRY</v>
          </cell>
          <cell r="L775" t="str">
            <v>LOH-DJIBOUA</v>
          </cell>
          <cell r="M775" t="str">
            <v>DIVO</v>
          </cell>
          <cell r="N775" t="str">
            <v>UPCOUNTRY</v>
          </cell>
        </row>
        <row r="776">
          <cell r="B776" t="str">
            <v>AC784</v>
          </cell>
          <cell r="C776" t="str">
            <v>DOGBO</v>
          </cell>
          <cell r="D776" t="str">
            <v>-7.0501</v>
          </cell>
          <cell r="E776" t="str">
            <v>4.94382</v>
          </cell>
          <cell r="F776" t="str">
            <v>2G/3G/4G</v>
          </cell>
          <cell r="G776" t="str">
            <v>ERICSSON</v>
          </cell>
          <cell r="H776" t="str">
            <v>MOOV</v>
          </cell>
          <cell r="I776" t="str">
            <v>DOGBO</v>
          </cell>
          <cell r="J776" t="str">
            <v>DOGBO</v>
          </cell>
          <cell r="K776" t="str">
            <v>SAN-PEDRO</v>
          </cell>
          <cell r="L776" t="str">
            <v>SAN-PEDRO</v>
          </cell>
          <cell r="M776" t="str">
            <v>SAN-PEDRO</v>
          </cell>
          <cell r="N776" t="str">
            <v>UPCOUNTRY</v>
          </cell>
        </row>
        <row r="777">
          <cell r="B777" t="str">
            <v>AC785</v>
          </cell>
          <cell r="C777" t="str">
            <v>GROBONOU_DAN</v>
          </cell>
          <cell r="D777" t="str">
            <v>-6.41</v>
          </cell>
          <cell r="E777" t="str">
            <v>5.06283</v>
          </cell>
          <cell r="F777" t="str">
            <v>2G/3G/4G</v>
          </cell>
          <cell r="G777" t="str">
            <v>ERICSSON</v>
          </cell>
          <cell r="H777" t="str">
            <v>MOOV</v>
          </cell>
          <cell r="I777" t="str">
            <v>GROBONOU-DAN</v>
          </cell>
          <cell r="J777" t="str">
            <v>GABIADJI</v>
          </cell>
          <cell r="K777" t="str">
            <v>SAN-PEDRO</v>
          </cell>
          <cell r="L777" t="str">
            <v>SAN-PEDRO</v>
          </cell>
          <cell r="M777" t="str">
            <v>SAN-PEDRO</v>
          </cell>
          <cell r="N777" t="str">
            <v>UPCOUNTRY</v>
          </cell>
        </row>
        <row r="778">
          <cell r="B778" t="str">
            <v>AC786</v>
          </cell>
          <cell r="C778" t="str">
            <v>OGOUDOU</v>
          </cell>
          <cell r="D778" t="str">
            <v>-5.1584</v>
          </cell>
          <cell r="E778" t="str">
            <v>5.89735</v>
          </cell>
          <cell r="F778" t="str">
            <v>2G/3G/4G</v>
          </cell>
          <cell r="G778" t="str">
            <v>ERICSSON</v>
          </cell>
          <cell r="H778" t="str">
            <v>MOOV</v>
          </cell>
          <cell r="I778" t="str">
            <v>OGOUDOU</v>
          </cell>
          <cell r="J778" t="str">
            <v>OGOUDOU</v>
          </cell>
          <cell r="K778" t="str">
            <v>DIVO</v>
          </cell>
          <cell r="L778" t="str">
            <v>LOH-DJIBOUA</v>
          </cell>
          <cell r="M778" t="str">
            <v>DIVO</v>
          </cell>
          <cell r="N778" t="str">
            <v>UPCOUNTRY</v>
          </cell>
        </row>
        <row r="779">
          <cell r="B779" t="str">
            <v>AC787</v>
          </cell>
          <cell r="C779" t="str">
            <v>DJOUROUTOU</v>
          </cell>
          <cell r="D779" t="str">
            <v>-7.28082</v>
          </cell>
          <cell r="E779" t="str">
            <v>5.36957</v>
          </cell>
          <cell r="F779" t="str">
            <v>2G/3G/4G</v>
          </cell>
          <cell r="G779" t="str">
            <v>ERICSSON</v>
          </cell>
          <cell r="H779" t="str">
            <v>MOOV</v>
          </cell>
          <cell r="I779" t="str">
            <v>DJOUROUTOU</v>
          </cell>
          <cell r="J779" t="str">
            <v>DJOUROUTOU</v>
          </cell>
          <cell r="K779" t="str">
            <v>TABOU</v>
          </cell>
          <cell r="L779" t="str">
            <v>SAN-PEDRO</v>
          </cell>
          <cell r="M779" t="str">
            <v>SAN-PEDRO</v>
          </cell>
          <cell r="N779" t="str">
            <v>UPCOUNTRY</v>
          </cell>
        </row>
        <row r="780">
          <cell r="B780" t="str">
            <v>AC788</v>
          </cell>
          <cell r="C780" t="str">
            <v>BLAHOU</v>
          </cell>
          <cell r="D780" t="str">
            <v>-6.56035</v>
          </cell>
          <cell r="E780" t="str">
            <v>4.93251</v>
          </cell>
          <cell r="F780" t="str">
            <v>2G/3G/4G</v>
          </cell>
          <cell r="G780" t="str">
            <v>ERICSSON</v>
          </cell>
          <cell r="H780" t="str">
            <v>MOOV</v>
          </cell>
          <cell r="I780" t="str">
            <v>BLAHOU</v>
          </cell>
          <cell r="J780" t="str">
            <v>GABIADJI</v>
          </cell>
          <cell r="K780" t="str">
            <v>SAN-PEDRO</v>
          </cell>
          <cell r="L780" t="str">
            <v>SAN-PEDRO</v>
          </cell>
          <cell r="M780" t="str">
            <v>SAN-PEDRO</v>
          </cell>
          <cell r="N780" t="str">
            <v>UPCOUNTRY</v>
          </cell>
        </row>
        <row r="781">
          <cell r="B781" t="str">
            <v>AC789</v>
          </cell>
          <cell r="C781" t="str">
            <v>BABA</v>
          </cell>
          <cell r="D781" t="str">
            <v>-6.73888</v>
          </cell>
          <cell r="E781" t="str">
            <v>4.76485</v>
          </cell>
          <cell r="F781" t="str">
            <v>2G/3G/4G</v>
          </cell>
          <cell r="G781" t="str">
            <v>ERICSSON</v>
          </cell>
          <cell r="H781" t="str">
            <v>MOOV</v>
          </cell>
          <cell r="I781" t="str">
            <v>BABA</v>
          </cell>
          <cell r="J781" t="str">
            <v>SAN-PEDRO</v>
          </cell>
          <cell r="K781" t="str">
            <v>SAN-PEDRO</v>
          </cell>
          <cell r="L781" t="str">
            <v>SAN-PEDRO</v>
          </cell>
          <cell r="M781" t="str">
            <v>SAN-PEDRO</v>
          </cell>
          <cell r="N781" t="str">
            <v>UPCOUNTRY</v>
          </cell>
        </row>
        <row r="782">
          <cell r="B782" t="str">
            <v>AC790</v>
          </cell>
          <cell r="C782" t="str">
            <v>GBAGBAM</v>
          </cell>
          <cell r="D782" t="str">
            <v>-5.59</v>
          </cell>
          <cell r="E782" t="str">
            <v>5.46752</v>
          </cell>
          <cell r="F782" t="str">
            <v>2G/3G/4G</v>
          </cell>
          <cell r="G782" t="str">
            <v>ERICSSON</v>
          </cell>
          <cell r="H782" t="str">
            <v>MOOV</v>
          </cell>
          <cell r="I782" t="str">
            <v>GBAGBAM</v>
          </cell>
          <cell r="J782" t="str">
            <v>GBAGBAM</v>
          </cell>
          <cell r="K782" t="str">
            <v>GBOKLE</v>
          </cell>
          <cell r="L782" t="str">
            <v>GBOKLE</v>
          </cell>
          <cell r="M782" t="str">
            <v>SAN-PEDRO</v>
          </cell>
          <cell r="N782" t="str">
            <v>UPCOUNTRY</v>
          </cell>
        </row>
        <row r="783">
          <cell r="B783" t="str">
            <v>AC791</v>
          </cell>
          <cell r="C783" t="str">
            <v>OKROMODOU</v>
          </cell>
          <cell r="D783" t="str">
            <v>-5.68</v>
          </cell>
          <cell r="E783" t="str">
            <v>5.35036</v>
          </cell>
          <cell r="F783" t="str">
            <v>2G/3G/4G</v>
          </cell>
          <cell r="G783" t="str">
            <v>ERICSSON</v>
          </cell>
          <cell r="H783" t="str">
            <v>MOOV</v>
          </cell>
          <cell r="I783" t="str">
            <v>OKROMODOU</v>
          </cell>
          <cell r="J783" t="str">
            <v>DAHIRI</v>
          </cell>
          <cell r="K783" t="str">
            <v>GBOKLE</v>
          </cell>
          <cell r="L783" t="str">
            <v>GBOKLE</v>
          </cell>
          <cell r="M783" t="str">
            <v>SAN-PEDRO</v>
          </cell>
          <cell r="N783" t="str">
            <v>UPCOUNTRY</v>
          </cell>
        </row>
        <row r="784">
          <cell r="B784" t="str">
            <v>AC792</v>
          </cell>
          <cell r="C784" t="str">
            <v>ABRONAMOUE</v>
          </cell>
          <cell r="D784" t="str">
            <v>-3.34088</v>
          </cell>
          <cell r="E784" t="str">
            <v>6.75281</v>
          </cell>
          <cell r="F784" t="str">
            <v>2G/3G/4G</v>
          </cell>
          <cell r="G784" t="str">
            <v>ERICSSON</v>
          </cell>
          <cell r="H784" t="str">
            <v>MOOV</v>
          </cell>
          <cell r="I784" t="str">
            <v>ABRONAMOUE</v>
          </cell>
          <cell r="J784" t="str">
            <v>NIABLE</v>
          </cell>
          <cell r="K784" t="str">
            <v>ABENGOUROU</v>
          </cell>
          <cell r="L784" t="str">
            <v>INDENIE-DJUABLIN</v>
          </cell>
          <cell r="M784" t="str">
            <v>ABENGOUROU</v>
          </cell>
          <cell r="N784" t="str">
            <v>UPCOUNTRY</v>
          </cell>
        </row>
        <row r="785">
          <cell r="B785" t="str">
            <v>AC793</v>
          </cell>
          <cell r="C785" t="str">
            <v>NEKA</v>
          </cell>
          <cell r="D785" t="str">
            <v>-7.362017</v>
          </cell>
          <cell r="E785" t="str">
            <v>5.194617</v>
          </cell>
          <cell r="F785" t="str">
            <v>2G/3G/4G</v>
          </cell>
          <cell r="G785" t="str">
            <v>ERICSSON</v>
          </cell>
          <cell r="H785" t="str">
            <v>MOOV</v>
          </cell>
          <cell r="I785" t="str">
            <v>NEKA</v>
          </cell>
          <cell r="J785" t="str">
            <v>DJOUROUTOU</v>
          </cell>
          <cell r="K785" t="str">
            <v>TABOU</v>
          </cell>
          <cell r="L785" t="str">
            <v>SAN-PEDRO</v>
          </cell>
          <cell r="M785" t="str">
            <v>SAN-PEDRO</v>
          </cell>
          <cell r="N785" t="str">
            <v>UPCOUNTRY</v>
          </cell>
        </row>
        <row r="786">
          <cell r="B786" t="str">
            <v>AC794</v>
          </cell>
          <cell r="C786" t="str">
            <v>DEBLABLAI</v>
          </cell>
          <cell r="D786" t="str">
            <v>-7.48232</v>
          </cell>
          <cell r="E786" t="str">
            <v>4.84725</v>
          </cell>
          <cell r="F786" t="str">
            <v>2G/3G/4G</v>
          </cell>
          <cell r="G786" t="str">
            <v>ERICSSON</v>
          </cell>
          <cell r="H786" t="str">
            <v>MOOV</v>
          </cell>
          <cell r="I786" t="str">
            <v>DEBLABLAI</v>
          </cell>
          <cell r="J786" t="str">
            <v>GRABO</v>
          </cell>
          <cell r="K786" t="str">
            <v>TABOU</v>
          </cell>
          <cell r="L786" t="str">
            <v>SAN-PEDRO</v>
          </cell>
          <cell r="M786" t="str">
            <v>SAN-PEDRO</v>
          </cell>
          <cell r="N786" t="str">
            <v>UPCOUNTRY</v>
          </cell>
        </row>
        <row r="787">
          <cell r="B787" t="str">
            <v>AC795</v>
          </cell>
          <cell r="C787" t="str">
            <v>IRATEKE</v>
          </cell>
          <cell r="D787" t="str">
            <v>-7.258567</v>
          </cell>
          <cell r="E787" t="str">
            <v>4.71005</v>
          </cell>
          <cell r="F787" t="str">
            <v>2G/3G/4G</v>
          </cell>
          <cell r="G787" t="str">
            <v>ERICSSON</v>
          </cell>
          <cell r="H787" t="str">
            <v>MOOV</v>
          </cell>
          <cell r="I787" t="str">
            <v>IRATEKE</v>
          </cell>
          <cell r="J787" t="str">
            <v>GRAND-BEREBY</v>
          </cell>
          <cell r="K787" t="str">
            <v>SAN-PEDRO</v>
          </cell>
          <cell r="L787" t="str">
            <v>SAN-PEDRO</v>
          </cell>
          <cell r="M787" t="str">
            <v>SAN-PEDRO</v>
          </cell>
          <cell r="N787" t="str">
            <v>UPCOUNTRY</v>
          </cell>
        </row>
        <row r="788">
          <cell r="B788" t="str">
            <v>AC796</v>
          </cell>
          <cell r="C788" t="str">
            <v>PONT_NERO</v>
          </cell>
          <cell r="D788" t="str">
            <v>-6.93489</v>
          </cell>
          <cell r="E788" t="str">
            <v>4.75233</v>
          </cell>
          <cell r="F788" t="str">
            <v>2G/3G/4G</v>
          </cell>
          <cell r="G788" t="str">
            <v>ERICSSON</v>
          </cell>
          <cell r="H788" t="str">
            <v>MOOV</v>
          </cell>
          <cell r="I788" t="str">
            <v>PONT-NERO</v>
          </cell>
          <cell r="J788" t="str">
            <v>GRAND-BEREBY</v>
          </cell>
          <cell r="K788" t="str">
            <v>SAN-PEDRO</v>
          </cell>
          <cell r="L788" t="str">
            <v>SAN-PEDRO</v>
          </cell>
          <cell r="M788" t="str">
            <v>SAN-PEDRO</v>
          </cell>
          <cell r="N788" t="str">
            <v>UPCOUNTRY</v>
          </cell>
        </row>
        <row r="789">
          <cell r="B789" t="str">
            <v>AC797</v>
          </cell>
          <cell r="C789" t="str">
            <v>KOFFIKRO_AFFEMA</v>
          </cell>
          <cell r="D789" t="str">
            <v>-2.97842</v>
          </cell>
          <cell r="E789" t="str">
            <v>5.57926</v>
          </cell>
          <cell r="F789" t="str">
            <v>2G/3G/4G</v>
          </cell>
          <cell r="G789" t="str">
            <v>ERICSSON</v>
          </cell>
          <cell r="H789" t="str">
            <v>IHS (CIT)</v>
          </cell>
          <cell r="I789" t="str">
            <v>KOFFIKRO-AFFEMA</v>
          </cell>
          <cell r="J789" t="str">
            <v>MAFERE</v>
          </cell>
          <cell r="K789" t="str">
            <v>ABOISSO</v>
          </cell>
          <cell r="L789" t="str">
            <v>SUD-COMOE</v>
          </cell>
          <cell r="M789" t="str">
            <v>MARCORY</v>
          </cell>
          <cell r="N789" t="str">
            <v>UPCOUNTRY</v>
          </cell>
        </row>
        <row r="790">
          <cell r="B790" t="str">
            <v>AC798</v>
          </cell>
          <cell r="C790" t="str">
            <v>LOBOVILLE</v>
          </cell>
          <cell r="D790" t="str">
            <v>-6.825898</v>
          </cell>
          <cell r="E790" t="str">
            <v>6.133867</v>
          </cell>
          <cell r="F790" t="str">
            <v>2G/3G/4G</v>
          </cell>
          <cell r="G790" t="str">
            <v>HUAWEI</v>
          </cell>
          <cell r="H790" t="str">
            <v>MOOV</v>
          </cell>
          <cell r="I790" t="str">
            <v>LOBOVILLE</v>
          </cell>
          <cell r="J790" t="str">
            <v>DAPEOUA</v>
          </cell>
          <cell r="K790" t="str">
            <v>BUYO</v>
          </cell>
          <cell r="L790" t="str">
            <v>NAWA</v>
          </cell>
          <cell r="M790" t="str">
            <v>SOUBRE</v>
          </cell>
          <cell r="N790" t="str">
            <v>UPCOUNTRY</v>
          </cell>
        </row>
        <row r="791">
          <cell r="B791" t="str">
            <v>AC799</v>
          </cell>
          <cell r="C791" t="str">
            <v>AKOUPE_NZUEDJI</v>
          </cell>
          <cell r="D791" t="str">
            <v>-4.157449</v>
          </cell>
          <cell r="E791" t="str">
            <v>5.482151</v>
          </cell>
          <cell r="F791" t="str">
            <v>2G/3G/4G</v>
          </cell>
          <cell r="G791" t="str">
            <v>ERICSSON</v>
          </cell>
          <cell r="H791" t="str">
            <v>MOOV</v>
          </cell>
          <cell r="I791" t="str">
            <v>ATTINGUIE</v>
          </cell>
          <cell r="J791" t="str">
            <v>ANYAMA</v>
          </cell>
          <cell r="K791" t="str">
            <v>ABIDJAN</v>
          </cell>
          <cell r="L791" t="str">
            <v>ABIDJAN</v>
          </cell>
          <cell r="M791" t="str">
            <v>ABOBO</v>
          </cell>
          <cell r="N791" t="str">
            <v>ABIDJAN</v>
          </cell>
        </row>
        <row r="792">
          <cell r="B792" t="str">
            <v>AC800</v>
          </cell>
          <cell r="C792" t="str">
            <v>TOROGUHE</v>
          </cell>
          <cell r="D792" t="str">
            <v>-6.4632</v>
          </cell>
          <cell r="E792" t="str">
            <v>6.9436</v>
          </cell>
          <cell r="F792" t="str">
            <v>2G/3G/4G</v>
          </cell>
          <cell r="G792" t="str">
            <v>HUAWEI</v>
          </cell>
          <cell r="H792" t="str">
            <v>IHS (OCI)</v>
          </cell>
          <cell r="I792" t="str">
            <v>TOROGUHE-GUEYA</v>
          </cell>
          <cell r="J792" t="str">
            <v>DALOA</v>
          </cell>
          <cell r="K792" t="str">
            <v>DALOA</v>
          </cell>
          <cell r="L792" t="str">
            <v>HAUT-SASSANDRA</v>
          </cell>
          <cell r="M792" t="str">
            <v>DALOA</v>
          </cell>
          <cell r="N792" t="str">
            <v>UPCOUNTRY</v>
          </cell>
        </row>
        <row r="793">
          <cell r="B793" t="str">
            <v>AC801</v>
          </cell>
          <cell r="C793" t="str">
            <v>SADA</v>
          </cell>
          <cell r="D793" t="str">
            <v>-7.602795</v>
          </cell>
          <cell r="E793" t="str">
            <v>6.634859</v>
          </cell>
          <cell r="F793" t="str">
            <v>2G/3G/4G</v>
          </cell>
          <cell r="G793" t="str">
            <v>HUAWEI</v>
          </cell>
          <cell r="H793" t="str">
            <v>IHS</v>
          </cell>
          <cell r="I793" t="str">
            <v>SADA</v>
          </cell>
          <cell r="J793" t="str">
            <v>GUIGLO</v>
          </cell>
          <cell r="K793" t="str">
            <v>GUIGLO</v>
          </cell>
          <cell r="L793" t="str">
            <v>CAVALLY</v>
          </cell>
          <cell r="M793" t="str">
            <v>MAN</v>
          </cell>
          <cell r="N793" t="str">
            <v>UPCOUNTRY</v>
          </cell>
        </row>
        <row r="794">
          <cell r="B794" t="str">
            <v>AC802</v>
          </cell>
          <cell r="C794" t="str">
            <v xml:space="preserve">NDOUCI_PLATEAU </v>
          </cell>
          <cell r="D794" t="str">
            <v>-4.753514</v>
          </cell>
          <cell r="E794" t="str">
            <v>5.859435</v>
          </cell>
          <cell r="F794" t="str">
            <v>2G/3G/4G</v>
          </cell>
          <cell r="G794" t="str">
            <v>ERICSSON</v>
          </cell>
          <cell r="H794" t="str">
            <v>MOOV</v>
          </cell>
          <cell r="I794" t="str">
            <v>NDOUCI</v>
          </cell>
          <cell r="J794" t="str">
            <v>N'DOUCI</v>
          </cell>
          <cell r="K794" t="str">
            <v>TIASSALE</v>
          </cell>
          <cell r="L794" t="str">
            <v>AGNEBY-TIASSA</v>
          </cell>
          <cell r="M794" t="str">
            <v>YOPOUGON SABLE</v>
          </cell>
          <cell r="N794" t="str">
            <v>UPCOUNTRY</v>
          </cell>
        </row>
        <row r="795">
          <cell r="B795" t="str">
            <v>AC803</v>
          </cell>
          <cell r="C795" t="str">
            <v>KPASS</v>
          </cell>
          <cell r="D795" t="str">
            <v>-4.414109</v>
          </cell>
          <cell r="E795" t="str">
            <v>5.31175</v>
          </cell>
          <cell r="F795" t="str">
            <v>2G/3G/4G</v>
          </cell>
          <cell r="G795" t="str">
            <v>ERICSSON</v>
          </cell>
          <cell r="H795" t="str">
            <v>MOOV</v>
          </cell>
          <cell r="I795" t="str">
            <v>KPASS</v>
          </cell>
          <cell r="J795" t="str">
            <v>DABOU</v>
          </cell>
          <cell r="K795" t="str">
            <v>DABOU</v>
          </cell>
          <cell r="L795" t="str">
            <v>GRANDS-PONTS</v>
          </cell>
          <cell r="M795" t="str">
            <v>YOPOUGON FICGAYO</v>
          </cell>
          <cell r="N795" t="str">
            <v>UPCOUNTRY</v>
          </cell>
        </row>
        <row r="796">
          <cell r="B796" t="str">
            <v>AC804</v>
          </cell>
          <cell r="C796" t="str">
            <v>GUIGLO_HB 2</v>
          </cell>
          <cell r="D796" t="str">
            <v>-7.503683</v>
          </cell>
          <cell r="E796" t="str">
            <v>6.539731</v>
          </cell>
          <cell r="F796" t="str">
            <v>2G/3G/4G</v>
          </cell>
          <cell r="G796" t="str">
            <v>HUAWEI</v>
          </cell>
          <cell r="H796" t="str">
            <v>MOOV</v>
          </cell>
          <cell r="I796" t="str">
            <v>GUIGLO</v>
          </cell>
          <cell r="J796" t="str">
            <v>GUIGLO</v>
          </cell>
          <cell r="K796" t="str">
            <v>GUIGLO</v>
          </cell>
          <cell r="L796" t="str">
            <v>CAVALLY</v>
          </cell>
          <cell r="M796" t="str">
            <v>MAN</v>
          </cell>
          <cell r="N796" t="str">
            <v>UPCOUNTRY</v>
          </cell>
        </row>
        <row r="797">
          <cell r="B797" t="str">
            <v>AC805</v>
          </cell>
          <cell r="C797" t="str">
            <v>BAC_SEMIEN</v>
          </cell>
          <cell r="D797" t="str">
            <v>-7.067655</v>
          </cell>
          <cell r="E797" t="str">
            <v>7.707183</v>
          </cell>
          <cell r="F797" t="str">
            <v>2G/3G</v>
          </cell>
          <cell r="G797" t="str">
            <v>HUAWEI</v>
          </cell>
          <cell r="H797" t="str">
            <v>MOOV (COLOAS)</v>
          </cell>
          <cell r="I797" t="str">
            <v>SEMIEN</v>
          </cell>
          <cell r="J797" t="str">
            <v>SEMIEN</v>
          </cell>
          <cell r="K797" t="str">
            <v>FACOBLY</v>
          </cell>
          <cell r="L797" t="str">
            <v>GUEMON</v>
          </cell>
          <cell r="M797" t="str">
            <v>BOUAKE</v>
          </cell>
          <cell r="N797" t="str">
            <v>UPCOUNTRY</v>
          </cell>
        </row>
        <row r="798">
          <cell r="B798" t="str">
            <v>AC806</v>
          </cell>
          <cell r="C798" t="str">
            <v>SAN-PEDRO_DIGBOUE KLOU</v>
          </cell>
          <cell r="D798" t="str">
            <v>-6.69222</v>
          </cell>
          <cell r="E798" t="str">
            <v>4.75431</v>
          </cell>
          <cell r="F798" t="str">
            <v>2G/3G/4G</v>
          </cell>
          <cell r="G798" t="str">
            <v>ERICSSON</v>
          </cell>
          <cell r="H798" t="str">
            <v>MOOV</v>
          </cell>
          <cell r="I798" t="str">
            <v>SAN-PEDRO</v>
          </cell>
          <cell r="J798" t="str">
            <v>SAN-PEDRO</v>
          </cell>
          <cell r="K798" t="str">
            <v>SAN-PEDRO</v>
          </cell>
          <cell r="L798" t="str">
            <v>SAN-PEDRO</v>
          </cell>
          <cell r="M798" t="str">
            <v>SAN-PEDRO</v>
          </cell>
          <cell r="N798" t="str">
            <v>UPCOUNTRY</v>
          </cell>
        </row>
        <row r="799">
          <cell r="B799" t="str">
            <v>AC807</v>
          </cell>
          <cell r="C799" t="str">
            <v>Man_BLOKOSS</v>
          </cell>
          <cell r="D799" t="str">
            <v>-7.5670683</v>
          </cell>
          <cell r="E799" t="str">
            <v>7.42915</v>
          </cell>
          <cell r="F799" t="str">
            <v>2G/3G/4G</v>
          </cell>
          <cell r="G799" t="str">
            <v>HUAWEI</v>
          </cell>
          <cell r="H799" t="str">
            <v>IHS</v>
          </cell>
          <cell r="I799" t="str">
            <v>MAN</v>
          </cell>
          <cell r="J799" t="str">
            <v>MAN</v>
          </cell>
          <cell r="K799" t="str">
            <v>MAN</v>
          </cell>
          <cell r="L799" t="str">
            <v>TONKPI</v>
          </cell>
          <cell r="M799" t="str">
            <v>MAN</v>
          </cell>
          <cell r="N799" t="str">
            <v>UPCOUNTRY</v>
          </cell>
        </row>
        <row r="800">
          <cell r="B800" t="str">
            <v>AC808</v>
          </cell>
          <cell r="C800" t="str">
            <v>ODIENNE_TEXAS</v>
          </cell>
          <cell r="D800" t="str">
            <v>-7.564911</v>
          </cell>
          <cell r="E800" t="str">
            <v>9.493677</v>
          </cell>
          <cell r="F800" t="str">
            <v>2G/3G/4G</v>
          </cell>
          <cell r="G800" t="str">
            <v>HUAWEI</v>
          </cell>
          <cell r="H800" t="str">
            <v>MOOV</v>
          </cell>
          <cell r="I800" t="str">
            <v>ODIENNE</v>
          </cell>
          <cell r="J800" t="str">
            <v>ODIENNE</v>
          </cell>
          <cell r="K800" t="str">
            <v>ODIENNE</v>
          </cell>
          <cell r="L800" t="str">
            <v>KABADOUGOU</v>
          </cell>
          <cell r="M800" t="str">
            <v>MAN</v>
          </cell>
          <cell r="N800" t="str">
            <v>UPCOUNTRY</v>
          </cell>
        </row>
        <row r="801">
          <cell r="B801" t="str">
            <v>AC809</v>
          </cell>
          <cell r="C801" t="str">
            <v>KPEHIRI</v>
          </cell>
          <cell r="D801" t="str">
            <v>-6.623168</v>
          </cell>
          <cell r="E801" t="str">
            <v>5.778643</v>
          </cell>
          <cell r="F801" t="str">
            <v>2G/3G/4G</v>
          </cell>
          <cell r="G801" t="str">
            <v>HUAWEI</v>
          </cell>
          <cell r="H801" t="str">
            <v>MOOV</v>
          </cell>
          <cell r="I801" t="str">
            <v>SOUBRE</v>
          </cell>
          <cell r="J801" t="str">
            <v>SOUBRE</v>
          </cell>
          <cell r="K801" t="str">
            <v>SOUBRE</v>
          </cell>
          <cell r="L801" t="str">
            <v>NAWA</v>
          </cell>
          <cell r="M801" t="str">
            <v>SOUBRE</v>
          </cell>
          <cell r="N801" t="str">
            <v>UPCOUNTRY</v>
          </cell>
        </row>
        <row r="802">
          <cell r="B802" t="str">
            <v>AC810</v>
          </cell>
          <cell r="C802" t="str">
            <v>BOUAFLE_ST_AUGUSTIN</v>
          </cell>
          <cell r="D802" t="str">
            <v>-5.7483</v>
          </cell>
          <cell r="E802" t="str">
            <v>6.9791</v>
          </cell>
          <cell r="F802" t="str">
            <v>2G/3G/4G</v>
          </cell>
          <cell r="G802" t="str">
            <v>HUAWEI</v>
          </cell>
          <cell r="H802" t="str">
            <v>IHS</v>
          </cell>
          <cell r="I802" t="str">
            <v>BOUAFLE</v>
          </cell>
          <cell r="J802" t="str">
            <v>BOUAFLE</v>
          </cell>
          <cell r="K802" t="str">
            <v>BOUAFLE</v>
          </cell>
          <cell r="L802" t="str">
            <v>MARAHOUE</v>
          </cell>
          <cell r="M802" t="str">
            <v>YAMOUSSOUKRO</v>
          </cell>
          <cell r="N802" t="str">
            <v>UPCOUNTRY</v>
          </cell>
        </row>
        <row r="803">
          <cell r="B803" t="str">
            <v>AC811</v>
          </cell>
          <cell r="C803" t="str">
            <v>DIVO_DOUGAKO</v>
          </cell>
          <cell r="D803" t="str">
            <v>-5.346615</v>
          </cell>
          <cell r="E803" t="str">
            <v>5.822328</v>
          </cell>
          <cell r="F803" t="str">
            <v>2G/3G/4G</v>
          </cell>
          <cell r="G803" t="str">
            <v>ERICSSON</v>
          </cell>
          <cell r="H803" t="str">
            <v>MOOV</v>
          </cell>
          <cell r="I803" t="str">
            <v>DIVO</v>
          </cell>
          <cell r="J803" t="str">
            <v>NEBO</v>
          </cell>
          <cell r="K803" t="str">
            <v>DIVO</v>
          </cell>
          <cell r="L803" t="str">
            <v>LOH-DJIBOUA</v>
          </cell>
          <cell r="M803" t="str">
            <v>DIVO</v>
          </cell>
          <cell r="N803" t="str">
            <v>UPCOUNTRY</v>
          </cell>
        </row>
        <row r="804">
          <cell r="B804" t="str">
            <v>AC812</v>
          </cell>
          <cell r="C804" t="str">
            <v>DIVO_QUARTIER_PROF</v>
          </cell>
          <cell r="D804" t="str">
            <v>-5.358877</v>
          </cell>
          <cell r="E804" t="str">
            <v>5.851043</v>
          </cell>
          <cell r="F804" t="str">
            <v>2G/3G/4G</v>
          </cell>
          <cell r="G804" t="str">
            <v>ERICSSON</v>
          </cell>
          <cell r="H804" t="str">
            <v>MOOV</v>
          </cell>
          <cell r="I804" t="str">
            <v>DIVO</v>
          </cell>
          <cell r="J804" t="str">
            <v>DIVO</v>
          </cell>
          <cell r="K804" t="str">
            <v>DIVO</v>
          </cell>
          <cell r="L804" t="str">
            <v>LOH-DJIBOUA</v>
          </cell>
          <cell r="M804" t="str">
            <v>DIVO</v>
          </cell>
          <cell r="N804" t="str">
            <v>UPCOUNTRY</v>
          </cell>
        </row>
        <row r="805">
          <cell r="B805" t="str">
            <v>AC813</v>
          </cell>
          <cell r="C805" t="str">
            <v>SOUBRE_GABON_EXTENSION</v>
          </cell>
          <cell r="D805" t="str">
            <v>-6.587492</v>
          </cell>
          <cell r="E805" t="str">
            <v>5.77201</v>
          </cell>
          <cell r="F805" t="str">
            <v>2G/3G/4G</v>
          </cell>
          <cell r="G805" t="str">
            <v>HUAWEI</v>
          </cell>
          <cell r="H805" t="str">
            <v>MOOV</v>
          </cell>
          <cell r="I805" t="str">
            <v>SOUBRE</v>
          </cell>
          <cell r="J805" t="str">
            <v>SOUBRE</v>
          </cell>
          <cell r="K805" t="str">
            <v>SOUBRE</v>
          </cell>
          <cell r="L805" t="str">
            <v>NAWA</v>
          </cell>
          <cell r="M805" t="str">
            <v>SOUBRE</v>
          </cell>
          <cell r="N805" t="str">
            <v>UPCOUNTRY</v>
          </cell>
        </row>
        <row r="806">
          <cell r="B806" t="str">
            <v>AC814</v>
          </cell>
          <cell r="C806" t="str">
            <v>AGBO_Millionnaire 2</v>
          </cell>
          <cell r="D806" t="str">
            <v>-4.197608</v>
          </cell>
          <cell r="E806" t="str">
            <v>5.902291</v>
          </cell>
          <cell r="F806" t="str">
            <v>2G/3G/4G</v>
          </cell>
          <cell r="G806" t="str">
            <v>ERICSSON</v>
          </cell>
          <cell r="H806" t="str">
            <v>MOOV</v>
          </cell>
          <cell r="I806" t="str">
            <v>AGBOVILLE</v>
          </cell>
          <cell r="J806" t="str">
            <v>AGBOVILLE</v>
          </cell>
          <cell r="K806" t="str">
            <v>AGBOVILLE</v>
          </cell>
          <cell r="L806" t="str">
            <v>AGNEBY-TIASSA</v>
          </cell>
          <cell r="M806" t="str">
            <v>ABOBO</v>
          </cell>
          <cell r="N806" t="str">
            <v>UPCOUNTRY</v>
          </cell>
        </row>
        <row r="807">
          <cell r="B807" t="str">
            <v>AC815</v>
          </cell>
          <cell r="C807" t="str">
            <v>WESTAFRICA</v>
          </cell>
          <cell r="D807" t="str">
            <v>-3.89565</v>
          </cell>
          <cell r="E807" t="str">
            <v>5.243384</v>
          </cell>
          <cell r="F807" t="str">
            <v>2G/3G/4G</v>
          </cell>
          <cell r="G807" t="str">
            <v>HUAWEI</v>
          </cell>
          <cell r="H807" t="str">
            <v>MOOV</v>
          </cell>
          <cell r="I807" t="str">
            <v>PORT-BOUET</v>
          </cell>
          <cell r="J807" t="str">
            <v>ABIDJAN</v>
          </cell>
          <cell r="K807" t="str">
            <v>ABIDJAN</v>
          </cell>
          <cell r="L807" t="str">
            <v>ABIDJAN</v>
          </cell>
          <cell r="M807" t="str">
            <v>MARCORY</v>
          </cell>
          <cell r="N807" t="str">
            <v>ABIDJAN</v>
          </cell>
        </row>
        <row r="808">
          <cell r="B808" t="str">
            <v>AC816</v>
          </cell>
          <cell r="C808" t="str">
            <v>NIAPIDOU</v>
          </cell>
          <cell r="D808" t="str">
            <v>-6.069411</v>
          </cell>
          <cell r="E808" t="str">
            <v>5.33445</v>
          </cell>
          <cell r="F808" t="str">
            <v>2G/3G/4G</v>
          </cell>
          <cell r="G808" t="str">
            <v>ERICSSON</v>
          </cell>
          <cell r="H808" t="str">
            <v>MOOV</v>
          </cell>
          <cell r="I808" t="str">
            <v>NIAPIDOU</v>
          </cell>
          <cell r="J808" t="str">
            <v>DAKPADOU</v>
          </cell>
          <cell r="K808" t="str">
            <v>SASSANDRA</v>
          </cell>
          <cell r="L808" t="str">
            <v>GBOKLE</v>
          </cell>
          <cell r="M808" t="str">
            <v>SAN-PEDRO</v>
          </cell>
          <cell r="N808" t="str">
            <v>UPCOUNTRY</v>
          </cell>
        </row>
        <row r="809">
          <cell r="B809" t="str">
            <v>AC817</v>
          </cell>
          <cell r="C809" t="str">
            <v>GNANKOUBOUE</v>
          </cell>
          <cell r="D809" t="str">
            <v>-5.77825</v>
          </cell>
          <cell r="E809" t="str">
            <v>5.908056</v>
          </cell>
          <cell r="F809" t="str">
            <v>2G/3G/4G</v>
          </cell>
          <cell r="G809" t="str">
            <v>ERICSSON</v>
          </cell>
          <cell r="H809" t="str">
            <v>MOOV</v>
          </cell>
          <cell r="I809" t="str">
            <v>GNAKOUBOUE 1</v>
          </cell>
          <cell r="J809" t="str">
            <v>LAKOTA</v>
          </cell>
          <cell r="K809" t="str">
            <v>LAKOTA</v>
          </cell>
          <cell r="L809" t="str">
            <v>LOH-DJIBOUA</v>
          </cell>
          <cell r="M809" t="str">
            <v>DIVO</v>
          </cell>
          <cell r="N809" t="str">
            <v>UPCOUNTRY</v>
          </cell>
        </row>
        <row r="810">
          <cell r="B810" t="str">
            <v>AC818</v>
          </cell>
          <cell r="C810" t="str">
            <v>FADJADOUGOU</v>
          </cell>
          <cell r="D810" t="str">
            <v>-6.61468</v>
          </cell>
          <cell r="E810" t="str">
            <v>8.70137</v>
          </cell>
          <cell r="F810" t="str">
            <v>2G/3G/4G</v>
          </cell>
          <cell r="G810" t="str">
            <v>HUAWEI</v>
          </cell>
          <cell r="H810" t="str">
            <v>IHS (MTN)</v>
          </cell>
          <cell r="I810" t="str">
            <v>FADJADOUGOU</v>
          </cell>
          <cell r="J810" t="str">
            <v>FADJADOUGOU</v>
          </cell>
          <cell r="K810" t="str">
            <v>KANI</v>
          </cell>
          <cell r="L810" t="str">
            <v>WORODOUGOU</v>
          </cell>
          <cell r="M810" t="str">
            <v>DALOA</v>
          </cell>
          <cell r="N810" t="str">
            <v>UPCOUNTRY</v>
          </cell>
        </row>
        <row r="811">
          <cell r="B811" t="str">
            <v>AC819</v>
          </cell>
          <cell r="C811" t="str">
            <v>IBOKE</v>
          </cell>
          <cell r="D811" t="str">
            <v>-7.40475</v>
          </cell>
          <cell r="E811" t="str">
            <v>4.68489</v>
          </cell>
          <cell r="F811" t="str">
            <v>2G/3G/4G</v>
          </cell>
          <cell r="G811" t="str">
            <v>ERICSSON</v>
          </cell>
          <cell r="H811" t="str">
            <v>IHS (CIT)</v>
          </cell>
          <cell r="I811" t="str">
            <v>IBOKE</v>
          </cell>
          <cell r="J811" t="str">
            <v>DJOUROUTOU</v>
          </cell>
          <cell r="K811" t="str">
            <v>TABOU</v>
          </cell>
          <cell r="L811" t="str">
            <v>SAN-PEDRO</v>
          </cell>
          <cell r="M811" t="str">
            <v>SAN-PEDRO</v>
          </cell>
          <cell r="N811" t="str">
            <v>UPCOUNTRY</v>
          </cell>
        </row>
        <row r="812">
          <cell r="B812" t="str">
            <v>AC820</v>
          </cell>
          <cell r="C812" t="str">
            <v>BLIDOUBA</v>
          </cell>
          <cell r="D812" t="str">
            <v>-7.42081</v>
          </cell>
          <cell r="E812" t="str">
            <v>4.59582</v>
          </cell>
          <cell r="F812" t="str">
            <v>2G/3G/4G</v>
          </cell>
          <cell r="G812" t="str">
            <v>ERICSSON</v>
          </cell>
          <cell r="H812" t="str">
            <v>MOOV</v>
          </cell>
          <cell r="I812" t="str">
            <v>BLIDOUBA</v>
          </cell>
          <cell r="J812" t="str">
            <v xml:space="preserve"> OLODIO</v>
          </cell>
          <cell r="K812" t="str">
            <v>TABOU</v>
          </cell>
          <cell r="L812" t="str">
            <v>SAN-PEDRO</v>
          </cell>
          <cell r="M812" t="str">
            <v>SAN-PEDRO</v>
          </cell>
          <cell r="N812" t="str">
            <v>UPCOUNTRY</v>
          </cell>
        </row>
        <row r="813">
          <cell r="B813" t="str">
            <v>AC821</v>
          </cell>
          <cell r="C813" t="str">
            <v>KOUNAHIRI</v>
          </cell>
          <cell r="D813" t="str">
            <v>-5.8341937</v>
          </cell>
          <cell r="E813" t="str">
            <v>7.7906097</v>
          </cell>
          <cell r="F813" t="str">
            <v>2G/3G/4G</v>
          </cell>
          <cell r="G813" t="str">
            <v>HUAWEI</v>
          </cell>
          <cell r="H813" t="str">
            <v>MOOV</v>
          </cell>
          <cell r="I813" t="str">
            <v>KOUNAHIRI</v>
          </cell>
          <cell r="J813" t="str">
            <v>KOUNAHIRI</v>
          </cell>
          <cell r="K813" t="str">
            <v>KOUNAHIRI</v>
          </cell>
          <cell r="L813" t="str">
            <v>BERE</v>
          </cell>
          <cell r="M813" t="str">
            <v>YAMOUSSOUKRO</v>
          </cell>
          <cell r="N813" t="str">
            <v>UPCOUNTRY</v>
          </cell>
        </row>
        <row r="814">
          <cell r="B814" t="str">
            <v>AC822</v>
          </cell>
          <cell r="C814" t="str">
            <v>AKPESSEKRO</v>
          </cell>
          <cell r="D814" t="str">
            <v>-5.3031</v>
          </cell>
          <cell r="E814" t="str">
            <v>6.7317</v>
          </cell>
          <cell r="F814" t="str">
            <v>2G/3G/4G</v>
          </cell>
          <cell r="G814" t="str">
            <v>HUAWEI</v>
          </cell>
          <cell r="H814" t="str">
            <v>MOOV</v>
          </cell>
          <cell r="I814" t="str">
            <v>AKPESSEKRO</v>
          </cell>
          <cell r="J814" t="str">
            <v>YAMOUSSOUKRO</v>
          </cell>
          <cell r="K814" t="str">
            <v>YAMOUSSOUKRO</v>
          </cell>
          <cell r="L814" t="str">
            <v>YAMOUSSOUKRO</v>
          </cell>
          <cell r="M814" t="str">
            <v>YAMOUSSOUKRO</v>
          </cell>
          <cell r="N814" t="str">
            <v>UPCOUNTRY</v>
          </cell>
        </row>
        <row r="815">
          <cell r="B815" t="str">
            <v>AC823</v>
          </cell>
          <cell r="C815" t="str">
            <v>ANGAGUI</v>
          </cell>
          <cell r="D815" t="str">
            <v>-6.803097</v>
          </cell>
          <cell r="E815" t="str">
            <v>5.930171</v>
          </cell>
          <cell r="F815" t="str">
            <v>2G/3G/4G</v>
          </cell>
          <cell r="G815" t="str">
            <v>HUAWEI</v>
          </cell>
          <cell r="H815" t="str">
            <v>MOOV</v>
          </cell>
          <cell r="I815" t="str">
            <v>ANGAGUI</v>
          </cell>
          <cell r="J815" t="str">
            <v>GNANMANGUI</v>
          </cell>
          <cell r="K815" t="str">
            <v>MEAGUI</v>
          </cell>
          <cell r="L815" t="str">
            <v>NAWA</v>
          </cell>
          <cell r="M815" t="str">
            <v>SOUBRE</v>
          </cell>
          <cell r="N815" t="str">
            <v>UPCOUNTRY</v>
          </cell>
        </row>
        <row r="816">
          <cell r="B816" t="str">
            <v>AC824</v>
          </cell>
          <cell r="C816" t="str">
            <v>ASSANDRE</v>
          </cell>
          <cell r="D816" t="str">
            <v>-5.3952535</v>
          </cell>
          <cell r="E816" t="str">
            <v>7.3690723</v>
          </cell>
          <cell r="F816" t="str">
            <v>2G/3G/4G</v>
          </cell>
          <cell r="G816" t="str">
            <v>HUAWEI</v>
          </cell>
          <cell r="H816" t="str">
            <v>IHS (OCI)</v>
          </cell>
          <cell r="I816" t="str">
            <v>ASSANDRE</v>
          </cell>
          <cell r="J816" t="str">
            <v>SAKASSOU</v>
          </cell>
          <cell r="K816" t="str">
            <v>SAKASSOU</v>
          </cell>
          <cell r="L816" t="str">
            <v>GBEKE</v>
          </cell>
          <cell r="M816" t="str">
            <v>BOUAKE</v>
          </cell>
          <cell r="N816" t="str">
            <v>UPCOUNTRY</v>
          </cell>
        </row>
        <row r="817">
          <cell r="B817" t="str">
            <v>AC825</v>
          </cell>
          <cell r="C817" t="str">
            <v>AKAKRO</v>
          </cell>
          <cell r="D817" t="str">
            <v>-5.1036</v>
          </cell>
          <cell r="E817" t="str">
            <v>6.6459</v>
          </cell>
          <cell r="F817" t="str">
            <v>2G/3G/4G</v>
          </cell>
          <cell r="G817" t="str">
            <v>HUAWEI</v>
          </cell>
          <cell r="H817" t="str">
            <v>MOOV</v>
          </cell>
          <cell r="I817" t="str">
            <v>AKAKRO</v>
          </cell>
          <cell r="J817" t="str">
            <v>TOUMODI</v>
          </cell>
          <cell r="K817" t="str">
            <v>TOUMODI</v>
          </cell>
          <cell r="L817" t="str">
            <v>BELIER</v>
          </cell>
          <cell r="M817" t="str">
            <v>YAMOUSSOUKRO</v>
          </cell>
          <cell r="N817" t="str">
            <v>UPCOUNTRY</v>
          </cell>
        </row>
        <row r="818">
          <cell r="B818" t="str">
            <v>AC826</v>
          </cell>
          <cell r="C818" t="str">
            <v>BAGOHOUO</v>
          </cell>
          <cell r="D818" t="str">
            <v>-7.196</v>
          </cell>
          <cell r="E818" t="str">
            <v>6.8866</v>
          </cell>
          <cell r="F818" t="str">
            <v>2G/3G/4G</v>
          </cell>
          <cell r="G818" t="str">
            <v>HUAWEI</v>
          </cell>
          <cell r="H818" t="str">
            <v>MOOV</v>
          </cell>
          <cell r="I818" t="str">
            <v>BAGOHOUO</v>
          </cell>
          <cell r="J818" t="str">
            <v>BAGOHOUO</v>
          </cell>
          <cell r="K818" t="str">
            <v>DUEKOUE</v>
          </cell>
          <cell r="L818" t="str">
            <v>GUEMON</v>
          </cell>
          <cell r="M818" t="str">
            <v>MAN</v>
          </cell>
          <cell r="N818" t="str">
            <v>UPCOUNTRY</v>
          </cell>
        </row>
        <row r="819">
          <cell r="B819" t="str">
            <v>AC827</v>
          </cell>
          <cell r="C819" t="str">
            <v>DANIA</v>
          </cell>
          <cell r="D819" t="str">
            <v>-6.8421</v>
          </cell>
          <cell r="E819" t="str">
            <v>7.1529</v>
          </cell>
          <cell r="F819" t="str">
            <v>2G/3G/4G</v>
          </cell>
          <cell r="G819" t="str">
            <v>HUAWEI</v>
          </cell>
          <cell r="H819" t="str">
            <v>MOOV</v>
          </cell>
          <cell r="I819" t="str">
            <v>DANIA</v>
          </cell>
          <cell r="J819" t="str">
            <v>DANIA</v>
          </cell>
          <cell r="K819" t="str">
            <v>VAVOUA</v>
          </cell>
          <cell r="L819" t="str">
            <v>HAUT-SASSANDRA</v>
          </cell>
          <cell r="M819" t="str">
            <v>DALOA</v>
          </cell>
          <cell r="N819" t="str">
            <v>UPCOUNTRY</v>
          </cell>
        </row>
        <row r="820">
          <cell r="B820" t="str">
            <v>AC828</v>
          </cell>
          <cell r="C820" t="str">
            <v>BAHEBLAHON</v>
          </cell>
          <cell r="D820" t="str">
            <v>-7.3416</v>
          </cell>
          <cell r="E820" t="str">
            <v>6.6717</v>
          </cell>
          <cell r="F820" t="str">
            <v>2G/3G/4G</v>
          </cell>
          <cell r="G820" t="str">
            <v>HUAWEI</v>
          </cell>
          <cell r="H820" t="str">
            <v>MOOV</v>
          </cell>
          <cell r="I820" t="str">
            <v>BAHEBLAHON</v>
          </cell>
          <cell r="J820" t="str">
            <v>DUEKOUE</v>
          </cell>
          <cell r="K820" t="str">
            <v>DUEKOUE</v>
          </cell>
          <cell r="L820" t="str">
            <v>GUEMON</v>
          </cell>
          <cell r="M820" t="str">
            <v>MAN</v>
          </cell>
          <cell r="N820" t="str">
            <v>UPCOUNTRY</v>
          </cell>
        </row>
        <row r="821">
          <cell r="B821" t="str">
            <v>AC829</v>
          </cell>
          <cell r="C821" t="str">
            <v>BAHE_SEBON</v>
          </cell>
          <cell r="D821" t="str">
            <v>-7.3998</v>
          </cell>
          <cell r="E821" t="str">
            <v>6.9584</v>
          </cell>
          <cell r="F821" t="str">
            <v>2G/3G/4G</v>
          </cell>
          <cell r="G821" t="str">
            <v>HUAWEI</v>
          </cell>
          <cell r="H821" t="str">
            <v>MOOV</v>
          </cell>
          <cell r="I821" t="str">
            <v>BAHE-SEBON</v>
          </cell>
          <cell r="J821" t="str">
            <v>GUEHIEBLY</v>
          </cell>
          <cell r="K821" t="str">
            <v>DUEKOUE</v>
          </cell>
          <cell r="L821" t="str">
            <v>GUEMON</v>
          </cell>
          <cell r="M821" t="str">
            <v>MAN</v>
          </cell>
          <cell r="N821" t="str">
            <v>UPCOUNTRY</v>
          </cell>
        </row>
        <row r="822">
          <cell r="B822" t="str">
            <v>AC830</v>
          </cell>
          <cell r="C822" t="str">
            <v>BALAHIO</v>
          </cell>
          <cell r="D822" t="str">
            <v>-6.4272</v>
          </cell>
          <cell r="E822" t="str">
            <v>6.3201</v>
          </cell>
          <cell r="F822" t="str">
            <v>2G/3G/4G</v>
          </cell>
          <cell r="G822" t="str">
            <v>HUAWEI</v>
          </cell>
          <cell r="H822" t="str">
            <v>MOOV</v>
          </cell>
          <cell r="I822" t="str">
            <v>BALAHIO</v>
          </cell>
          <cell r="J822" t="str">
            <v>TAPEGUIA</v>
          </cell>
          <cell r="K822" t="str">
            <v>ISSIA</v>
          </cell>
          <cell r="L822" t="str">
            <v>HAUT-SASSANDRA</v>
          </cell>
          <cell r="M822" t="str">
            <v>DALOA</v>
          </cell>
          <cell r="N822" t="str">
            <v>UPCOUNTRY</v>
          </cell>
        </row>
        <row r="823">
          <cell r="B823" t="str">
            <v>AC831</v>
          </cell>
          <cell r="C823" t="str">
            <v>BANDIAHI</v>
          </cell>
          <cell r="D823" t="str">
            <v>-6.1856</v>
          </cell>
          <cell r="E823" t="str">
            <v>7.1982</v>
          </cell>
          <cell r="F823" t="str">
            <v>2G/3G/4G</v>
          </cell>
          <cell r="G823" t="str">
            <v>HUAWEI</v>
          </cell>
          <cell r="H823" t="str">
            <v>MOOV</v>
          </cell>
          <cell r="I823" t="str">
            <v>BANDIAHI</v>
          </cell>
          <cell r="J823" t="str">
            <v>BEDIALA</v>
          </cell>
          <cell r="K823" t="str">
            <v>DALOA</v>
          </cell>
          <cell r="L823" t="str">
            <v>HAUT-SASSANDRA</v>
          </cell>
          <cell r="M823" t="str">
            <v>DALOA</v>
          </cell>
          <cell r="N823" t="str">
            <v>UPCOUNTRY</v>
          </cell>
        </row>
        <row r="824">
          <cell r="B824" t="str">
            <v>AC832</v>
          </cell>
          <cell r="C824" t="str">
            <v>BAONFLA</v>
          </cell>
          <cell r="D824" t="str">
            <v>-5.4989</v>
          </cell>
          <cell r="E824" t="str">
            <v>6.8327</v>
          </cell>
          <cell r="F824" t="str">
            <v>2G/3G/4G</v>
          </cell>
          <cell r="G824" t="str">
            <v>HUAWEI</v>
          </cell>
          <cell r="H824" t="str">
            <v>MOOV</v>
          </cell>
          <cell r="I824" t="str">
            <v>BAONFLA</v>
          </cell>
          <cell r="J824" t="str">
            <v>BOUAFLE</v>
          </cell>
          <cell r="K824" t="str">
            <v>BOUAFLE</v>
          </cell>
          <cell r="L824" t="str">
            <v>MARAHOUE</v>
          </cell>
          <cell r="M824" t="str">
            <v>YAMOUSSOUKRO</v>
          </cell>
          <cell r="N824" t="str">
            <v>UPCOUNTRY</v>
          </cell>
        </row>
        <row r="825">
          <cell r="B825" t="str">
            <v>AC833</v>
          </cell>
          <cell r="C825" t="str">
            <v>BAZRA_NATTIS</v>
          </cell>
          <cell r="D825" t="str">
            <v>-6.5209</v>
          </cell>
          <cell r="E825" t="str">
            <v>7.6096</v>
          </cell>
          <cell r="F825" t="str">
            <v>2G/3G/4G</v>
          </cell>
          <cell r="G825" t="str">
            <v>HUAWEI</v>
          </cell>
          <cell r="H825" t="str">
            <v>MOOV</v>
          </cell>
          <cell r="I825" t="str">
            <v>BAZRA - NATTIS</v>
          </cell>
          <cell r="J825" t="str">
            <v>BAZRA - NATTIS</v>
          </cell>
          <cell r="K825" t="str">
            <v>VAVOUA</v>
          </cell>
          <cell r="L825" t="str">
            <v>HAUT-SASSANDRA</v>
          </cell>
          <cell r="M825" t="str">
            <v>DALOA</v>
          </cell>
          <cell r="N825" t="str">
            <v>UPCOUNTRY</v>
          </cell>
        </row>
        <row r="826">
          <cell r="B826" t="str">
            <v>AC834</v>
          </cell>
          <cell r="C826" t="str">
            <v>AKA_NGUESSANKRO</v>
          </cell>
          <cell r="D826" t="str">
            <v>-5.7402</v>
          </cell>
          <cell r="E826" t="str">
            <v>7.1418</v>
          </cell>
          <cell r="F826" t="str">
            <v>2G/3G/4G</v>
          </cell>
          <cell r="G826" t="str">
            <v>HUAWEI</v>
          </cell>
          <cell r="H826" t="str">
            <v>MOOV</v>
          </cell>
          <cell r="I826" t="str">
            <v>AKA-NGUESSANKRO</v>
          </cell>
          <cell r="J826" t="str">
            <v>PAKOUABO</v>
          </cell>
          <cell r="K826" t="str">
            <v>BOUAFLE</v>
          </cell>
          <cell r="L826" t="str">
            <v>MARAHOUE</v>
          </cell>
          <cell r="M826" t="str">
            <v>YAMOUSSOUKRO</v>
          </cell>
          <cell r="N826" t="str">
            <v>UPCOUNTRY</v>
          </cell>
        </row>
        <row r="827">
          <cell r="B827" t="str">
            <v>AC835</v>
          </cell>
          <cell r="C827" t="str">
            <v>BEFLA</v>
          </cell>
          <cell r="D827" t="str">
            <v>-6.1375</v>
          </cell>
          <cell r="E827" t="str">
            <v>7.2116</v>
          </cell>
          <cell r="F827" t="str">
            <v>2G/3G/4G</v>
          </cell>
          <cell r="G827" t="str">
            <v>HUAWEI</v>
          </cell>
          <cell r="H827" t="str">
            <v>MOOV</v>
          </cell>
          <cell r="I827" t="str">
            <v>BEFLA</v>
          </cell>
          <cell r="J827" t="str">
            <v>BEDIALA</v>
          </cell>
          <cell r="K827" t="str">
            <v>DALOA</v>
          </cell>
          <cell r="L827" t="str">
            <v>HAUT-SASSANDRA</v>
          </cell>
          <cell r="M827" t="str">
            <v>DALOA</v>
          </cell>
          <cell r="N827" t="str">
            <v>UPCOUNTRY</v>
          </cell>
        </row>
        <row r="828">
          <cell r="B828" t="str">
            <v>AC836</v>
          </cell>
          <cell r="C828" t="str">
            <v>BEGAFLA</v>
          </cell>
          <cell r="D828" t="str">
            <v>-6.3301</v>
          </cell>
          <cell r="E828" t="str">
            <v>7.0189</v>
          </cell>
          <cell r="F828" t="str">
            <v>2G/3G/4G</v>
          </cell>
          <cell r="G828" t="str">
            <v>HUAWEI</v>
          </cell>
          <cell r="H828" t="str">
            <v>MOOV</v>
          </cell>
          <cell r="I828" t="str">
            <v>BEGAFLA</v>
          </cell>
          <cell r="J828" t="str">
            <v>GONATE</v>
          </cell>
          <cell r="K828" t="str">
            <v>DALOA</v>
          </cell>
          <cell r="L828" t="str">
            <v>HAUT-SASSANDRA</v>
          </cell>
          <cell r="M828" t="str">
            <v>DALOA</v>
          </cell>
          <cell r="N828" t="str">
            <v>UPCOUNTRY</v>
          </cell>
        </row>
        <row r="829">
          <cell r="B829" t="str">
            <v>AC837</v>
          </cell>
          <cell r="C829" t="str">
            <v>BELLE_VILLE</v>
          </cell>
          <cell r="D829" t="str">
            <v>-6.848</v>
          </cell>
          <cell r="E829" t="str">
            <v>6.8726</v>
          </cell>
          <cell r="F829" t="str">
            <v>2G/3G/4G</v>
          </cell>
          <cell r="G829" t="str">
            <v>HUAWEI</v>
          </cell>
          <cell r="H829" t="str">
            <v>MOOV</v>
          </cell>
          <cell r="I829" t="str">
            <v>BELLE-VILLE</v>
          </cell>
          <cell r="J829" t="str">
            <v>ZOUKOUGBEU</v>
          </cell>
          <cell r="K829" t="str">
            <v>ZOUKOUGBEU</v>
          </cell>
          <cell r="L829" t="str">
            <v>HAUT-SASSANDRA</v>
          </cell>
          <cell r="M829" t="str">
            <v>DALOA</v>
          </cell>
          <cell r="N829" t="str">
            <v>UPCOUNTRY</v>
          </cell>
        </row>
        <row r="830">
          <cell r="B830" t="str">
            <v>AC838</v>
          </cell>
          <cell r="C830" t="str">
            <v>BIDIAHOUAN</v>
          </cell>
          <cell r="D830" t="str">
            <v>-6.23148</v>
          </cell>
          <cell r="E830" t="str">
            <v>6.6129</v>
          </cell>
          <cell r="F830" t="str">
            <v>2G/3G/4G</v>
          </cell>
          <cell r="G830" t="str">
            <v>HUAWEI</v>
          </cell>
          <cell r="H830" t="str">
            <v>MOOV</v>
          </cell>
          <cell r="I830" t="str">
            <v>BIDIAHOUAN</v>
          </cell>
          <cell r="J830" t="str">
            <v>GADOUAN</v>
          </cell>
          <cell r="K830" t="str">
            <v>DALOA</v>
          </cell>
          <cell r="L830" t="str">
            <v>HAUT-SASSANDRA</v>
          </cell>
          <cell r="M830" t="str">
            <v>DALOA</v>
          </cell>
          <cell r="N830" t="str">
            <v>UPCOUNTRY</v>
          </cell>
        </row>
        <row r="831">
          <cell r="B831" t="str">
            <v>AC839</v>
          </cell>
          <cell r="C831" t="str">
            <v>KOZIAYO_2</v>
          </cell>
          <cell r="D831" t="str">
            <v>-6.3448</v>
          </cell>
          <cell r="E831" t="str">
            <v>5.9269</v>
          </cell>
          <cell r="F831" t="str">
            <v>2G/3G/4G</v>
          </cell>
          <cell r="G831" t="str">
            <v>HUAWEI</v>
          </cell>
          <cell r="H831" t="str">
            <v>MOOV</v>
          </cell>
          <cell r="I831" t="str">
            <v>KOZIAYO 2</v>
          </cell>
          <cell r="J831" t="str">
            <v>LILIYO</v>
          </cell>
          <cell r="K831" t="str">
            <v>SOUBRE</v>
          </cell>
          <cell r="L831" t="str">
            <v>NAWA</v>
          </cell>
          <cell r="M831" t="str">
            <v>SOUBRE</v>
          </cell>
          <cell r="N831" t="str">
            <v>UPCOUNTRY</v>
          </cell>
        </row>
        <row r="832">
          <cell r="B832" t="str">
            <v>AC840</v>
          </cell>
          <cell r="C832" t="str">
            <v>ZAHIBO</v>
          </cell>
          <cell r="D832" t="str">
            <v>-6.665402</v>
          </cell>
          <cell r="E832" t="str">
            <v>6.984947</v>
          </cell>
          <cell r="F832" t="str">
            <v>2G/3G/4G</v>
          </cell>
          <cell r="G832" t="str">
            <v>HUAWEI</v>
          </cell>
          <cell r="H832" t="str">
            <v>IHS (CIT)</v>
          </cell>
          <cell r="I832" t="str">
            <v>B-KOUKOGUHE</v>
          </cell>
          <cell r="J832" t="str">
            <v>ZAÏBO</v>
          </cell>
          <cell r="K832" t="str">
            <v>DALOA</v>
          </cell>
          <cell r="L832" t="str">
            <v>HAUT-SASSANDRA</v>
          </cell>
          <cell r="M832" t="str">
            <v>DALOA</v>
          </cell>
          <cell r="N832" t="str">
            <v>UPCOUNTRY</v>
          </cell>
        </row>
        <row r="833">
          <cell r="B833" t="str">
            <v>AC841</v>
          </cell>
          <cell r="C833" t="str">
            <v>BLEANIANDA</v>
          </cell>
          <cell r="D833" t="str">
            <v>-5.7064</v>
          </cell>
          <cell r="E833" t="str">
            <v>6.3046</v>
          </cell>
          <cell r="F833" t="str">
            <v>2G/3G/4G</v>
          </cell>
          <cell r="G833" t="str">
            <v>HUAWEI</v>
          </cell>
          <cell r="H833" t="str">
            <v>MOOV</v>
          </cell>
          <cell r="I833" t="str">
            <v>BLEANIANDA</v>
          </cell>
          <cell r="J833" t="str">
            <v>TONLA</v>
          </cell>
          <cell r="K833" t="str">
            <v>OUME</v>
          </cell>
          <cell r="L833" t="str">
            <v>GOH</v>
          </cell>
          <cell r="M833" t="str">
            <v>GAGNOA</v>
          </cell>
          <cell r="N833" t="str">
            <v>UPCOUNTRY</v>
          </cell>
        </row>
        <row r="834">
          <cell r="B834" t="str">
            <v>AC842</v>
          </cell>
          <cell r="C834" t="str">
            <v>BLENIMEOUIN</v>
          </cell>
          <cell r="D834" t="str">
            <v>-7.1854</v>
          </cell>
          <cell r="E834" t="str">
            <v>7.1434</v>
          </cell>
          <cell r="F834" t="str">
            <v>2G/3G/4G</v>
          </cell>
          <cell r="G834" t="str">
            <v>HUAWEI</v>
          </cell>
          <cell r="H834" t="str">
            <v>IHS (OCI)</v>
          </cell>
          <cell r="I834" t="str">
            <v>BLENIMEOUIN</v>
          </cell>
          <cell r="J834" t="str">
            <v>BLENIMEOUIN</v>
          </cell>
          <cell r="K834" t="str">
            <v>BANGOLO</v>
          </cell>
          <cell r="L834" t="str">
            <v>GUEMON</v>
          </cell>
          <cell r="M834" t="str">
            <v>MAN</v>
          </cell>
          <cell r="N834" t="str">
            <v>UPCOUNTRY</v>
          </cell>
        </row>
        <row r="835">
          <cell r="B835" t="str">
            <v>AC843</v>
          </cell>
          <cell r="C835" t="str">
            <v>BLODY</v>
          </cell>
          <cell r="D835" t="str">
            <v>-7.2963</v>
          </cell>
          <cell r="E835" t="str">
            <v>6.7933</v>
          </cell>
          <cell r="F835" t="str">
            <v>2G/3G/4G</v>
          </cell>
          <cell r="G835" t="str">
            <v>HUAWEI</v>
          </cell>
          <cell r="H835" t="str">
            <v>MOOV</v>
          </cell>
          <cell r="I835" t="str">
            <v>BLODY</v>
          </cell>
          <cell r="J835" t="str">
            <v>DUEKOUE</v>
          </cell>
          <cell r="K835" t="str">
            <v>DUEKOUE</v>
          </cell>
          <cell r="L835" t="str">
            <v>GUEMON</v>
          </cell>
          <cell r="M835" t="str">
            <v>MAN</v>
          </cell>
          <cell r="N835" t="str">
            <v>UPCOUNTRY</v>
          </cell>
        </row>
        <row r="836">
          <cell r="B836" t="str">
            <v>AC844</v>
          </cell>
          <cell r="C836" t="str">
            <v>BOBOUA_BAHOUAN</v>
          </cell>
          <cell r="D836" t="str">
            <v>-6.47</v>
          </cell>
          <cell r="E836" t="str">
            <v>7.0192</v>
          </cell>
          <cell r="F836" t="str">
            <v>2G/3G/4G</v>
          </cell>
          <cell r="G836" t="str">
            <v>HUAWEI</v>
          </cell>
          <cell r="H836" t="str">
            <v>MOOV</v>
          </cell>
          <cell r="I836" t="str">
            <v>BOBOUA-BAHOUAN</v>
          </cell>
          <cell r="J836" t="str">
            <v>DALOA</v>
          </cell>
          <cell r="K836" t="str">
            <v>DALOA</v>
          </cell>
          <cell r="L836" t="str">
            <v>HAUT-SASSANDRA</v>
          </cell>
          <cell r="M836" t="str">
            <v>DALOA</v>
          </cell>
          <cell r="N836" t="str">
            <v>UPCOUNTRY</v>
          </cell>
        </row>
        <row r="837">
          <cell r="B837" t="str">
            <v>AC845</v>
          </cell>
          <cell r="C837" t="str">
            <v>GNIPI_2</v>
          </cell>
          <cell r="D837" t="str">
            <v>-6.644929</v>
          </cell>
          <cell r="E837" t="str">
            <v>5.667512</v>
          </cell>
          <cell r="F837" t="str">
            <v>2G/3G/4G</v>
          </cell>
          <cell r="G837" t="str">
            <v>HUAWEI</v>
          </cell>
          <cell r="H837" t="str">
            <v>MOOV</v>
          </cell>
          <cell r="I837" t="str">
            <v>GNIPI 2</v>
          </cell>
          <cell r="J837" t="str">
            <v>OUPOYO</v>
          </cell>
          <cell r="K837" t="str">
            <v>MEAGUI</v>
          </cell>
          <cell r="L837" t="str">
            <v>NAWA</v>
          </cell>
          <cell r="M837" t="str">
            <v>SOUBRE</v>
          </cell>
          <cell r="N837" t="str">
            <v>UPCOUNTRY</v>
          </cell>
        </row>
        <row r="838">
          <cell r="B838" t="str">
            <v>AC846</v>
          </cell>
          <cell r="C838" t="str">
            <v>BOLI</v>
          </cell>
          <cell r="D838" t="str">
            <v>-4.8058</v>
          </cell>
          <cell r="E838" t="str">
            <v>7.2275</v>
          </cell>
          <cell r="F838" t="str">
            <v>2G/3G/4G</v>
          </cell>
          <cell r="G838" t="str">
            <v>HUAWEI</v>
          </cell>
          <cell r="H838" t="str">
            <v>MOOV</v>
          </cell>
          <cell r="I838" t="str">
            <v>BOLI</v>
          </cell>
          <cell r="J838" t="str">
            <v>BOLI</v>
          </cell>
          <cell r="K838" t="str">
            <v>DIDIEVI</v>
          </cell>
          <cell r="L838" t="str">
            <v>BELIER</v>
          </cell>
          <cell r="M838" t="str">
            <v>YAMOUSSOUKRO</v>
          </cell>
          <cell r="N838" t="str">
            <v>UPCOUNTRY</v>
          </cell>
        </row>
        <row r="839">
          <cell r="B839" t="str">
            <v>AC847</v>
          </cell>
          <cell r="C839" t="str">
            <v>BOODA</v>
          </cell>
          <cell r="D839" t="str">
            <v>-5.6896</v>
          </cell>
          <cell r="E839" t="str">
            <v>6.3599</v>
          </cell>
          <cell r="F839" t="str">
            <v>2G/3G/4G</v>
          </cell>
          <cell r="G839" t="str">
            <v>HUAWEI</v>
          </cell>
          <cell r="H839" t="str">
            <v>MOOV</v>
          </cell>
          <cell r="I839" t="str">
            <v>BOODA</v>
          </cell>
          <cell r="J839" t="str">
            <v>TONLA</v>
          </cell>
          <cell r="K839" t="str">
            <v>OUME</v>
          </cell>
          <cell r="L839" t="str">
            <v>GOH</v>
          </cell>
          <cell r="M839" t="str">
            <v>GAGNOA</v>
          </cell>
          <cell r="N839" t="str">
            <v>UPCOUNTRY</v>
          </cell>
        </row>
        <row r="840">
          <cell r="B840" t="str">
            <v>AC848</v>
          </cell>
          <cell r="C840" t="str">
            <v>BOUAFLA</v>
          </cell>
          <cell r="D840" t="str">
            <v>-5.852121</v>
          </cell>
          <cell r="E840" t="str">
            <v>7.251438</v>
          </cell>
          <cell r="F840" t="str">
            <v>2G/3G/4G</v>
          </cell>
          <cell r="G840" t="str">
            <v>HUAWEI</v>
          </cell>
          <cell r="H840" t="str">
            <v>MOOV</v>
          </cell>
          <cell r="I840" t="str">
            <v>BOUAFLA</v>
          </cell>
          <cell r="J840" t="str">
            <v>TIBEITA</v>
          </cell>
          <cell r="K840" t="str">
            <v>BOUAFLE</v>
          </cell>
          <cell r="L840" t="str">
            <v>MARAHOUE</v>
          </cell>
          <cell r="M840" t="str">
            <v>YAMOUSSOUKRO</v>
          </cell>
          <cell r="N840" t="str">
            <v>UPCOUNTRY</v>
          </cell>
        </row>
        <row r="841">
          <cell r="B841" t="str">
            <v>AC849</v>
          </cell>
          <cell r="C841" t="str">
            <v>SIFIE</v>
          </cell>
          <cell r="D841" t="str">
            <v>-6.9289</v>
          </cell>
          <cell r="E841" t="str">
            <v>7.9799</v>
          </cell>
          <cell r="F841" t="str">
            <v>2G/3G/4G</v>
          </cell>
          <cell r="G841" t="str">
            <v>HUAWEI</v>
          </cell>
          <cell r="H841" t="str">
            <v>MOOV</v>
          </cell>
          <cell r="I841" t="str">
            <v>SIFIE</v>
          </cell>
          <cell r="J841" t="str">
            <v>SIFIE</v>
          </cell>
          <cell r="K841" t="str">
            <v>SEGUELA</v>
          </cell>
          <cell r="L841" t="str">
            <v>WORODOUGOU</v>
          </cell>
          <cell r="M841" t="str">
            <v>DALOA</v>
          </cell>
          <cell r="N841" t="str">
            <v>UPCOUNTRY</v>
          </cell>
        </row>
        <row r="842">
          <cell r="B842" t="str">
            <v>AC850</v>
          </cell>
          <cell r="C842" t="str">
            <v>NIAPOYO</v>
          </cell>
          <cell r="D842" t="str">
            <v>-6.6584</v>
          </cell>
          <cell r="E842" t="str">
            <v>6.0215</v>
          </cell>
          <cell r="F842" t="str">
            <v>2G/3G/4G</v>
          </cell>
          <cell r="G842" t="str">
            <v>HUAWEI</v>
          </cell>
          <cell r="H842" t="str">
            <v>MOOV</v>
          </cell>
          <cell r="I842" t="str">
            <v>NIAPOYO</v>
          </cell>
          <cell r="J842" t="str">
            <v>SOUBRE</v>
          </cell>
          <cell r="K842" t="str">
            <v>SOUBRE</v>
          </cell>
          <cell r="L842" t="str">
            <v>NAWA</v>
          </cell>
          <cell r="M842" t="str">
            <v>SOUBRE</v>
          </cell>
          <cell r="N842" t="str">
            <v>UPCOUNTRY</v>
          </cell>
        </row>
        <row r="843">
          <cell r="B843" t="str">
            <v>AC851</v>
          </cell>
          <cell r="C843" t="str">
            <v>NIAZAHON_V16</v>
          </cell>
          <cell r="D843" t="str">
            <v>-7.3926</v>
          </cell>
          <cell r="E843" t="str">
            <v>6.3731</v>
          </cell>
          <cell r="F843" t="str">
            <v>2G/3G/4G</v>
          </cell>
          <cell r="G843" t="str">
            <v>HUAWEI</v>
          </cell>
          <cell r="H843" t="str">
            <v>MOOV</v>
          </cell>
          <cell r="I843" t="str">
            <v>NIZAHON1</v>
          </cell>
          <cell r="J843" t="str">
            <v>NIHAZON</v>
          </cell>
          <cell r="K843" t="str">
            <v>GUIGLO</v>
          </cell>
          <cell r="L843" t="str">
            <v>CAVALLY</v>
          </cell>
          <cell r="M843" t="str">
            <v>MAN</v>
          </cell>
          <cell r="N843" t="str">
            <v>UPCOUNTRY</v>
          </cell>
        </row>
        <row r="844">
          <cell r="B844" t="str">
            <v>AC852</v>
          </cell>
          <cell r="C844" t="str">
            <v>GRIBOUO</v>
          </cell>
          <cell r="D844" t="str">
            <v>-6.9093</v>
          </cell>
          <cell r="E844" t="str">
            <v>6.1883</v>
          </cell>
          <cell r="F844" t="str">
            <v>2G/3G/4G</v>
          </cell>
          <cell r="G844" t="str">
            <v>HUAWEI</v>
          </cell>
          <cell r="H844" t="str">
            <v>MOOV</v>
          </cell>
          <cell r="I844" t="str">
            <v>GRIBOUO</v>
          </cell>
          <cell r="J844" t="str">
            <v>DAPEOUA</v>
          </cell>
          <cell r="K844" t="str">
            <v>BUYO</v>
          </cell>
          <cell r="L844" t="str">
            <v>NAWA</v>
          </cell>
          <cell r="M844" t="str">
            <v>SOUBRE</v>
          </cell>
          <cell r="N844" t="str">
            <v>UPCOUNTRY</v>
          </cell>
        </row>
        <row r="845">
          <cell r="B845" t="str">
            <v>AC853</v>
          </cell>
          <cell r="C845" t="str">
            <v>KADIOHA</v>
          </cell>
          <cell r="D845" t="str">
            <v>-5.8765</v>
          </cell>
          <cell r="E845" t="str">
            <v>8.9713</v>
          </cell>
          <cell r="F845" t="str">
            <v>2G/3G/4G</v>
          </cell>
          <cell r="G845" t="str">
            <v>HUAWEI</v>
          </cell>
          <cell r="H845" t="str">
            <v>MOOV</v>
          </cell>
          <cell r="I845" t="str">
            <v>KADIOHA</v>
          </cell>
          <cell r="J845" t="str">
            <v>DIKODOUGOU</v>
          </cell>
          <cell r="K845" t="str">
            <v>DIKODOUGOU</v>
          </cell>
          <cell r="L845" t="str">
            <v>PORO</v>
          </cell>
          <cell r="M845" t="str">
            <v>KORHOGO</v>
          </cell>
          <cell r="N845" t="str">
            <v>UPCOUNTRY</v>
          </cell>
        </row>
        <row r="846">
          <cell r="B846" t="str">
            <v>AC854</v>
          </cell>
          <cell r="C846" t="str">
            <v>KAHIN_ZARABAON</v>
          </cell>
          <cell r="D846" t="str">
            <v>-7.631332</v>
          </cell>
          <cell r="E846" t="str">
            <v>6.915207</v>
          </cell>
          <cell r="F846" t="str">
            <v>2G/3G/4G</v>
          </cell>
          <cell r="G846" t="str">
            <v>HUAWEI</v>
          </cell>
          <cell r="H846" t="str">
            <v>MOOV</v>
          </cell>
          <cell r="I846" t="str">
            <v>KAHIN-ZARABAON</v>
          </cell>
          <cell r="J846" t="str">
            <v>KAHIN-ZARABAON</v>
          </cell>
          <cell r="K846" t="str">
            <v>BANGOLO</v>
          </cell>
          <cell r="L846" t="str">
            <v>GUEMON</v>
          </cell>
          <cell r="M846" t="str">
            <v>MAN</v>
          </cell>
          <cell r="N846" t="str">
            <v>UPCOUNTRY</v>
          </cell>
        </row>
        <row r="847">
          <cell r="B847" t="str">
            <v>AC855</v>
          </cell>
          <cell r="C847" t="str">
            <v>OUEDALLAH</v>
          </cell>
          <cell r="D847" t="str">
            <v>-5.7884899</v>
          </cell>
          <cell r="E847" t="str">
            <v>8.177523</v>
          </cell>
          <cell r="F847" t="str">
            <v>2G/3G/4G</v>
          </cell>
          <cell r="G847" t="str">
            <v>HUAWEI</v>
          </cell>
          <cell r="H847" t="str">
            <v>MOOV</v>
          </cell>
          <cell r="I847" t="str">
            <v>OUEDALLAH</v>
          </cell>
          <cell r="J847" t="str">
            <v>TIENINGBOUE</v>
          </cell>
          <cell r="K847" t="str">
            <v>MANKONO</v>
          </cell>
          <cell r="L847" t="str">
            <v>BERE</v>
          </cell>
          <cell r="M847" t="str">
            <v>BOUAKE</v>
          </cell>
          <cell r="N847" t="str">
            <v>UPCOUNTRY</v>
          </cell>
        </row>
        <row r="848">
          <cell r="B848" t="str">
            <v>AC856</v>
          </cell>
          <cell r="C848" t="str">
            <v>KEIBLY</v>
          </cell>
          <cell r="D848" t="str">
            <v>-7.4732</v>
          </cell>
          <cell r="E848" t="str">
            <v>5.9921</v>
          </cell>
          <cell r="F848" t="str">
            <v>2G/3G/4G</v>
          </cell>
          <cell r="G848" t="str">
            <v>HUAWEI</v>
          </cell>
          <cell r="H848" t="str">
            <v>MOOV</v>
          </cell>
          <cell r="I848" t="str">
            <v>KEIBLY</v>
          </cell>
          <cell r="J848" t="str">
            <v>ZAGNE</v>
          </cell>
          <cell r="K848" t="str">
            <v>TAI</v>
          </cell>
          <cell r="L848" t="str">
            <v>CAVALLY</v>
          </cell>
          <cell r="M848" t="str">
            <v>MAN</v>
          </cell>
          <cell r="N848" t="str">
            <v>UPCOUNTRY</v>
          </cell>
        </row>
        <row r="849">
          <cell r="B849" t="str">
            <v>AC857</v>
          </cell>
          <cell r="C849" t="str">
            <v>KETRO_BASSAM</v>
          </cell>
          <cell r="D849" t="str">
            <v>-6.6372</v>
          </cell>
          <cell r="E849" t="str">
            <v>7.1808</v>
          </cell>
          <cell r="F849" t="str">
            <v>2G/3G/4G</v>
          </cell>
          <cell r="G849" t="str">
            <v>HUAWEI</v>
          </cell>
          <cell r="H849" t="str">
            <v>MOOV</v>
          </cell>
          <cell r="I849" t="str">
            <v>KETRO BASSAM</v>
          </cell>
          <cell r="J849" t="str">
            <v>KETRO BASSAM</v>
          </cell>
          <cell r="K849" t="str">
            <v>VAVOUA</v>
          </cell>
          <cell r="L849" t="str">
            <v>HAUT-SASSANDRA</v>
          </cell>
          <cell r="M849" t="str">
            <v>DALOA</v>
          </cell>
          <cell r="N849" t="str">
            <v>UPCOUNTRY</v>
          </cell>
        </row>
        <row r="850">
          <cell r="B850" t="str">
            <v>AC858</v>
          </cell>
          <cell r="C850" t="str">
            <v>DOBA</v>
          </cell>
          <cell r="D850" t="str">
            <v>-6.829598</v>
          </cell>
          <cell r="E850" t="str">
            <v>5.201667</v>
          </cell>
          <cell r="F850" t="str">
            <v>2G/3G/4G</v>
          </cell>
          <cell r="G850" t="str">
            <v>HUAWEI</v>
          </cell>
          <cell r="H850" t="str">
            <v>MOOV</v>
          </cell>
          <cell r="I850" t="str">
            <v>DOBA</v>
          </cell>
          <cell r="J850" t="str">
            <v>DOBA</v>
          </cell>
          <cell r="K850" t="str">
            <v>SAN-PEDRO</v>
          </cell>
          <cell r="L850" t="str">
            <v>SAN-PEDRO</v>
          </cell>
          <cell r="M850" t="str">
            <v>SOUBRE</v>
          </cell>
          <cell r="N850" t="str">
            <v>UPCOUNTRY</v>
          </cell>
        </row>
        <row r="851">
          <cell r="B851" t="str">
            <v>AC859</v>
          </cell>
          <cell r="C851" t="str">
            <v>KOUDOUGOU</v>
          </cell>
          <cell r="D851" t="str">
            <v>-5.637906</v>
          </cell>
          <cell r="E851" t="str">
            <v>6.92687</v>
          </cell>
          <cell r="F851" t="str">
            <v>2G/3G/4G</v>
          </cell>
          <cell r="G851" t="str">
            <v>HUAWEI</v>
          </cell>
          <cell r="H851" t="str">
            <v>MOOV</v>
          </cell>
          <cell r="I851" t="str">
            <v>KOUDOUGOU</v>
          </cell>
          <cell r="J851" t="str">
            <v>BOUAFLE</v>
          </cell>
          <cell r="K851" t="str">
            <v>BOUAFLE</v>
          </cell>
          <cell r="L851" t="str">
            <v>MARAHOUE</v>
          </cell>
          <cell r="M851" t="str">
            <v>YAMOUSSOUKRO</v>
          </cell>
          <cell r="N851" t="str">
            <v>UPCOUNTRY</v>
          </cell>
        </row>
        <row r="852">
          <cell r="B852" t="str">
            <v>AC860</v>
          </cell>
          <cell r="C852" t="str">
            <v>KOUETINFLA</v>
          </cell>
          <cell r="D852" t="str">
            <v>-6.045987</v>
          </cell>
          <cell r="E852" t="str">
            <v>6.621128</v>
          </cell>
          <cell r="F852" t="str">
            <v>2G/3G/4G</v>
          </cell>
          <cell r="G852" t="str">
            <v>HUAWEI</v>
          </cell>
          <cell r="H852" t="str">
            <v>MOOV</v>
          </cell>
          <cell r="I852" t="str">
            <v>KOUETINFLA</v>
          </cell>
          <cell r="J852" t="str">
            <v>Kouetinfla</v>
          </cell>
          <cell r="K852" t="str">
            <v>Sinfra</v>
          </cell>
          <cell r="L852" t="str">
            <v>MARAHOUE</v>
          </cell>
          <cell r="M852" t="str">
            <v>GAGNOA</v>
          </cell>
          <cell r="N852" t="str">
            <v>UPCOUNTRY</v>
          </cell>
        </row>
        <row r="853">
          <cell r="B853" t="str">
            <v>AC861</v>
          </cell>
          <cell r="C853" t="str">
            <v>KAYETA</v>
          </cell>
          <cell r="D853" t="str">
            <v>-5.6542</v>
          </cell>
          <cell r="E853" t="str">
            <v>6.639</v>
          </cell>
          <cell r="F853" t="str">
            <v>2G/3G/4G</v>
          </cell>
          <cell r="G853" t="str">
            <v>HUAWEI</v>
          </cell>
          <cell r="H853" t="str">
            <v>MOOV</v>
          </cell>
          <cell r="I853" t="str">
            <v>KAYETA</v>
          </cell>
          <cell r="J853" t="str">
            <v>Kononfla</v>
          </cell>
          <cell r="K853" t="str">
            <v>Sinfra</v>
          </cell>
          <cell r="L853" t="str">
            <v>MARAHOUE</v>
          </cell>
          <cell r="M853" t="str">
            <v>GAGNOA</v>
          </cell>
          <cell r="N853" t="str">
            <v>UPCOUNTRY</v>
          </cell>
        </row>
        <row r="854">
          <cell r="B854" t="str">
            <v>AC862</v>
          </cell>
          <cell r="C854" t="str">
            <v>ANOKRO</v>
          </cell>
          <cell r="D854" t="str">
            <v>-6.6402</v>
          </cell>
          <cell r="E854" t="str">
            <v>5.4378</v>
          </cell>
          <cell r="F854" t="str">
            <v>2G/3G/4G</v>
          </cell>
          <cell r="G854" t="str">
            <v>HUAWEI</v>
          </cell>
          <cell r="H854" t="str">
            <v>MOOV</v>
          </cell>
          <cell r="I854" t="str">
            <v>ANOKRO</v>
          </cell>
          <cell r="J854" t="str">
            <v>MEAGUI</v>
          </cell>
          <cell r="K854" t="str">
            <v>MEAGUI</v>
          </cell>
          <cell r="L854" t="str">
            <v>NAWA</v>
          </cell>
          <cell r="M854" t="str">
            <v>SOUBRE</v>
          </cell>
          <cell r="N854" t="str">
            <v>UPCOUNTRY</v>
          </cell>
        </row>
        <row r="855">
          <cell r="B855" t="str">
            <v>AC863</v>
          </cell>
          <cell r="C855" t="str">
            <v>ZRO_TOUYA</v>
          </cell>
          <cell r="D855" t="str">
            <v>-7.5132</v>
          </cell>
          <cell r="E855" t="str">
            <v>6.3018</v>
          </cell>
          <cell r="F855" t="str">
            <v>2G/3G/4G</v>
          </cell>
          <cell r="G855" t="str">
            <v>HUAWEI</v>
          </cell>
          <cell r="H855" t="str">
            <v>MOOV</v>
          </cell>
          <cell r="I855" t="str">
            <v>ZRO</v>
          </cell>
          <cell r="J855" t="str">
            <v>GUIGLO</v>
          </cell>
          <cell r="K855" t="str">
            <v>GUIGLO</v>
          </cell>
          <cell r="L855" t="str">
            <v>CAVALLY</v>
          </cell>
          <cell r="M855" t="str">
            <v>MAN</v>
          </cell>
          <cell r="N855" t="str">
            <v>UPCOUNTRY</v>
          </cell>
        </row>
        <row r="856">
          <cell r="B856" t="str">
            <v>AC864</v>
          </cell>
          <cell r="C856" t="str">
            <v>LILIYO</v>
          </cell>
          <cell r="D856" t="str">
            <v>-6.3607</v>
          </cell>
          <cell r="E856" t="str">
            <v>5.9971</v>
          </cell>
          <cell r="F856" t="str">
            <v>2G/3G/4G</v>
          </cell>
          <cell r="G856" t="str">
            <v>HUAWEI</v>
          </cell>
          <cell r="H856" t="str">
            <v>MOOV</v>
          </cell>
          <cell r="I856" t="str">
            <v>LILIYO</v>
          </cell>
          <cell r="J856" t="str">
            <v>LILIYO</v>
          </cell>
          <cell r="K856" t="str">
            <v>SOUBRE</v>
          </cell>
          <cell r="L856" t="str">
            <v>NAWA</v>
          </cell>
          <cell r="M856" t="str">
            <v>SOUBRE</v>
          </cell>
          <cell r="N856" t="str">
            <v>UPCOUNTRY</v>
          </cell>
        </row>
        <row r="857">
          <cell r="B857" t="str">
            <v>AC865</v>
          </cell>
          <cell r="C857" t="str">
            <v>LOBOGBA</v>
          </cell>
          <cell r="D857" t="str">
            <v>-6.7393</v>
          </cell>
          <cell r="E857" t="str">
            <v>5.9835</v>
          </cell>
          <cell r="F857" t="str">
            <v>2G/3G/4G</v>
          </cell>
          <cell r="G857" t="str">
            <v>HUAWEI</v>
          </cell>
          <cell r="H857" t="str">
            <v>MOOV</v>
          </cell>
          <cell r="I857" t="str">
            <v>LOBOGBA</v>
          </cell>
          <cell r="J857" t="str">
            <v>DAPEOUA</v>
          </cell>
          <cell r="K857" t="str">
            <v>BUYO</v>
          </cell>
          <cell r="L857" t="str">
            <v>NAWA</v>
          </cell>
          <cell r="M857" t="str">
            <v>SOUBRE</v>
          </cell>
          <cell r="N857" t="str">
            <v>UPCOUNTRY</v>
          </cell>
        </row>
        <row r="858">
          <cell r="B858" t="str">
            <v>AC866</v>
          </cell>
          <cell r="C858" t="str">
            <v>GOYA_1</v>
          </cell>
          <cell r="D858" t="str">
            <v>-7.4272</v>
          </cell>
          <cell r="E858" t="str">
            <v>6.5648</v>
          </cell>
          <cell r="F858" t="str">
            <v>2G/3G/4G</v>
          </cell>
          <cell r="G858" t="str">
            <v>HUAWEI</v>
          </cell>
          <cell r="H858" t="str">
            <v>MOOV</v>
          </cell>
          <cell r="I858" t="str">
            <v>GOYA1</v>
          </cell>
          <cell r="J858" t="str">
            <v>GUIGLO</v>
          </cell>
          <cell r="K858" t="str">
            <v>GUIGLO</v>
          </cell>
          <cell r="L858" t="str">
            <v>CAVALLY</v>
          </cell>
          <cell r="M858" t="str">
            <v>MAN</v>
          </cell>
          <cell r="N858" t="str">
            <v>UPCOUNTRY</v>
          </cell>
        </row>
        <row r="859">
          <cell r="B859" t="str">
            <v>AC867</v>
          </cell>
          <cell r="C859" t="str">
            <v>LUENOUFLA</v>
          </cell>
          <cell r="D859" t="str">
            <v>-6.2434</v>
          </cell>
          <cell r="E859" t="str">
            <v>7.0679</v>
          </cell>
          <cell r="F859" t="str">
            <v>2G/3G/4G</v>
          </cell>
          <cell r="G859" t="str">
            <v>HUAWEI</v>
          </cell>
          <cell r="H859" t="str">
            <v>MOOV</v>
          </cell>
          <cell r="I859" t="str">
            <v>LUENOUFLA</v>
          </cell>
          <cell r="J859" t="str">
            <v>BEDIALA</v>
          </cell>
          <cell r="K859" t="str">
            <v>DALOA</v>
          </cell>
          <cell r="L859" t="str">
            <v>HAUT-SASSANDRA</v>
          </cell>
          <cell r="M859" t="str">
            <v>DALOA</v>
          </cell>
          <cell r="N859" t="str">
            <v>UPCOUNTRY</v>
          </cell>
        </row>
        <row r="860">
          <cell r="B860" t="str">
            <v>AC868</v>
          </cell>
          <cell r="C860" t="str">
            <v>MAMINIGUI</v>
          </cell>
          <cell r="D860" t="str">
            <v>-5.8441</v>
          </cell>
          <cell r="E860" t="str">
            <v>7.4032</v>
          </cell>
          <cell r="F860" t="str">
            <v>2G/3G/4G</v>
          </cell>
          <cell r="G860" t="str">
            <v>HUAWEI</v>
          </cell>
          <cell r="H860" t="str">
            <v>MOOV</v>
          </cell>
          <cell r="I860" t="str">
            <v>MAMINIGUI</v>
          </cell>
          <cell r="J860" t="str">
            <v>MAMINIGUI</v>
          </cell>
          <cell r="K860" t="str">
            <v>ZUENOULA</v>
          </cell>
          <cell r="L860" t="str">
            <v>MARAHOUE</v>
          </cell>
          <cell r="M860" t="str">
            <v>YAMOUSSOUKRO</v>
          </cell>
          <cell r="N860" t="str">
            <v>UPCOUNTRY</v>
          </cell>
        </row>
        <row r="861">
          <cell r="B861" t="str">
            <v>AC869</v>
          </cell>
          <cell r="C861" t="str">
            <v>ZRALUO</v>
          </cell>
          <cell r="D861" t="str">
            <v>-5.8898</v>
          </cell>
          <cell r="E861" t="str">
            <v>7.5722</v>
          </cell>
          <cell r="F861" t="str">
            <v>2G/3G/4G</v>
          </cell>
          <cell r="G861" t="str">
            <v>HUAWEI</v>
          </cell>
          <cell r="H861" t="str">
            <v>MOOV</v>
          </cell>
          <cell r="I861" t="str">
            <v>ZRALUO</v>
          </cell>
          <cell r="J861" t="str">
            <v>GOHITAFLA</v>
          </cell>
          <cell r="K861" t="str">
            <v>ZUENOULA</v>
          </cell>
          <cell r="L861" t="str">
            <v>MARAHOUE</v>
          </cell>
          <cell r="M861" t="str">
            <v>YAMOUSSOUKRO</v>
          </cell>
          <cell r="N861" t="str">
            <v>UPCOUNTRY</v>
          </cell>
        </row>
        <row r="862">
          <cell r="B862" t="str">
            <v>AC870</v>
          </cell>
          <cell r="C862" t="str">
            <v>MASSADOUGOU</v>
          </cell>
          <cell r="D862" t="str">
            <v>-7.568747</v>
          </cell>
          <cell r="E862" t="str">
            <v>9.625361</v>
          </cell>
          <cell r="F862" t="str">
            <v>2G/3G/4G</v>
          </cell>
          <cell r="G862" t="str">
            <v>HUAWEI</v>
          </cell>
          <cell r="H862" t="str">
            <v>MOOV</v>
          </cell>
          <cell r="I862" t="str">
            <v>MASSADOUGOU</v>
          </cell>
          <cell r="J862" t="str">
            <v>ODIENNE</v>
          </cell>
          <cell r="K862" t="str">
            <v>ODIENNE</v>
          </cell>
          <cell r="L862" t="str">
            <v>KABADOUGOU</v>
          </cell>
          <cell r="M862" t="str">
            <v>MAN</v>
          </cell>
          <cell r="N862" t="str">
            <v>UPCOUNTRY</v>
          </cell>
        </row>
        <row r="863">
          <cell r="B863" t="str">
            <v>AC871</v>
          </cell>
          <cell r="C863" t="str">
            <v>NAMANE</v>
          </cell>
          <cell r="D863" t="str">
            <v>-6.7052</v>
          </cell>
          <cell r="E863" t="str">
            <v>6.3891</v>
          </cell>
          <cell r="F863" t="str">
            <v>2G/3G/4G</v>
          </cell>
          <cell r="G863" t="str">
            <v>HUAWEI</v>
          </cell>
          <cell r="H863" t="str">
            <v>MOOV</v>
          </cell>
          <cell r="I863" t="str">
            <v>NAMANE</v>
          </cell>
          <cell r="J863" t="str">
            <v>NAMANE</v>
          </cell>
          <cell r="K863" t="str">
            <v>ISSIA</v>
          </cell>
          <cell r="L863" t="str">
            <v>HAUT-SASSANDRA</v>
          </cell>
          <cell r="M863" t="str">
            <v>DALOA</v>
          </cell>
          <cell r="N863" t="str">
            <v>UPCOUNTRY</v>
          </cell>
        </row>
        <row r="864">
          <cell r="B864" t="str">
            <v>AC872</v>
          </cell>
          <cell r="C864" t="str">
            <v>NIEKEIDE</v>
          </cell>
          <cell r="D864" t="str">
            <v>-5.9982</v>
          </cell>
          <cell r="E864" t="str">
            <v>6.464</v>
          </cell>
          <cell r="F864" t="str">
            <v>2G/3G/4G</v>
          </cell>
          <cell r="G864" t="str">
            <v>HUAWEI</v>
          </cell>
          <cell r="H864" t="str">
            <v>MOOV</v>
          </cell>
          <cell r="I864" t="str">
            <v>NEKEIDE</v>
          </cell>
          <cell r="J864" t="str">
            <v>BAYOTA</v>
          </cell>
          <cell r="K864" t="str">
            <v>GAGNOA</v>
          </cell>
          <cell r="L864" t="str">
            <v>GOH</v>
          </cell>
          <cell r="M864" t="str">
            <v>GAGNOA</v>
          </cell>
          <cell r="N864" t="str">
            <v>UPCOUNTRY</v>
          </cell>
        </row>
        <row r="865">
          <cell r="B865" t="str">
            <v>AC873</v>
          </cell>
          <cell r="C865" t="str">
            <v>OUATTARADOUGOU</v>
          </cell>
          <cell r="D865" t="str">
            <v>-7.195098</v>
          </cell>
          <cell r="E865" t="str">
            <v>6.594187</v>
          </cell>
          <cell r="F865" t="str">
            <v>2G/3G/4G</v>
          </cell>
          <cell r="G865" t="str">
            <v>HUAWEI</v>
          </cell>
          <cell r="H865" t="str">
            <v>MOOV</v>
          </cell>
          <cell r="I865" t="str">
            <v>OUATTARADOUGOU</v>
          </cell>
          <cell r="J865" t="str">
            <v>GBAPLEU</v>
          </cell>
          <cell r="K865" t="str">
            <v>DUEKOUE</v>
          </cell>
          <cell r="L865" t="str">
            <v>GUEMON</v>
          </cell>
          <cell r="M865" t="str">
            <v>MAN</v>
          </cell>
          <cell r="N865" t="str">
            <v>UPCOUNTRY</v>
          </cell>
        </row>
        <row r="866">
          <cell r="B866" t="str">
            <v>AC874</v>
          </cell>
          <cell r="C866" t="str">
            <v>TIAHOUO</v>
          </cell>
          <cell r="D866" t="str">
            <v>-6.4819</v>
          </cell>
          <cell r="E866" t="str">
            <v>7.4401</v>
          </cell>
          <cell r="F866" t="str">
            <v>2G/3G/4G</v>
          </cell>
          <cell r="G866" t="str">
            <v>HUAWEI</v>
          </cell>
          <cell r="H866" t="str">
            <v>MOOV</v>
          </cell>
          <cell r="I866" t="str">
            <v>TIAHOUO</v>
          </cell>
          <cell r="J866" t="str">
            <v>VAVOUA</v>
          </cell>
          <cell r="K866" t="str">
            <v>VAVOUA</v>
          </cell>
          <cell r="L866" t="str">
            <v>HAUT-SASSANDRA</v>
          </cell>
          <cell r="M866" t="str">
            <v>DALOA</v>
          </cell>
          <cell r="N866" t="str">
            <v>UPCOUNTRY</v>
          </cell>
        </row>
        <row r="867">
          <cell r="B867" t="str">
            <v>AC875</v>
          </cell>
          <cell r="C867" t="str">
            <v>GOHITAFLA</v>
          </cell>
          <cell r="D867" t="str">
            <v>-5.8709</v>
          </cell>
          <cell r="E867" t="str">
            <v>7.495</v>
          </cell>
          <cell r="F867" t="str">
            <v>2G/3G/4G</v>
          </cell>
          <cell r="G867" t="str">
            <v>HUAWEI</v>
          </cell>
          <cell r="H867" t="str">
            <v>MOOV</v>
          </cell>
          <cell r="I867" t="str">
            <v>GOHITAFLA</v>
          </cell>
          <cell r="J867" t="str">
            <v>GOHITAFLA</v>
          </cell>
          <cell r="K867" t="str">
            <v>ZUENOULA</v>
          </cell>
          <cell r="L867" t="str">
            <v>MARAHOUE</v>
          </cell>
          <cell r="M867" t="str">
            <v>YAMOUSSOUKRO</v>
          </cell>
          <cell r="N867" t="str">
            <v>UPCOUNTRY</v>
          </cell>
        </row>
        <row r="868">
          <cell r="B868" t="str">
            <v>AC876</v>
          </cell>
          <cell r="C868" t="str">
            <v>SANEGOURIFLA</v>
          </cell>
          <cell r="D868" t="str">
            <v>-5.7996</v>
          </cell>
          <cell r="E868" t="str">
            <v>6.6563</v>
          </cell>
          <cell r="F868" t="str">
            <v>2G/3G/4G</v>
          </cell>
          <cell r="G868" t="str">
            <v>HUAWEI</v>
          </cell>
          <cell r="H868" t="str">
            <v>MOOV</v>
          </cell>
          <cell r="I868" t="str">
            <v>SANEGOURIFLA</v>
          </cell>
          <cell r="J868" t="str">
            <v>SINFRA</v>
          </cell>
          <cell r="K868" t="str">
            <v>SINFRA</v>
          </cell>
          <cell r="L868" t="str">
            <v>MARAHOUE</v>
          </cell>
          <cell r="M868" t="str">
            <v>GAGNOA</v>
          </cell>
          <cell r="N868" t="str">
            <v>UPCOUNTRY</v>
          </cell>
        </row>
        <row r="869">
          <cell r="B869" t="str">
            <v>AC877</v>
          </cell>
          <cell r="C869" t="str">
            <v>SARAKAGUI</v>
          </cell>
          <cell r="D869" t="str">
            <v>-6.8032</v>
          </cell>
          <cell r="E869" t="str">
            <v>5.8258</v>
          </cell>
          <cell r="F869" t="str">
            <v>2G/3G/4G</v>
          </cell>
          <cell r="G869" t="str">
            <v>HUAWEI</v>
          </cell>
          <cell r="H869" t="str">
            <v>IHS (OCI)</v>
          </cell>
          <cell r="I869" t="str">
            <v>SARAKAGUI</v>
          </cell>
          <cell r="J869" t="str">
            <v>GNANMANGUI</v>
          </cell>
          <cell r="K869" t="str">
            <v>MEAGUI</v>
          </cell>
          <cell r="L869" t="str">
            <v>NAWA</v>
          </cell>
          <cell r="M869" t="str">
            <v>SOUBRE</v>
          </cell>
          <cell r="N869" t="str">
            <v>UPCOUNTRY</v>
          </cell>
        </row>
        <row r="870">
          <cell r="B870" t="str">
            <v>AC878</v>
          </cell>
          <cell r="C870" t="str">
            <v>SCIERIE_JACOB</v>
          </cell>
          <cell r="D870" t="str">
            <v>-5.5248</v>
          </cell>
          <cell r="E870" t="str">
            <v>6.3287</v>
          </cell>
          <cell r="F870" t="str">
            <v>2G/3G/4G</v>
          </cell>
          <cell r="G870" t="str">
            <v>HUAWEI</v>
          </cell>
          <cell r="H870" t="str">
            <v>MOOV</v>
          </cell>
          <cell r="I870" t="str">
            <v>SCIERIE JACOB</v>
          </cell>
          <cell r="J870" t="str">
            <v>DIEGONEFLA</v>
          </cell>
          <cell r="K870" t="str">
            <v>OUME</v>
          </cell>
          <cell r="L870" t="str">
            <v>GOH</v>
          </cell>
          <cell r="M870" t="str">
            <v>GAGNOA</v>
          </cell>
          <cell r="N870" t="str">
            <v>UPCOUNTRY</v>
          </cell>
        </row>
        <row r="871">
          <cell r="B871" t="str">
            <v>AC879</v>
          </cell>
          <cell r="C871" t="str">
            <v>BLANFLA</v>
          </cell>
          <cell r="D871" t="str">
            <v>-5.7658</v>
          </cell>
          <cell r="E871" t="str">
            <v>6.8554</v>
          </cell>
          <cell r="F871" t="str">
            <v>2G/3G/4G</v>
          </cell>
          <cell r="G871" t="str">
            <v>HUAWEI</v>
          </cell>
          <cell r="H871" t="str">
            <v>MOOV</v>
          </cell>
          <cell r="I871" t="str">
            <v>BLANFLA</v>
          </cell>
          <cell r="J871" t="str">
            <v>BOUAFLE</v>
          </cell>
          <cell r="K871" t="str">
            <v>BOUAFLE</v>
          </cell>
          <cell r="L871" t="str">
            <v>MARAHOUE</v>
          </cell>
          <cell r="M871" t="str">
            <v>YAMOUSSOUKRO</v>
          </cell>
          <cell r="N871" t="str">
            <v>UPCOUNTRY</v>
          </cell>
        </row>
        <row r="872">
          <cell r="B872" t="str">
            <v>AC880</v>
          </cell>
          <cell r="C872" t="str">
            <v>SELIEGUHE</v>
          </cell>
          <cell r="D872" t="str">
            <v>-6.8676</v>
          </cell>
          <cell r="E872" t="str">
            <v>6.622</v>
          </cell>
          <cell r="F872" t="str">
            <v>2G/3G/4G</v>
          </cell>
          <cell r="G872" t="str">
            <v>HUAWEI</v>
          </cell>
          <cell r="H872" t="str">
            <v>MOOV</v>
          </cell>
          <cell r="I872" t="str">
            <v>SELIEGUHE</v>
          </cell>
          <cell r="J872" t="str">
            <v>IBOGUHE</v>
          </cell>
          <cell r="K872" t="str">
            <v>ISSIA</v>
          </cell>
          <cell r="L872" t="str">
            <v>HAUT-SASSANDRA</v>
          </cell>
          <cell r="M872" t="str">
            <v>DALOA</v>
          </cell>
          <cell r="N872" t="str">
            <v>UPCOUNTRY</v>
          </cell>
        </row>
        <row r="873">
          <cell r="B873" t="str">
            <v>AC881</v>
          </cell>
          <cell r="C873" t="str">
            <v>SEMIEN</v>
          </cell>
          <cell r="D873" t="str">
            <v>-7.133659</v>
          </cell>
          <cell r="E873" t="str">
            <v>7.603548</v>
          </cell>
          <cell r="F873" t="str">
            <v>2G/3G/4G</v>
          </cell>
          <cell r="G873" t="str">
            <v>HUAWEI</v>
          </cell>
          <cell r="H873" t="str">
            <v>MOOV</v>
          </cell>
          <cell r="I873" t="str">
            <v>SEMIEN</v>
          </cell>
          <cell r="J873" t="str">
            <v>SEMIEN</v>
          </cell>
          <cell r="K873" t="str">
            <v>FACOBLY</v>
          </cell>
          <cell r="L873" t="str">
            <v>GUEMON</v>
          </cell>
          <cell r="M873" t="str">
            <v>MAN</v>
          </cell>
          <cell r="N873" t="str">
            <v>UPCOUNTRY</v>
          </cell>
        </row>
        <row r="874">
          <cell r="B874" t="str">
            <v>AC882</v>
          </cell>
          <cell r="C874" t="str">
            <v>SIETINFLA</v>
          </cell>
          <cell r="D874" t="str">
            <v>-5.7317</v>
          </cell>
          <cell r="E874" t="str">
            <v>6.8258</v>
          </cell>
          <cell r="F874" t="str">
            <v>2G/3G/4G</v>
          </cell>
          <cell r="G874" t="str">
            <v>HUAWEI</v>
          </cell>
          <cell r="H874" t="str">
            <v>MOOV</v>
          </cell>
          <cell r="I874" t="str">
            <v>SIETINFLA</v>
          </cell>
          <cell r="J874" t="str">
            <v>BOUAFLE</v>
          </cell>
          <cell r="K874" t="str">
            <v>BOUAFLE</v>
          </cell>
          <cell r="L874" t="str">
            <v>MARAHOUE</v>
          </cell>
          <cell r="M874" t="str">
            <v>YAMOUSSOUKRO</v>
          </cell>
          <cell r="N874" t="str">
            <v>UPCOUNTRY</v>
          </cell>
        </row>
        <row r="875">
          <cell r="B875" t="str">
            <v>AC883</v>
          </cell>
          <cell r="C875" t="str">
            <v>TAHIRAGUHE</v>
          </cell>
          <cell r="D875" t="str">
            <v>-6.3994</v>
          </cell>
          <cell r="E875" t="str">
            <v>6.8018</v>
          </cell>
          <cell r="F875" t="str">
            <v>2G/3G/4G</v>
          </cell>
          <cell r="G875" t="str">
            <v>HUAWEI</v>
          </cell>
          <cell r="H875" t="str">
            <v>MOOV</v>
          </cell>
          <cell r="I875" t="str">
            <v>TAHIRAGUHE</v>
          </cell>
          <cell r="J875" t="str">
            <v>DALOA</v>
          </cell>
          <cell r="K875" t="str">
            <v>DALOA</v>
          </cell>
          <cell r="L875" t="str">
            <v>HAUT-SASSANDRA</v>
          </cell>
          <cell r="M875" t="str">
            <v>DALOA</v>
          </cell>
          <cell r="N875" t="str">
            <v>UPCOUNTRY</v>
          </cell>
        </row>
        <row r="876">
          <cell r="B876" t="str">
            <v>AC884</v>
          </cell>
          <cell r="C876" t="str">
            <v>TAKOREAGUI</v>
          </cell>
          <cell r="D876" t="str">
            <v>-6.7897</v>
          </cell>
          <cell r="E876" t="str">
            <v>5.756</v>
          </cell>
          <cell r="F876" t="str">
            <v>2G/3G/4G</v>
          </cell>
          <cell r="G876" t="str">
            <v>HUAWEI</v>
          </cell>
          <cell r="H876" t="str">
            <v>MOOV</v>
          </cell>
          <cell r="I876" t="str">
            <v>TAKOREAGUI</v>
          </cell>
          <cell r="J876" t="str">
            <v>GNANMANGUI</v>
          </cell>
          <cell r="K876" t="str">
            <v>MEAGUI</v>
          </cell>
          <cell r="L876" t="str">
            <v>NAWA</v>
          </cell>
          <cell r="M876" t="str">
            <v>SOUBRE</v>
          </cell>
          <cell r="N876" t="str">
            <v>UPCOUNTRY</v>
          </cell>
        </row>
        <row r="877">
          <cell r="B877" t="str">
            <v>AC885</v>
          </cell>
          <cell r="C877" t="str">
            <v>TEHIRI</v>
          </cell>
          <cell r="D877" t="str">
            <v>-5.9851</v>
          </cell>
          <cell r="E877" t="str">
            <v>6.397</v>
          </cell>
          <cell r="F877" t="str">
            <v>2G/3G/4G</v>
          </cell>
          <cell r="G877" t="str">
            <v>HUAWEI</v>
          </cell>
          <cell r="H877" t="str">
            <v>MOOV</v>
          </cell>
          <cell r="I877" t="str">
            <v>TEHIRI</v>
          </cell>
          <cell r="J877" t="str">
            <v>BAYOTA</v>
          </cell>
          <cell r="K877" t="str">
            <v>GAGNOA</v>
          </cell>
          <cell r="L877" t="str">
            <v>GOH</v>
          </cell>
          <cell r="M877" t="str">
            <v>GAGNOA</v>
          </cell>
          <cell r="N877" t="str">
            <v>UPCOUNTRY</v>
          </cell>
        </row>
        <row r="878">
          <cell r="B878" t="str">
            <v>AC886</v>
          </cell>
          <cell r="C878" t="str">
            <v>TEZIE</v>
          </cell>
          <cell r="D878" t="str">
            <v>-6.3067</v>
          </cell>
          <cell r="E878" t="str">
            <v>6.3815</v>
          </cell>
          <cell r="F878" t="str">
            <v>2G/3G/4G</v>
          </cell>
          <cell r="G878" t="str">
            <v>HUAWEI</v>
          </cell>
          <cell r="H878" t="str">
            <v>MOOV</v>
          </cell>
          <cell r="I878" t="str">
            <v>TEZIE</v>
          </cell>
          <cell r="J878" t="str">
            <v>NAHIO</v>
          </cell>
          <cell r="K878" t="str">
            <v>ISSIA</v>
          </cell>
          <cell r="L878" t="str">
            <v>HAUT-SASSANDRA</v>
          </cell>
          <cell r="M878" t="str">
            <v>DALOA</v>
          </cell>
          <cell r="N878" t="str">
            <v>UPCOUNTRY</v>
          </cell>
        </row>
        <row r="879">
          <cell r="B879" t="str">
            <v>AC887</v>
          </cell>
          <cell r="C879" t="str">
            <v>TIEMELEKRO</v>
          </cell>
          <cell r="D879" t="str">
            <v>-4.6172</v>
          </cell>
          <cell r="E879" t="str">
            <v>6.4964</v>
          </cell>
          <cell r="F879" t="str">
            <v>2G/3G/4G</v>
          </cell>
          <cell r="G879" t="str">
            <v>HUAWEI</v>
          </cell>
          <cell r="H879" t="str">
            <v>MOOV</v>
          </cell>
          <cell r="I879" t="str">
            <v>TIEMELEKRO</v>
          </cell>
          <cell r="J879" t="str">
            <v>TIEMELEKRO</v>
          </cell>
          <cell r="K879" t="str">
            <v>M'BATTO</v>
          </cell>
          <cell r="L879" t="str">
            <v>MORONOU</v>
          </cell>
          <cell r="M879" t="str">
            <v>YAMOUSSOUKRO</v>
          </cell>
          <cell r="N879" t="str">
            <v>UPCOUNTRY</v>
          </cell>
        </row>
        <row r="880">
          <cell r="B880" t="str">
            <v>AC888</v>
          </cell>
          <cell r="C880" t="str">
            <v>TOBLY_BANGOLO</v>
          </cell>
          <cell r="D880" t="str">
            <v>-7.1899</v>
          </cell>
          <cell r="E880" t="str">
            <v>6.743</v>
          </cell>
          <cell r="F880" t="str">
            <v>2G/3G/4G</v>
          </cell>
          <cell r="G880" t="str">
            <v>HUAWEI</v>
          </cell>
          <cell r="H880" t="str">
            <v>MOOV</v>
          </cell>
          <cell r="I880" t="str">
            <v>TOBLY-BANGOLO</v>
          </cell>
          <cell r="J880" t="str">
            <v>GUEZON</v>
          </cell>
          <cell r="K880" t="str">
            <v>DUEKOUE</v>
          </cell>
          <cell r="L880" t="str">
            <v>GUEMON</v>
          </cell>
          <cell r="M880" t="str">
            <v>MAN</v>
          </cell>
          <cell r="N880" t="str">
            <v>UPCOUNTRY</v>
          </cell>
        </row>
        <row r="881">
          <cell r="B881" t="str">
            <v>AC889</v>
          </cell>
          <cell r="C881" t="str">
            <v>VROUO_1</v>
          </cell>
          <cell r="D881" t="str">
            <v>-6.5524</v>
          </cell>
          <cell r="E881" t="str">
            <v>7.6937</v>
          </cell>
          <cell r="F881" t="str">
            <v>2G/3G/4G</v>
          </cell>
          <cell r="G881" t="str">
            <v>HUAWEI</v>
          </cell>
          <cell r="H881" t="str">
            <v>MOOV</v>
          </cell>
          <cell r="I881" t="str">
            <v>VROUO 1</v>
          </cell>
          <cell r="J881" t="str">
            <v>BAZRA - NATTIS</v>
          </cell>
          <cell r="K881" t="str">
            <v>VAVOUA</v>
          </cell>
          <cell r="L881" t="str">
            <v>HAUT-SASSANDRA</v>
          </cell>
          <cell r="M881" t="str">
            <v>DALOA</v>
          </cell>
          <cell r="N881" t="str">
            <v>UPCOUNTRY</v>
          </cell>
        </row>
        <row r="882">
          <cell r="B882" t="str">
            <v>AC890</v>
          </cell>
          <cell r="C882" t="str">
            <v>WALEBO</v>
          </cell>
          <cell r="D882" t="str">
            <v>-6.834</v>
          </cell>
          <cell r="E882" t="str">
            <v>5.5857</v>
          </cell>
          <cell r="F882" t="str">
            <v>2G/3G/4G</v>
          </cell>
          <cell r="G882" t="str">
            <v>HUAWEI</v>
          </cell>
          <cell r="H882" t="str">
            <v>MOOV</v>
          </cell>
          <cell r="I882" t="str">
            <v>WALEBO</v>
          </cell>
          <cell r="J882" t="str">
            <v>GNANMANGUI</v>
          </cell>
          <cell r="K882" t="str">
            <v>MEAGUI</v>
          </cell>
          <cell r="L882" t="str">
            <v>NAWA</v>
          </cell>
          <cell r="M882" t="str">
            <v>SOUBRE</v>
          </cell>
          <cell r="N882" t="str">
            <v>UPCOUNTRY</v>
          </cell>
        </row>
        <row r="883">
          <cell r="B883" t="str">
            <v>AC891</v>
          </cell>
          <cell r="C883" t="str">
            <v>ZERGBEU</v>
          </cell>
          <cell r="D883" t="str">
            <v>-6.5933</v>
          </cell>
          <cell r="E883" t="str">
            <v>5.9012</v>
          </cell>
          <cell r="F883" t="str">
            <v>2G/3G/4G</v>
          </cell>
          <cell r="G883" t="str">
            <v>HUAWEI</v>
          </cell>
          <cell r="H883" t="str">
            <v>MOOV</v>
          </cell>
          <cell r="I883" t="str">
            <v>ZERGBEU</v>
          </cell>
          <cell r="J883" t="str">
            <v>SOUBRE</v>
          </cell>
          <cell r="K883" t="str">
            <v>SOUBRE</v>
          </cell>
          <cell r="L883" t="str">
            <v>NAWA</v>
          </cell>
          <cell r="M883" t="str">
            <v>SOUBRE</v>
          </cell>
          <cell r="N883" t="str">
            <v>UPCOUNTRY</v>
          </cell>
        </row>
        <row r="884">
          <cell r="B884" t="str">
            <v>AC892</v>
          </cell>
          <cell r="C884" t="str">
            <v>YOBOUEKRO</v>
          </cell>
          <cell r="D884" t="str">
            <v>-5.4656</v>
          </cell>
          <cell r="E884" t="str">
            <v>6.9111</v>
          </cell>
          <cell r="F884" t="str">
            <v>2G/3G/4G</v>
          </cell>
          <cell r="G884" t="str">
            <v>HUAWEI</v>
          </cell>
          <cell r="H884" t="str">
            <v>MOOV</v>
          </cell>
          <cell r="I884" t="str">
            <v>YOBOUEKRO</v>
          </cell>
          <cell r="J884" t="str">
            <v>KOSSOU</v>
          </cell>
          <cell r="K884" t="str">
            <v>YAMOUSSOUKRO</v>
          </cell>
          <cell r="L884" t="str">
            <v>YAMOUSSOUKRO</v>
          </cell>
          <cell r="M884" t="str">
            <v>YAMOUSSOUKRO</v>
          </cell>
          <cell r="N884" t="str">
            <v>UPCOUNTRY</v>
          </cell>
        </row>
        <row r="885">
          <cell r="B885" t="str">
            <v>AC893</v>
          </cell>
          <cell r="C885" t="str">
            <v>ZAGORETA</v>
          </cell>
          <cell r="D885" t="str">
            <v>-6.1537</v>
          </cell>
          <cell r="E885" t="str">
            <v>6.6753</v>
          </cell>
          <cell r="F885" t="str">
            <v>2G/3G/4G</v>
          </cell>
          <cell r="G885" t="str">
            <v>HUAWEI</v>
          </cell>
          <cell r="H885" t="str">
            <v>MOOV</v>
          </cell>
          <cell r="I885" t="str">
            <v>ZAGORETA</v>
          </cell>
          <cell r="J885" t="str">
            <v>GADOUAN</v>
          </cell>
          <cell r="K885" t="str">
            <v>DALOA</v>
          </cell>
          <cell r="L885" t="str">
            <v>HAUT-SASSANDRA</v>
          </cell>
          <cell r="M885" t="str">
            <v>DALOA</v>
          </cell>
          <cell r="N885" t="str">
            <v>UPCOUNTRY</v>
          </cell>
        </row>
        <row r="886">
          <cell r="B886" t="str">
            <v>AC894</v>
          </cell>
          <cell r="C886" t="str">
            <v>ZALIOHOUAN</v>
          </cell>
          <cell r="D886" t="str">
            <v>-6.238701</v>
          </cell>
          <cell r="E886" t="str">
            <v>6.793714</v>
          </cell>
          <cell r="F886" t="str">
            <v>2G/3G/4G</v>
          </cell>
          <cell r="G886" t="str">
            <v>HUAWEI</v>
          </cell>
          <cell r="H886" t="str">
            <v>MOOV</v>
          </cell>
          <cell r="I886" t="str">
            <v>ZALIOHOUAN</v>
          </cell>
          <cell r="J886" t="str">
            <v>GADOUAN</v>
          </cell>
          <cell r="K886" t="str">
            <v>DALOA</v>
          </cell>
          <cell r="L886" t="str">
            <v>HAUT-SASSANDRA</v>
          </cell>
          <cell r="M886" t="str">
            <v>DALOA</v>
          </cell>
          <cell r="N886" t="str">
            <v>UPCOUNTRY</v>
          </cell>
        </row>
        <row r="887">
          <cell r="B887" t="str">
            <v>AC895</v>
          </cell>
          <cell r="C887" t="str">
            <v>ZIPLIGNAN</v>
          </cell>
          <cell r="D887" t="str">
            <v>-5.8398</v>
          </cell>
          <cell r="E887" t="str">
            <v>6.4522</v>
          </cell>
          <cell r="F887" t="str">
            <v>2G/3G/4G</v>
          </cell>
          <cell r="G887" t="str">
            <v>HUAWEI</v>
          </cell>
          <cell r="H887" t="str">
            <v>MOOV</v>
          </cell>
          <cell r="I887" t="str">
            <v>ZIPLIGNAN</v>
          </cell>
          <cell r="J887" t="str">
            <v>YOPOHUE</v>
          </cell>
          <cell r="K887" t="str">
            <v>GAGNOA</v>
          </cell>
          <cell r="L887" t="str">
            <v>GOH</v>
          </cell>
          <cell r="M887" t="str">
            <v>GAGNOA</v>
          </cell>
          <cell r="N887" t="str">
            <v>UPCOUNTRY</v>
          </cell>
        </row>
        <row r="888">
          <cell r="B888" t="str">
            <v>AC896</v>
          </cell>
          <cell r="C888" t="str">
            <v>GRAND_GBAPLEU</v>
          </cell>
          <cell r="D888" t="str">
            <v>-7.5297</v>
          </cell>
          <cell r="E888" t="str">
            <v>7.4088</v>
          </cell>
          <cell r="F888" t="str">
            <v>2G/3G/4G</v>
          </cell>
          <cell r="G888" t="str">
            <v>HUAWEI</v>
          </cell>
          <cell r="H888" t="str">
            <v>MOOV</v>
          </cell>
          <cell r="I888" t="str">
            <v>MAN</v>
          </cell>
          <cell r="J888" t="str">
            <v>MAN</v>
          </cell>
          <cell r="K888" t="str">
            <v>MAN</v>
          </cell>
          <cell r="L888" t="str">
            <v>TONKPI</v>
          </cell>
          <cell r="M888" t="str">
            <v>MAN</v>
          </cell>
          <cell r="N888" t="str">
            <v>UPCOUNTRY</v>
          </cell>
        </row>
        <row r="889">
          <cell r="B889" t="str">
            <v>AC897</v>
          </cell>
          <cell r="C889" t="str">
            <v>DJAPADJI</v>
          </cell>
          <cell r="D889" t="str">
            <v>-6.818306</v>
          </cell>
          <cell r="E889" t="str">
            <v>5.296085</v>
          </cell>
          <cell r="F889" t="str">
            <v>2G/3G/4G</v>
          </cell>
          <cell r="G889" t="str">
            <v>HUAWEI</v>
          </cell>
          <cell r="H889" t="str">
            <v>MOOV</v>
          </cell>
          <cell r="I889" t="str">
            <v>DJAPADJI</v>
          </cell>
          <cell r="J889" t="str">
            <v>DOBA</v>
          </cell>
          <cell r="K889" t="str">
            <v>SAN-PEDRO</v>
          </cell>
          <cell r="L889" t="str">
            <v>SAN-PEDRO</v>
          </cell>
          <cell r="M889" t="str">
            <v>SOUBRE</v>
          </cell>
          <cell r="N889" t="str">
            <v>UPCOUNTRY</v>
          </cell>
        </row>
        <row r="890">
          <cell r="B890" t="str">
            <v>AC898</v>
          </cell>
          <cell r="C890" t="str">
            <v>BEHIBO_V15</v>
          </cell>
          <cell r="D890" t="str">
            <v>-7.4199</v>
          </cell>
          <cell r="E890" t="str">
            <v>6.3148</v>
          </cell>
          <cell r="F890" t="str">
            <v>2G/3G/4G</v>
          </cell>
          <cell r="G890" t="str">
            <v>HUAWEI</v>
          </cell>
          <cell r="H890" t="str">
            <v>MOOV</v>
          </cell>
          <cell r="I890" t="str">
            <v>BEHEBO</v>
          </cell>
          <cell r="J890" t="str">
            <v>NIHAZON</v>
          </cell>
          <cell r="K890" t="str">
            <v>GUIGLO</v>
          </cell>
          <cell r="L890" t="str">
            <v>CAVALLY</v>
          </cell>
          <cell r="M890" t="str">
            <v>MAN</v>
          </cell>
          <cell r="N890" t="str">
            <v>UPCOUNTRY</v>
          </cell>
        </row>
        <row r="891">
          <cell r="B891" t="str">
            <v>AC899</v>
          </cell>
          <cell r="C891" t="str">
            <v>OUANINOU</v>
          </cell>
          <cell r="D891" t="str">
            <v>-7.8538</v>
          </cell>
          <cell r="E891" t="str">
            <v>8.2415</v>
          </cell>
          <cell r="F891" t="str">
            <v>2G/3G/4G</v>
          </cell>
          <cell r="G891" t="str">
            <v>HUAWEI</v>
          </cell>
          <cell r="H891" t="str">
            <v>IHS (OCI)</v>
          </cell>
          <cell r="I891" t="str">
            <v>OUANINOU</v>
          </cell>
          <cell r="J891" t="str">
            <v>OUANINOU</v>
          </cell>
          <cell r="K891" t="str">
            <v>OUANINOU</v>
          </cell>
          <cell r="L891" t="str">
            <v>BAFING</v>
          </cell>
          <cell r="M891" t="str">
            <v>MAN</v>
          </cell>
          <cell r="N891" t="str">
            <v>UPCOUNTRY</v>
          </cell>
        </row>
        <row r="892">
          <cell r="B892" t="str">
            <v>AC900</v>
          </cell>
          <cell r="C892" t="str">
            <v>POGREAGUI</v>
          </cell>
          <cell r="D892" t="str">
            <v>-6.6762</v>
          </cell>
          <cell r="E892" t="str">
            <v>5.4412</v>
          </cell>
          <cell r="F892" t="str">
            <v>2G/3G/4G</v>
          </cell>
          <cell r="G892" t="str">
            <v>HUAWEI</v>
          </cell>
          <cell r="H892" t="str">
            <v>MOOV</v>
          </cell>
          <cell r="I892" t="str">
            <v>POGREAGUI</v>
          </cell>
          <cell r="J892" t="str">
            <v>MEAGUI</v>
          </cell>
          <cell r="K892" t="str">
            <v>MEAGUI</v>
          </cell>
          <cell r="L892" t="str">
            <v>NAWA</v>
          </cell>
          <cell r="M892" t="str">
            <v>SOUBRE</v>
          </cell>
          <cell r="N892" t="str">
            <v>UPCOUNTRY</v>
          </cell>
        </row>
        <row r="893">
          <cell r="B893" t="str">
            <v>AC901</v>
          </cell>
          <cell r="C893" t="str">
            <v>PRIKRO</v>
          </cell>
          <cell r="D893" t="str">
            <v>-3.99996</v>
          </cell>
          <cell r="E893" t="str">
            <v>7.650238</v>
          </cell>
          <cell r="F893" t="str">
            <v>2G/3G/4G</v>
          </cell>
          <cell r="G893" t="str">
            <v>HUAWEI</v>
          </cell>
          <cell r="H893" t="str">
            <v>MOOV</v>
          </cell>
          <cell r="I893" t="str">
            <v>PRIKRO</v>
          </cell>
          <cell r="J893" t="str">
            <v>PRIKRO</v>
          </cell>
          <cell r="K893" t="str">
            <v>PRIKRO</v>
          </cell>
          <cell r="L893" t="str">
            <v>IFFOU</v>
          </cell>
          <cell r="M893" t="str">
            <v>BOUAKE</v>
          </cell>
          <cell r="N893" t="str">
            <v>UPCOUNTRY</v>
          </cell>
        </row>
        <row r="894">
          <cell r="B894" t="str">
            <v>AC902</v>
          </cell>
          <cell r="C894" t="str">
            <v>ABOKA_ou_V9</v>
          </cell>
          <cell r="D894" t="str">
            <v>-6.822088</v>
          </cell>
          <cell r="E894" t="str">
            <v>6.536621</v>
          </cell>
          <cell r="F894" t="str">
            <v>2G/3G/4G</v>
          </cell>
          <cell r="G894" t="str">
            <v>HUAWEI</v>
          </cell>
          <cell r="H894" t="str">
            <v>MOOV</v>
          </cell>
          <cell r="I894" t="str">
            <v>ABOKA ou V9</v>
          </cell>
          <cell r="J894" t="str">
            <v>IBOGUHE</v>
          </cell>
          <cell r="K894" t="str">
            <v>ISSIA</v>
          </cell>
          <cell r="L894" t="str">
            <v>HAUT-SASSANDRA</v>
          </cell>
          <cell r="M894" t="str">
            <v>DALOA</v>
          </cell>
          <cell r="N894" t="str">
            <v>UPCOUNTRY</v>
          </cell>
        </row>
        <row r="895">
          <cell r="B895" t="str">
            <v>AC904</v>
          </cell>
          <cell r="C895" t="str">
            <v>DAL_BSC</v>
          </cell>
          <cell r="D895" t="str">
            <v>-6.429886</v>
          </cell>
          <cell r="E895" t="str">
            <v>6.880981</v>
          </cell>
          <cell r="F895" t="str">
            <v>2G/3G/4G</v>
          </cell>
          <cell r="G895" t="str">
            <v>HUAWEI</v>
          </cell>
          <cell r="H895" t="str">
            <v>MOOV</v>
          </cell>
          <cell r="I895" t="str">
            <v>DALOA</v>
          </cell>
          <cell r="J895" t="str">
            <v>DALOA</v>
          </cell>
          <cell r="K895" t="str">
            <v>DALOA</v>
          </cell>
          <cell r="L895" t="str">
            <v>HAUT-SASSANDRA</v>
          </cell>
          <cell r="M895" t="str">
            <v>DALOA</v>
          </cell>
          <cell r="N895" t="str">
            <v>UPCOUNTRY</v>
          </cell>
        </row>
        <row r="896">
          <cell r="B896" t="str">
            <v>AC905</v>
          </cell>
          <cell r="C896" t="str">
            <v>SINFRA_NV_QTIER</v>
          </cell>
          <cell r="D896" t="str">
            <v>-5.916039</v>
          </cell>
          <cell r="E896" t="str">
            <v>6.611991</v>
          </cell>
          <cell r="F896" t="str">
            <v>2G/3G/4G</v>
          </cell>
          <cell r="G896" t="str">
            <v>HUAWEI</v>
          </cell>
          <cell r="H896" t="str">
            <v>MOOV</v>
          </cell>
          <cell r="I896" t="str">
            <v>SINFRA</v>
          </cell>
          <cell r="J896" t="str">
            <v>SINFRA</v>
          </cell>
          <cell r="K896" t="str">
            <v>SINFRA</v>
          </cell>
          <cell r="L896" t="str">
            <v>MARAHOUE</v>
          </cell>
          <cell r="M896" t="str">
            <v>GAGNOA</v>
          </cell>
          <cell r="N896" t="str">
            <v>UPCOUNTRY</v>
          </cell>
        </row>
        <row r="897">
          <cell r="B897" t="str">
            <v>AC906</v>
          </cell>
          <cell r="C897" t="str">
            <v>DIAFLA</v>
          </cell>
          <cell r="D897" t="str">
            <v>-6.86436</v>
          </cell>
          <cell r="E897" t="str">
            <v>7.41977</v>
          </cell>
          <cell r="F897" t="str">
            <v>2G/3G/4G</v>
          </cell>
          <cell r="G897" t="str">
            <v>HUAWEI</v>
          </cell>
          <cell r="H897" t="str">
            <v>MOOV</v>
          </cell>
          <cell r="I897" t="str">
            <v>DIAFLA</v>
          </cell>
          <cell r="J897" t="str">
            <v>SEITIFLA</v>
          </cell>
          <cell r="K897" t="str">
            <v>VAVOUA</v>
          </cell>
          <cell r="L897" t="str">
            <v>HAUT-SASSANDRA</v>
          </cell>
          <cell r="M897" t="str">
            <v>DALOA</v>
          </cell>
          <cell r="N897" t="str">
            <v>UPCOUNTRY</v>
          </cell>
        </row>
        <row r="898">
          <cell r="B898" t="str">
            <v>AC907</v>
          </cell>
          <cell r="C898" t="str">
            <v>KOULAYERE</v>
          </cell>
          <cell r="D898" t="str">
            <v>-7.206083</v>
          </cell>
          <cell r="E898" t="str">
            <v>7.3823</v>
          </cell>
          <cell r="F898" t="str">
            <v>2G/3G/4G</v>
          </cell>
          <cell r="G898" t="str">
            <v>HUAWEI</v>
          </cell>
          <cell r="H898" t="str">
            <v>MOOV</v>
          </cell>
          <cell r="I898" t="str">
            <v>KOULAYERE</v>
          </cell>
          <cell r="J898" t="str">
            <v>OUYABLY-GNONDROU</v>
          </cell>
          <cell r="K898" t="str">
            <v>KOUIBLY</v>
          </cell>
          <cell r="L898" t="str">
            <v>GUEMON</v>
          </cell>
          <cell r="M898" t="str">
            <v>MAN</v>
          </cell>
          <cell r="N898" t="str">
            <v>UPCOUNTRY</v>
          </cell>
        </row>
        <row r="899">
          <cell r="B899" t="str">
            <v>AC908</v>
          </cell>
          <cell r="C899" t="str">
            <v>KOFFI_AMONKRO</v>
          </cell>
          <cell r="D899" t="str">
            <v>-3.95902</v>
          </cell>
          <cell r="E899" t="str">
            <v>7.47314</v>
          </cell>
          <cell r="F899" t="str">
            <v>2G/3G/4G</v>
          </cell>
          <cell r="G899" t="str">
            <v>HUAWEI</v>
          </cell>
          <cell r="H899" t="str">
            <v>MOOV</v>
          </cell>
          <cell r="I899" t="str">
            <v>KOFFIAMONKRO</v>
          </cell>
          <cell r="J899" t="str">
            <v>KOFFIAMONKRO</v>
          </cell>
          <cell r="K899" t="str">
            <v>PRIKRO</v>
          </cell>
          <cell r="L899" t="str">
            <v>IFFOU</v>
          </cell>
          <cell r="M899" t="str">
            <v>BOUAKE</v>
          </cell>
          <cell r="N899" t="str">
            <v>UPCOUNTRY</v>
          </cell>
        </row>
        <row r="900">
          <cell r="B900" t="str">
            <v>AC909</v>
          </cell>
          <cell r="C900" t="str">
            <v>GBAPLEU</v>
          </cell>
          <cell r="D900" t="str">
            <v>-7.170402</v>
          </cell>
          <cell r="E900" t="str">
            <v>6.477878</v>
          </cell>
          <cell r="F900" t="str">
            <v>2G/3G/4G</v>
          </cell>
          <cell r="G900" t="str">
            <v>HUAWEI</v>
          </cell>
          <cell r="H900" t="str">
            <v>MOOV</v>
          </cell>
          <cell r="I900" t="str">
            <v>GBAPLEU</v>
          </cell>
          <cell r="J900" t="str">
            <v>GBAPLEU</v>
          </cell>
          <cell r="K900" t="str">
            <v>DUEKOUE</v>
          </cell>
          <cell r="L900" t="str">
            <v>GUEMON</v>
          </cell>
          <cell r="M900" t="str">
            <v>MAN</v>
          </cell>
          <cell r="N900" t="str">
            <v>UPCOUNTRY</v>
          </cell>
        </row>
        <row r="901">
          <cell r="B901" t="str">
            <v>AC910</v>
          </cell>
          <cell r="C901" t="str">
            <v>BINGORO</v>
          </cell>
          <cell r="D901" t="str">
            <v>-7.03033</v>
          </cell>
          <cell r="E901" t="str">
            <v>7.83256</v>
          </cell>
          <cell r="F901" t="str">
            <v>2G/3G/4G</v>
          </cell>
          <cell r="G901" t="str">
            <v>HUAWEI</v>
          </cell>
          <cell r="H901" t="str">
            <v>MOOV</v>
          </cell>
          <cell r="I901" t="str">
            <v>BINGORO</v>
          </cell>
          <cell r="J901" t="str">
            <v>KAMALO</v>
          </cell>
          <cell r="K901" t="str">
            <v>SEGUELA</v>
          </cell>
          <cell r="L901" t="str">
            <v>WORODOUGOU</v>
          </cell>
          <cell r="M901" t="str">
            <v>DALOA</v>
          </cell>
          <cell r="N901" t="str">
            <v>UPCOUNTRY</v>
          </cell>
        </row>
        <row r="902">
          <cell r="B902" t="str">
            <v>AC911</v>
          </cell>
          <cell r="C902" t="str">
            <v>CITE_GESTOCI</v>
          </cell>
          <cell r="D902" t="str">
            <v>-3.96093</v>
          </cell>
          <cell r="E902" t="str">
            <v>5.40513</v>
          </cell>
          <cell r="F902" t="str">
            <v>2G/3G/4G</v>
          </cell>
          <cell r="G902" t="str">
            <v>ERICSSON</v>
          </cell>
          <cell r="H902" t="str">
            <v>MOOV</v>
          </cell>
          <cell r="I902" t="str">
            <v>COCODY</v>
          </cell>
          <cell r="J902" t="str">
            <v>ABIDJAN</v>
          </cell>
          <cell r="K902" t="str">
            <v>ABIDJAN</v>
          </cell>
          <cell r="L902" t="str">
            <v>ABIDJAN</v>
          </cell>
          <cell r="M902" t="str">
            <v>COCODY LATRILLE</v>
          </cell>
          <cell r="N902" t="str">
            <v>ABIDJAN</v>
          </cell>
        </row>
        <row r="903">
          <cell r="B903" t="str">
            <v>IM464</v>
          </cell>
          <cell r="C903" t="str">
            <v>NEW_KOKOH_MALL</v>
          </cell>
          <cell r="D903" t="str">
            <v>-3.956499</v>
          </cell>
          <cell r="E903" t="str">
            <v>5.397743</v>
          </cell>
          <cell r="F903" t="str">
            <v>2G/3G/4G</v>
          </cell>
          <cell r="G903" t="str">
            <v>ERICSSON</v>
          </cell>
          <cell r="H903" t="str">
            <v>MOOV</v>
          </cell>
          <cell r="I903" t="str">
            <v>COCODY</v>
          </cell>
          <cell r="J903" t="str">
            <v>ABIDJAN</v>
          </cell>
          <cell r="K903" t="str">
            <v>ABIDJAN</v>
          </cell>
          <cell r="L903" t="str">
            <v>ABIDJAN</v>
          </cell>
          <cell r="M903" t="str">
            <v>COCODY LATRILLE</v>
          </cell>
          <cell r="N903" t="str">
            <v>ABIDJAN</v>
          </cell>
        </row>
        <row r="904">
          <cell r="B904" t="str">
            <v>AC913</v>
          </cell>
          <cell r="C904" t="str">
            <v>BLONDY</v>
          </cell>
          <cell r="D904" t="str">
            <v>-3.972504</v>
          </cell>
          <cell r="E904" t="str">
            <v>5.35342</v>
          </cell>
          <cell r="F904" t="str">
            <v>2G/3G/4G</v>
          </cell>
          <cell r="G904" t="str">
            <v>ERICSSON</v>
          </cell>
          <cell r="H904" t="str">
            <v>MOOV</v>
          </cell>
          <cell r="I904" t="str">
            <v>COCODY</v>
          </cell>
          <cell r="J904" t="str">
            <v>ABIDJAN</v>
          </cell>
          <cell r="K904" t="str">
            <v>ABIDJAN</v>
          </cell>
          <cell r="L904" t="str">
            <v>ABIDJAN</v>
          </cell>
          <cell r="M904" t="str">
            <v>COCODY CENTRE</v>
          </cell>
          <cell r="N904" t="str">
            <v>ABIDJAN</v>
          </cell>
        </row>
        <row r="905">
          <cell r="B905" t="str">
            <v>AC914</v>
          </cell>
          <cell r="C905" t="str">
            <v>RIVIERA_GOLF</v>
          </cell>
          <cell r="D905" t="str">
            <v>-3.977161</v>
          </cell>
          <cell r="E905" t="str">
            <v>5.341067</v>
          </cell>
          <cell r="F905" t="str">
            <v>2G/3G/4G</v>
          </cell>
          <cell r="G905" t="str">
            <v>ERICSSON</v>
          </cell>
          <cell r="H905" t="str">
            <v>MOOV</v>
          </cell>
          <cell r="I905" t="str">
            <v>COCODY</v>
          </cell>
          <cell r="J905" t="str">
            <v>ABIDJAN</v>
          </cell>
          <cell r="K905" t="str">
            <v>ABIDJAN</v>
          </cell>
          <cell r="L905" t="str">
            <v>ABIDJAN</v>
          </cell>
          <cell r="M905" t="str">
            <v>COCODY CENTRE</v>
          </cell>
          <cell r="N905" t="str">
            <v>ABIDJAN</v>
          </cell>
        </row>
        <row r="906">
          <cell r="B906" t="str">
            <v>AC915</v>
          </cell>
          <cell r="C906" t="str">
            <v>IMBLE_HEVEA</v>
          </cell>
          <cell r="D906" t="str">
            <v>-4.02294</v>
          </cell>
          <cell r="E906" t="str">
            <v>5.32863</v>
          </cell>
          <cell r="F906" t="str">
            <v>2G/3G/4G</v>
          </cell>
          <cell r="G906" t="str">
            <v>ERICSSON</v>
          </cell>
          <cell r="H906" t="str">
            <v>MOOV</v>
          </cell>
          <cell r="I906" t="str">
            <v>PLATEAU</v>
          </cell>
          <cell r="J906" t="str">
            <v>ABIDJAN</v>
          </cell>
          <cell r="K906" t="str">
            <v>ABIDJAN</v>
          </cell>
          <cell r="L906" t="str">
            <v>ABIDJAN</v>
          </cell>
          <cell r="M906" t="str">
            <v>PLATEAU</v>
          </cell>
          <cell r="N906" t="str">
            <v>ABIDJAN</v>
          </cell>
        </row>
        <row r="907">
          <cell r="B907" t="str">
            <v>AC916</v>
          </cell>
          <cell r="C907" t="str">
            <v>NV_AKOUEDO</v>
          </cell>
          <cell r="D907" t="str">
            <v>-3.94197</v>
          </cell>
          <cell r="E907" t="str">
            <v>5.36643</v>
          </cell>
          <cell r="F907" t="str">
            <v>2G/3G/4G</v>
          </cell>
          <cell r="G907" t="str">
            <v>ERICSSON</v>
          </cell>
          <cell r="H907" t="str">
            <v>MOOV</v>
          </cell>
          <cell r="I907" t="str">
            <v>COCODY</v>
          </cell>
          <cell r="J907" t="str">
            <v>ABIDJAN</v>
          </cell>
          <cell r="K907" t="str">
            <v>ABIDJAN</v>
          </cell>
          <cell r="L907" t="str">
            <v>ABIDJAN</v>
          </cell>
          <cell r="M907" t="str">
            <v>COCODY CENTRE</v>
          </cell>
          <cell r="N907" t="str">
            <v>ABIDJAN</v>
          </cell>
        </row>
        <row r="908">
          <cell r="B908" t="str">
            <v>AC917</v>
          </cell>
          <cell r="C908" t="str">
            <v>MARC_AVICENNE</v>
          </cell>
          <cell r="D908" t="str">
            <v>-3.99642</v>
          </cell>
          <cell r="E908" t="str">
            <v>5.31668</v>
          </cell>
          <cell r="F908" t="str">
            <v>2G/3G/4G</v>
          </cell>
          <cell r="G908" t="str">
            <v>ERICSSON</v>
          </cell>
          <cell r="H908" t="str">
            <v>MOOV</v>
          </cell>
          <cell r="I908" t="str">
            <v>MARCORY</v>
          </cell>
          <cell r="J908" t="str">
            <v>ABIDJAN</v>
          </cell>
          <cell r="K908" t="str">
            <v>ABIDJAN</v>
          </cell>
          <cell r="L908" t="str">
            <v>ABIDJAN</v>
          </cell>
          <cell r="M908" t="str">
            <v>MARCORY</v>
          </cell>
          <cell r="N908" t="str">
            <v>ABIDJAN</v>
          </cell>
        </row>
        <row r="909">
          <cell r="B909" t="str">
            <v>AC918</v>
          </cell>
          <cell r="C909" t="str">
            <v>KOUM_GRD_CARR</v>
          </cell>
          <cell r="D909" t="str">
            <v>-3.97008</v>
          </cell>
          <cell r="E909" t="str">
            <v>5.28685</v>
          </cell>
          <cell r="F909" t="str">
            <v>2G/3G/4G</v>
          </cell>
          <cell r="G909" t="str">
            <v>ERICSSON</v>
          </cell>
          <cell r="H909" t="str">
            <v>IHS (MTN)</v>
          </cell>
          <cell r="I909" t="str">
            <v>KOUMASSI</v>
          </cell>
          <cell r="J909" t="str">
            <v>ABIDJAN</v>
          </cell>
          <cell r="K909" t="str">
            <v>ABIDJAN</v>
          </cell>
          <cell r="L909" t="str">
            <v>ABIDJAN</v>
          </cell>
          <cell r="M909" t="str">
            <v>MARCORY</v>
          </cell>
          <cell r="N909" t="str">
            <v>ABIDJAN</v>
          </cell>
        </row>
        <row r="910">
          <cell r="B910" t="str">
            <v>AC919</v>
          </cell>
          <cell r="C910" t="str">
            <v>FORUM_NORD</v>
          </cell>
          <cell r="D910" t="str">
            <v>-4.026735</v>
          </cell>
          <cell r="E910" t="str">
            <v>5.346047</v>
          </cell>
          <cell r="F910" t="str">
            <v>2G/3G/4G</v>
          </cell>
          <cell r="G910" t="str">
            <v>ERICSSON</v>
          </cell>
          <cell r="H910" t="str">
            <v>MOOV</v>
          </cell>
          <cell r="I910" t="str">
            <v>ADJAME</v>
          </cell>
          <cell r="J910" t="str">
            <v>ABIDJAN</v>
          </cell>
          <cell r="K910" t="str">
            <v>ABIDJAN</v>
          </cell>
          <cell r="L910" t="str">
            <v>ABIDJAN</v>
          </cell>
          <cell r="M910" t="str">
            <v>PLATEAU</v>
          </cell>
          <cell r="N910" t="str">
            <v>ABIDJAN</v>
          </cell>
        </row>
        <row r="911">
          <cell r="B911" t="str">
            <v>AC920</v>
          </cell>
          <cell r="C911" t="str">
            <v>NEW_UNIV_ABOBO_ADJAME</v>
          </cell>
          <cell r="D911" t="str">
            <v>-4.020913</v>
          </cell>
          <cell r="E911" t="str">
            <v>5.384542</v>
          </cell>
          <cell r="F911" t="str">
            <v>2G/3G/4G</v>
          </cell>
          <cell r="G911" t="str">
            <v>ERICSSON</v>
          </cell>
          <cell r="H911" t="str">
            <v>MOOV</v>
          </cell>
          <cell r="I911" t="str">
            <v>ADJAME</v>
          </cell>
          <cell r="J911" t="str">
            <v>ABIDJAN</v>
          </cell>
          <cell r="K911" t="str">
            <v>ABIDJAN</v>
          </cell>
          <cell r="L911" t="str">
            <v>ABIDJAN</v>
          </cell>
          <cell r="M911" t="str">
            <v>PLATEAU</v>
          </cell>
          <cell r="N911" t="str">
            <v>ABIDJAN</v>
          </cell>
        </row>
        <row r="912">
          <cell r="B912" t="str">
            <v>AC921</v>
          </cell>
          <cell r="C912" t="str">
            <v>MBADON</v>
          </cell>
          <cell r="D912" t="str">
            <v>-3.93715</v>
          </cell>
          <cell r="E912" t="str">
            <v>5.32663</v>
          </cell>
          <cell r="F912" t="str">
            <v>2G/3G/4G</v>
          </cell>
          <cell r="G912" t="str">
            <v>ERICSSON</v>
          </cell>
          <cell r="H912" t="str">
            <v>OCI</v>
          </cell>
          <cell r="I912" t="str">
            <v>COCODY</v>
          </cell>
          <cell r="J912" t="str">
            <v>ABIDJAN</v>
          </cell>
          <cell r="K912" t="str">
            <v>ABIDJAN</v>
          </cell>
          <cell r="L912" t="str">
            <v>ABIDJAN</v>
          </cell>
          <cell r="M912" t="str">
            <v>COCODY CENTRE</v>
          </cell>
          <cell r="N912" t="str">
            <v>ABIDJAN</v>
          </cell>
        </row>
        <row r="913">
          <cell r="B913" t="str">
            <v>AC922</v>
          </cell>
          <cell r="C913" t="str">
            <v>ROUTE_ABATTA</v>
          </cell>
          <cell r="D913" t="str">
            <v>-3.924978</v>
          </cell>
          <cell r="E913" t="str">
            <v>5.353938</v>
          </cell>
          <cell r="F913" t="str">
            <v>2G/3G/4G</v>
          </cell>
          <cell r="G913" t="str">
            <v>ERICSSON</v>
          </cell>
          <cell r="H913" t="str">
            <v>MOOV</v>
          </cell>
          <cell r="I913" t="str">
            <v>BINGERVILLE</v>
          </cell>
          <cell r="J913" t="str">
            <v>BINGERVILLE</v>
          </cell>
          <cell r="K913" t="str">
            <v>ABIDJAN</v>
          </cell>
          <cell r="L913" t="str">
            <v>ABIDJAN</v>
          </cell>
          <cell r="M913" t="str">
            <v>COCODY CENTRE</v>
          </cell>
          <cell r="N913" t="str">
            <v>ABIDJAN</v>
          </cell>
        </row>
        <row r="914">
          <cell r="B914" t="str">
            <v>AC923</v>
          </cell>
          <cell r="C914" t="str">
            <v>QUEENS</v>
          </cell>
          <cell r="D914" t="str">
            <v>-3.99022</v>
          </cell>
          <cell r="E914" t="str">
            <v>5.37304</v>
          </cell>
          <cell r="F914" t="str">
            <v>2G/3G/4G</v>
          </cell>
          <cell r="G914" t="str">
            <v>ERICSSON</v>
          </cell>
          <cell r="H914" t="str">
            <v>IHS</v>
          </cell>
          <cell r="I914" t="str">
            <v>COCODY</v>
          </cell>
          <cell r="J914" t="str">
            <v>ABIDJAN</v>
          </cell>
          <cell r="K914" t="str">
            <v>ABIDJAN</v>
          </cell>
          <cell r="L914" t="str">
            <v>ABIDJAN</v>
          </cell>
          <cell r="M914" t="str">
            <v>COCODY LATRILLE</v>
          </cell>
          <cell r="N914" t="str">
            <v>ABIDJAN</v>
          </cell>
        </row>
        <row r="915">
          <cell r="B915" t="str">
            <v>ET793</v>
          </cell>
          <cell r="C915" t="str">
            <v>NEW_NDOTRE_MARCHE GOURO</v>
          </cell>
          <cell r="D915" t="str">
            <v>-4.07697</v>
          </cell>
          <cell r="E915" t="str">
            <v>5.436</v>
          </cell>
          <cell r="F915" t="str">
            <v>2G/3G/4G</v>
          </cell>
          <cell r="G915" t="str">
            <v>ERICSSON</v>
          </cell>
          <cell r="H915" t="str">
            <v>MOOV</v>
          </cell>
          <cell r="I915" t="str">
            <v>ABOBO</v>
          </cell>
          <cell r="J915" t="str">
            <v>ABIDJAN</v>
          </cell>
          <cell r="K915" t="str">
            <v>ABIDJAN</v>
          </cell>
          <cell r="L915" t="str">
            <v>ABIDJAN</v>
          </cell>
          <cell r="M915" t="str">
            <v>ABOBO</v>
          </cell>
          <cell r="N915" t="str">
            <v>ABIDJAN</v>
          </cell>
        </row>
        <row r="916">
          <cell r="B916" t="str">
            <v>AC925</v>
          </cell>
          <cell r="C916" t="str">
            <v>YOP_TOIT_ROUGE</v>
          </cell>
          <cell r="D916" t="str">
            <v>-4.04376</v>
          </cell>
          <cell r="E916" t="str">
            <v>5.32869</v>
          </cell>
          <cell r="F916" t="str">
            <v>2G/3G/4G</v>
          </cell>
          <cell r="G916" t="str">
            <v>ERICSSON</v>
          </cell>
          <cell r="H916" t="str">
            <v>MOOV</v>
          </cell>
          <cell r="I916" t="str">
            <v>YOPOUGON</v>
          </cell>
          <cell r="J916" t="str">
            <v>ABIDJAN</v>
          </cell>
          <cell r="K916" t="str">
            <v>ABIDJAN</v>
          </cell>
          <cell r="L916" t="str">
            <v>ABIDJAN</v>
          </cell>
          <cell r="M916" t="str">
            <v>YOPOUGON SABLE</v>
          </cell>
          <cell r="N916" t="str">
            <v>ABIDJAN</v>
          </cell>
        </row>
        <row r="917">
          <cell r="B917" t="str">
            <v>AC926</v>
          </cell>
          <cell r="C917" t="str">
            <v>SEBROKO</v>
          </cell>
          <cell r="D917" t="str">
            <v>-4.03334</v>
          </cell>
          <cell r="E917" t="str">
            <v>5.342335</v>
          </cell>
          <cell r="F917" t="str">
            <v>2G/3G/4G</v>
          </cell>
          <cell r="G917" t="str">
            <v>ERICSSON</v>
          </cell>
          <cell r="H917" t="str">
            <v>MOOV</v>
          </cell>
          <cell r="I917" t="str">
            <v>ATTECOUBE</v>
          </cell>
          <cell r="J917" t="str">
            <v>ABIDJAN</v>
          </cell>
          <cell r="K917" t="str">
            <v>ABIDJAN</v>
          </cell>
          <cell r="L917" t="str">
            <v>ABIDJAN</v>
          </cell>
          <cell r="M917" t="str">
            <v>PLATEAU</v>
          </cell>
          <cell r="N917" t="str">
            <v>ABIDJAN</v>
          </cell>
        </row>
        <row r="918">
          <cell r="B918" t="str">
            <v>AC927</v>
          </cell>
          <cell r="C918" t="str">
            <v>BIABOU</v>
          </cell>
          <cell r="D918" t="str">
            <v>-3.98051</v>
          </cell>
          <cell r="E918" t="str">
            <v>5.44381</v>
          </cell>
          <cell r="F918" t="str">
            <v>2G/3G/4G</v>
          </cell>
          <cell r="G918" t="str">
            <v>ERICSSON</v>
          </cell>
          <cell r="H918" t="str">
            <v>IHS (OCI)</v>
          </cell>
          <cell r="I918" t="str">
            <v>ABOBO</v>
          </cell>
          <cell r="J918" t="str">
            <v>ABIDJAN</v>
          </cell>
          <cell r="K918" t="str">
            <v>ABIDJAN</v>
          </cell>
          <cell r="L918" t="str">
            <v>ABIDJAN</v>
          </cell>
          <cell r="M918" t="str">
            <v>ABOBO</v>
          </cell>
          <cell r="N918" t="str">
            <v>ABIDJAN</v>
          </cell>
        </row>
        <row r="919">
          <cell r="B919" t="str">
            <v>AC928</v>
          </cell>
          <cell r="C919" t="str">
            <v>PALAIS_ROYAL</v>
          </cell>
          <cell r="D919" t="str">
            <v>-3.725</v>
          </cell>
          <cell r="E919" t="str">
            <v>5.22348</v>
          </cell>
          <cell r="F919" t="str">
            <v>2G/3G/4G</v>
          </cell>
          <cell r="G919" t="str">
            <v>HUAWEI</v>
          </cell>
          <cell r="H919" t="str">
            <v>MOOV</v>
          </cell>
          <cell r="I919" t="str">
            <v>GRAND-BASSAM</v>
          </cell>
          <cell r="J919" t="str">
            <v>GRAND-BASSAM</v>
          </cell>
          <cell r="K919" t="str">
            <v>GRAND-BASSAM</v>
          </cell>
          <cell r="L919" t="str">
            <v>SUD-COMOE</v>
          </cell>
          <cell r="M919" t="str">
            <v>MARCORY</v>
          </cell>
          <cell r="N919" t="str">
            <v>UPCOUNTRY</v>
          </cell>
        </row>
        <row r="920">
          <cell r="B920" t="str">
            <v>AC929</v>
          </cell>
          <cell r="C920" t="str">
            <v>BONOUA_RESIDENTIEL</v>
          </cell>
          <cell r="D920" t="str">
            <v>-3.60421</v>
          </cell>
          <cell r="E920" t="str">
            <v>5.25793</v>
          </cell>
          <cell r="F920" t="str">
            <v>2G/3G/4G</v>
          </cell>
          <cell r="G920" t="str">
            <v>HUAWEI</v>
          </cell>
          <cell r="H920" t="str">
            <v>IHS (MTN)</v>
          </cell>
          <cell r="I920" t="str">
            <v>BONOUA</v>
          </cell>
          <cell r="J920" t="str">
            <v>BONOUA</v>
          </cell>
          <cell r="K920" t="str">
            <v>GRAND-BASSAM</v>
          </cell>
          <cell r="L920" t="str">
            <v>SUD-COMOE</v>
          </cell>
          <cell r="M920" t="str">
            <v>MARCORY</v>
          </cell>
          <cell r="N920" t="str">
            <v>UPCOUNTRY</v>
          </cell>
        </row>
        <row r="921">
          <cell r="B921" t="str">
            <v>AC930</v>
          </cell>
          <cell r="C921" t="str">
            <v>ABOISSO_SOKOURA</v>
          </cell>
          <cell r="D921" t="str">
            <v>-3.20793</v>
          </cell>
          <cell r="E921" t="str">
            <v>5.48119</v>
          </cell>
          <cell r="F921" t="str">
            <v>2G/3G/4G</v>
          </cell>
          <cell r="G921" t="str">
            <v>ERICSSON</v>
          </cell>
          <cell r="H921" t="str">
            <v>IHS (MTN)</v>
          </cell>
          <cell r="I921" t="str">
            <v>ABOISSO</v>
          </cell>
          <cell r="J921" t="str">
            <v>ABOISSO</v>
          </cell>
          <cell r="K921" t="str">
            <v>ABOISSO</v>
          </cell>
          <cell r="L921" t="str">
            <v>SUD-COMOE</v>
          </cell>
          <cell r="M921" t="str">
            <v>MARCORY</v>
          </cell>
          <cell r="N921" t="str">
            <v>UPCOUNTRY</v>
          </cell>
        </row>
        <row r="922">
          <cell r="B922" t="str">
            <v>AC931</v>
          </cell>
          <cell r="C922" t="str">
            <v>DABOU_CARR_NGATTY</v>
          </cell>
          <cell r="D922" t="str">
            <v>-4.35896</v>
          </cell>
          <cell r="E922" t="str">
            <v>5.32295</v>
          </cell>
          <cell r="F922" t="str">
            <v>2G/3G/4G</v>
          </cell>
          <cell r="G922" t="str">
            <v>ERICSSON</v>
          </cell>
          <cell r="H922" t="str">
            <v>MOOV</v>
          </cell>
          <cell r="I922" t="str">
            <v>DABOU</v>
          </cell>
          <cell r="J922" t="str">
            <v>DABOU</v>
          </cell>
          <cell r="K922" t="str">
            <v>DABOU</v>
          </cell>
          <cell r="L922" t="str">
            <v>GRANDS-PONTS</v>
          </cell>
          <cell r="M922" t="str">
            <v>YOPOUGON FICGAYO</v>
          </cell>
          <cell r="N922" t="str">
            <v>UPCOUNTRY</v>
          </cell>
        </row>
        <row r="923">
          <cell r="B923" t="str">
            <v>AC932</v>
          </cell>
          <cell r="C923" t="str">
            <v>DABOU_SODECI</v>
          </cell>
          <cell r="D923" t="str">
            <v>-4.37356</v>
          </cell>
          <cell r="E923" t="str">
            <v>5.32859</v>
          </cell>
          <cell r="F923" t="str">
            <v>2G/3G/4G</v>
          </cell>
          <cell r="G923" t="str">
            <v>ERICSSON</v>
          </cell>
          <cell r="H923" t="str">
            <v>IHS (MTN)</v>
          </cell>
          <cell r="I923" t="str">
            <v>DABOU</v>
          </cell>
          <cell r="J923" t="str">
            <v>DABOU</v>
          </cell>
          <cell r="K923" t="str">
            <v>DABOU</v>
          </cell>
          <cell r="L923" t="str">
            <v>GRANDS-PONTS</v>
          </cell>
          <cell r="M923" t="str">
            <v>YOPOUGON FICGAYO</v>
          </cell>
          <cell r="N923" t="str">
            <v>UPCOUNTRY</v>
          </cell>
        </row>
        <row r="924">
          <cell r="B924" t="str">
            <v>AC933</v>
          </cell>
          <cell r="C924" t="str">
            <v>DIVO_DIALOGUE</v>
          </cell>
          <cell r="D924" t="str">
            <v>-5.36242</v>
          </cell>
          <cell r="E924" t="str">
            <v>5.81726</v>
          </cell>
          <cell r="F924" t="str">
            <v>2G/3G/4G</v>
          </cell>
          <cell r="G924" t="str">
            <v>ERICSSON</v>
          </cell>
          <cell r="H924" t="str">
            <v>MOOV</v>
          </cell>
          <cell r="I924" t="str">
            <v>DIVO</v>
          </cell>
          <cell r="J924" t="str">
            <v>DIVO</v>
          </cell>
          <cell r="K924" t="str">
            <v>DIVO</v>
          </cell>
          <cell r="L924" t="str">
            <v>LOH-DJIBOUA</v>
          </cell>
          <cell r="M924" t="str">
            <v>DIVO</v>
          </cell>
          <cell r="N924" t="str">
            <v>UPCOUNTRY</v>
          </cell>
        </row>
        <row r="925">
          <cell r="B925" t="str">
            <v>AC934</v>
          </cell>
          <cell r="C925" t="str">
            <v>AGBO_SOKOURA</v>
          </cell>
          <cell r="D925" t="str">
            <v>-4.22396</v>
          </cell>
          <cell r="E925" t="str">
            <v>5.94433</v>
          </cell>
          <cell r="F925" t="str">
            <v>2G/3G/4G</v>
          </cell>
          <cell r="G925" t="str">
            <v>ERICSSON</v>
          </cell>
          <cell r="H925" t="str">
            <v>IHS (MTN)</v>
          </cell>
          <cell r="I925" t="str">
            <v>AGBOVILLE</v>
          </cell>
          <cell r="J925" t="str">
            <v>AGBOVILLE</v>
          </cell>
          <cell r="K925" t="str">
            <v>AGBOVILLE</v>
          </cell>
          <cell r="L925" t="str">
            <v>AGNEBY-TIASSA</v>
          </cell>
          <cell r="M925" t="str">
            <v>ABOBO</v>
          </cell>
          <cell r="N925" t="str">
            <v>UPCOUNTRY</v>
          </cell>
        </row>
        <row r="926">
          <cell r="B926" t="str">
            <v>AC935</v>
          </cell>
          <cell r="C926" t="str">
            <v>AGNI_COMMERCE</v>
          </cell>
          <cell r="D926" t="str">
            <v>-3.20116</v>
          </cell>
          <cell r="E926" t="str">
            <v>7.12648</v>
          </cell>
          <cell r="F926" t="str">
            <v>2G/3G/4G</v>
          </cell>
          <cell r="G926" t="str">
            <v>ERICSSON</v>
          </cell>
          <cell r="H926" t="str">
            <v>IHS (CIT)</v>
          </cell>
          <cell r="I926" t="str">
            <v>AGNIBILEKROU</v>
          </cell>
          <cell r="J926" t="str">
            <v>AGNIBILEKROU</v>
          </cell>
          <cell r="K926" t="str">
            <v>AGNIBILEKROU</v>
          </cell>
          <cell r="L926" t="str">
            <v>INDENIE-DJUABLIN</v>
          </cell>
          <cell r="M926" t="str">
            <v>ABENGOUROU</v>
          </cell>
          <cell r="N926" t="str">
            <v>UPCOUNTRY</v>
          </cell>
        </row>
        <row r="927">
          <cell r="B927" t="str">
            <v>AC936</v>
          </cell>
          <cell r="C927" t="str">
            <v>FERKE_RESIDENTIEL</v>
          </cell>
          <cell r="D927" t="str">
            <v>-5.208978</v>
          </cell>
          <cell r="E927" t="str">
            <v>9.578909</v>
          </cell>
          <cell r="F927" t="str">
            <v>2G/3G/4G</v>
          </cell>
          <cell r="G927" t="str">
            <v>HUAWEI</v>
          </cell>
          <cell r="H927" t="str">
            <v>MOOV</v>
          </cell>
          <cell r="I927" t="str">
            <v>FERKESSEDOUGOU</v>
          </cell>
          <cell r="J927" t="str">
            <v>FERKESSEDOUGOU</v>
          </cell>
          <cell r="K927" t="str">
            <v>FERKESSEDOUGOU</v>
          </cell>
          <cell r="L927" t="str">
            <v>TCHOLOGO</v>
          </cell>
          <cell r="M927" t="str">
            <v>KORHOGO</v>
          </cell>
          <cell r="N927" t="str">
            <v>UPCOUNTRY</v>
          </cell>
        </row>
        <row r="928">
          <cell r="B928" t="str">
            <v>AC937</v>
          </cell>
          <cell r="C928" t="str">
            <v>KOBLATA</v>
          </cell>
          <cell r="D928" t="str">
            <v>-5.73548</v>
          </cell>
          <cell r="E928" t="str">
            <v>6.98147</v>
          </cell>
          <cell r="F928" t="str">
            <v>2G/3G/4G</v>
          </cell>
          <cell r="G928" t="str">
            <v>HUAWEI</v>
          </cell>
          <cell r="H928" t="str">
            <v>MOOV</v>
          </cell>
          <cell r="I928" t="str">
            <v>BOUAFLE</v>
          </cell>
          <cell r="J928" t="str">
            <v>BOUAFLE</v>
          </cell>
          <cell r="K928" t="str">
            <v>BOUAFLE</v>
          </cell>
          <cell r="L928" t="str">
            <v>MARAHOUE</v>
          </cell>
          <cell r="M928" t="str">
            <v>YAMOUSSOUKRO</v>
          </cell>
          <cell r="N928" t="str">
            <v>UPCOUNTRY</v>
          </cell>
        </row>
        <row r="929">
          <cell r="B929" t="str">
            <v>AC938</v>
          </cell>
          <cell r="C929" t="str">
            <v>KATIOLA_HOPITAL</v>
          </cell>
          <cell r="D929" t="str">
            <v>-5.1086491</v>
          </cell>
          <cell r="E929" t="str">
            <v>8.1462931</v>
          </cell>
          <cell r="F929" t="str">
            <v>2G/3G/4G</v>
          </cell>
          <cell r="G929" t="str">
            <v>HUAWEI</v>
          </cell>
          <cell r="H929" t="str">
            <v>MOOV</v>
          </cell>
          <cell r="I929" t="str">
            <v>KATIOLA</v>
          </cell>
          <cell r="J929" t="str">
            <v>KATIOLA</v>
          </cell>
          <cell r="K929" t="str">
            <v>KATIOLA</v>
          </cell>
          <cell r="L929" t="str">
            <v>HAMBOL</v>
          </cell>
          <cell r="M929" t="str">
            <v>BOUAKE</v>
          </cell>
          <cell r="N929" t="str">
            <v>UPCOUNTRY</v>
          </cell>
        </row>
        <row r="930">
          <cell r="B930" t="str">
            <v>AC939</v>
          </cell>
          <cell r="C930" t="str">
            <v>BKE_MLK</v>
          </cell>
          <cell r="D930" t="str">
            <v>-5.021010°</v>
          </cell>
          <cell r="E930" t="str">
            <v>7.728335°</v>
          </cell>
          <cell r="F930" t="str">
            <v>2G/3G/4G</v>
          </cell>
          <cell r="G930" t="str">
            <v>HUAWEI</v>
          </cell>
          <cell r="H930" t="str">
            <v>IHS (MTN)</v>
          </cell>
          <cell r="I930" t="str">
            <v>BOUAKE</v>
          </cell>
          <cell r="J930" t="str">
            <v>BOUAKE</v>
          </cell>
          <cell r="K930" t="str">
            <v>BOUAKE</v>
          </cell>
          <cell r="L930" t="str">
            <v>GBEKE</v>
          </cell>
          <cell r="M930" t="str">
            <v>BOUAKE</v>
          </cell>
          <cell r="N930" t="str">
            <v>UPCOUNTRY</v>
          </cell>
        </row>
        <row r="931">
          <cell r="B931" t="str">
            <v>AC940</v>
          </cell>
          <cell r="C931" t="str">
            <v>BKE_OLAM</v>
          </cell>
          <cell r="D931" t="str">
            <v>-4.9714934</v>
          </cell>
          <cell r="E931" t="str">
            <v>7.6971131</v>
          </cell>
          <cell r="F931" t="str">
            <v>2G/3G/4G</v>
          </cell>
          <cell r="G931" t="str">
            <v>HUAWEI</v>
          </cell>
          <cell r="H931" t="str">
            <v>MOOV</v>
          </cell>
          <cell r="I931" t="str">
            <v>BOUAKE</v>
          </cell>
          <cell r="J931" t="str">
            <v>BOUAKE</v>
          </cell>
          <cell r="K931" t="str">
            <v>BOUAKE</v>
          </cell>
          <cell r="L931" t="str">
            <v>GBEKE</v>
          </cell>
          <cell r="M931" t="str">
            <v>BOUAKE</v>
          </cell>
          <cell r="N931" t="str">
            <v>UPCOUNTRY</v>
          </cell>
        </row>
        <row r="932">
          <cell r="B932" t="str">
            <v>AC941</v>
          </cell>
          <cell r="C932" t="str">
            <v>MAN_2</v>
          </cell>
          <cell r="D932" t="str">
            <v>-7.547034</v>
          </cell>
          <cell r="E932" t="str">
            <v>7.390823</v>
          </cell>
          <cell r="F932" t="str">
            <v>2G/3G/4G</v>
          </cell>
          <cell r="G932" t="str">
            <v>HUAWEI</v>
          </cell>
          <cell r="H932" t="str">
            <v>CIT</v>
          </cell>
          <cell r="I932" t="str">
            <v>MAN</v>
          </cell>
          <cell r="J932" t="str">
            <v>MAN</v>
          </cell>
          <cell r="K932" t="str">
            <v>MAN</v>
          </cell>
          <cell r="L932" t="str">
            <v>TONKPI</v>
          </cell>
          <cell r="M932" t="str">
            <v>MAN</v>
          </cell>
          <cell r="N932" t="str">
            <v>UPCOUNTRY</v>
          </cell>
        </row>
        <row r="933">
          <cell r="B933" t="str">
            <v>AC942</v>
          </cell>
          <cell r="C933" t="str">
            <v>FERKE_RESIDENTIEL2</v>
          </cell>
          <cell r="D933" t="str">
            <v>-5.18509</v>
          </cell>
          <cell r="E933" t="str">
            <v>9.61507</v>
          </cell>
          <cell r="F933" t="str">
            <v>2G/3G/4G</v>
          </cell>
          <cell r="G933" t="str">
            <v>HUAWEI</v>
          </cell>
          <cell r="H933" t="str">
            <v>MOOV</v>
          </cell>
          <cell r="I933" t="str">
            <v>FERKESSEDOUGOU</v>
          </cell>
          <cell r="J933" t="str">
            <v>FERKESSEDOUGOU</v>
          </cell>
          <cell r="K933" t="str">
            <v>FERKESSEDOUGOU</v>
          </cell>
          <cell r="L933" t="str">
            <v>TCHOLOGO</v>
          </cell>
          <cell r="M933" t="str">
            <v>KORHOGO</v>
          </cell>
          <cell r="N933" t="str">
            <v>UPCOUNTRY</v>
          </cell>
        </row>
        <row r="934">
          <cell r="B934" t="str">
            <v>AC943</v>
          </cell>
          <cell r="C934" t="str">
            <v>CARR_SEGUELA</v>
          </cell>
          <cell r="D934" t="str">
            <v>-6.688813</v>
          </cell>
          <cell r="E934" t="str">
            <v>7.953034</v>
          </cell>
          <cell r="F934" t="str">
            <v>2G/3G/4G</v>
          </cell>
          <cell r="G934" t="str">
            <v>HUAWEI</v>
          </cell>
          <cell r="H934" t="str">
            <v>MOOV</v>
          </cell>
          <cell r="I934" t="str">
            <v>SEGUELA</v>
          </cell>
          <cell r="J934" t="str">
            <v>SEGUELA</v>
          </cell>
          <cell r="K934" t="str">
            <v>SEGUELA</v>
          </cell>
          <cell r="L934" t="str">
            <v>WORODOUGOU</v>
          </cell>
          <cell r="M934" t="str">
            <v>DALOA</v>
          </cell>
          <cell r="N934" t="str">
            <v>UPCOUNTRY</v>
          </cell>
        </row>
        <row r="935">
          <cell r="B935" t="str">
            <v>AC944</v>
          </cell>
          <cell r="C935" t="str">
            <v>DIOCESAINE</v>
          </cell>
          <cell r="D935" t="str">
            <v>-3.48717</v>
          </cell>
          <cell r="E935" t="str">
            <v>6.73913</v>
          </cell>
          <cell r="F935" t="str">
            <v>2G/3G/4G</v>
          </cell>
          <cell r="G935" t="str">
            <v>ERICSSON</v>
          </cell>
          <cell r="H935" t="str">
            <v>IHS (OCI)</v>
          </cell>
          <cell r="I935" t="str">
            <v>ABENGOUROU</v>
          </cell>
          <cell r="J935" t="str">
            <v>ABENGOUROU</v>
          </cell>
          <cell r="K935" t="str">
            <v>ABENGOUROU</v>
          </cell>
          <cell r="L935" t="str">
            <v>INDENIE-DJUABLIN</v>
          </cell>
          <cell r="M935" t="str">
            <v>ABENGOUROU</v>
          </cell>
          <cell r="N935" t="str">
            <v>UPCOUNTRY</v>
          </cell>
        </row>
        <row r="936">
          <cell r="B936" t="str">
            <v>AC945</v>
          </cell>
          <cell r="C936" t="str">
            <v>TOUMODI_MARCHE</v>
          </cell>
          <cell r="D936" t="str">
            <v>-5.009438</v>
          </cell>
          <cell r="E936" t="str">
            <v>6.5561</v>
          </cell>
          <cell r="F936" t="str">
            <v>2G/3G/4G</v>
          </cell>
          <cell r="G936" t="str">
            <v>HUAWEI</v>
          </cell>
          <cell r="H936" t="str">
            <v>MOOV</v>
          </cell>
          <cell r="I936" t="str">
            <v>TOUMODI</v>
          </cell>
          <cell r="J936" t="str">
            <v>TOUMODI</v>
          </cell>
          <cell r="K936" t="str">
            <v>TOUMODI</v>
          </cell>
          <cell r="L936" t="str">
            <v>BELIER</v>
          </cell>
          <cell r="M936" t="str">
            <v>YAMOUSSOUKRO</v>
          </cell>
          <cell r="N936" t="str">
            <v>UPCOUNTRY</v>
          </cell>
        </row>
        <row r="937">
          <cell r="B937" t="str">
            <v>AC946</v>
          </cell>
          <cell r="C937" t="str">
            <v>DAL_TAZIBO2</v>
          </cell>
          <cell r="D937" t="str">
            <v>-6.43333</v>
          </cell>
          <cell r="E937" t="str">
            <v>6.90346</v>
          </cell>
          <cell r="F937" t="str">
            <v>2G/3G/4G</v>
          </cell>
          <cell r="G937" t="str">
            <v>HUAWEI</v>
          </cell>
          <cell r="H937" t="str">
            <v>MOOV</v>
          </cell>
          <cell r="I937" t="str">
            <v>DALOA</v>
          </cell>
          <cell r="J937" t="str">
            <v>DALOA</v>
          </cell>
          <cell r="K937" t="str">
            <v>DALOA</v>
          </cell>
          <cell r="L937" t="str">
            <v>HAUT-SASSANDRA</v>
          </cell>
          <cell r="M937" t="str">
            <v>DALOA</v>
          </cell>
          <cell r="N937" t="str">
            <v>UPCOUNTRY</v>
          </cell>
        </row>
        <row r="938">
          <cell r="B938" t="str">
            <v>AC947</v>
          </cell>
          <cell r="C938" t="str">
            <v>GAGNOA_SOLEIL</v>
          </cell>
          <cell r="D938" t="str">
            <v>-5.92282</v>
          </cell>
          <cell r="E938" t="str">
            <v>6.12467</v>
          </cell>
          <cell r="F938" t="str">
            <v>2G/3G/4G</v>
          </cell>
          <cell r="G938" t="str">
            <v>HUAWEI</v>
          </cell>
          <cell r="H938" t="str">
            <v>MOOV</v>
          </cell>
          <cell r="I938" t="str">
            <v>GAGNOA</v>
          </cell>
          <cell r="J938" t="str">
            <v>GAGNOA</v>
          </cell>
          <cell r="K938" t="str">
            <v>GAGNOA</v>
          </cell>
          <cell r="L938" t="str">
            <v>GOH</v>
          </cell>
          <cell r="M938" t="str">
            <v>GAGNOA</v>
          </cell>
          <cell r="N938" t="str">
            <v>UPCOUNTRY</v>
          </cell>
        </row>
        <row r="939">
          <cell r="B939" t="str">
            <v>AC948</v>
          </cell>
          <cell r="C939" t="str">
            <v>YAM_AEROPORT</v>
          </cell>
          <cell r="D939" t="str">
            <v>-5.34308</v>
          </cell>
          <cell r="E939" t="str">
            <v>6.88406</v>
          </cell>
          <cell r="F939" t="str">
            <v>2G/3G/4G</v>
          </cell>
          <cell r="G939" t="str">
            <v>HUAWEI</v>
          </cell>
          <cell r="H939" t="str">
            <v>MOOV</v>
          </cell>
          <cell r="I939" t="str">
            <v>YAMOUSSOUKRO</v>
          </cell>
          <cell r="J939" t="str">
            <v>YAMOUSSOUKRO</v>
          </cell>
          <cell r="K939" t="str">
            <v>YAMOUSSOUKRO</v>
          </cell>
          <cell r="L939" t="str">
            <v>YAMOUSSOUKRO</v>
          </cell>
          <cell r="M939" t="str">
            <v>YAMOUSSOUKRO</v>
          </cell>
          <cell r="N939" t="str">
            <v>UPCOUNTRY</v>
          </cell>
        </row>
        <row r="940">
          <cell r="B940" t="str">
            <v>AC949</v>
          </cell>
          <cell r="C940" t="str">
            <v>PINHOU</v>
          </cell>
          <cell r="D940" t="str">
            <v>-7.343088</v>
          </cell>
          <cell r="E940" t="str">
            <v>6.644409</v>
          </cell>
          <cell r="F940" t="str">
            <v>2G/3G/4G</v>
          </cell>
          <cell r="G940" t="str">
            <v>HUAWEI</v>
          </cell>
          <cell r="H940" t="str">
            <v>IHS</v>
          </cell>
          <cell r="I940" t="str">
            <v>PINHOU</v>
          </cell>
          <cell r="J940" t="str">
            <v>DUEKOUE</v>
          </cell>
          <cell r="K940" t="str">
            <v>DUEKOUE</v>
          </cell>
          <cell r="L940" t="str">
            <v>GUEMON</v>
          </cell>
          <cell r="M940" t="str">
            <v>MAN</v>
          </cell>
          <cell r="N940" t="str">
            <v>UPCOUNTRY</v>
          </cell>
        </row>
        <row r="941">
          <cell r="B941" t="str">
            <v>AC950</v>
          </cell>
          <cell r="C941" t="str">
            <v>YAM_HOTEL_DEPUTE</v>
          </cell>
          <cell r="D941" t="str">
            <v>-5.23288</v>
          </cell>
          <cell r="E941" t="str">
            <v>6.81153</v>
          </cell>
          <cell r="F941" t="str">
            <v>2G/3G/4G</v>
          </cell>
          <cell r="G941" t="str">
            <v>HUAWEI</v>
          </cell>
          <cell r="H941" t="str">
            <v>MOOV</v>
          </cell>
          <cell r="I941" t="str">
            <v>YAMOUSSOUKRO</v>
          </cell>
          <cell r="J941" t="str">
            <v>YAMOUSSOUKRO</v>
          </cell>
          <cell r="K941" t="str">
            <v>YAMOUSSOUKRO</v>
          </cell>
          <cell r="L941" t="str">
            <v>YAMOUSSOUKRO</v>
          </cell>
          <cell r="M941" t="str">
            <v>YAMOUSSOUKRO</v>
          </cell>
          <cell r="N941" t="str">
            <v>UPCOUNTRY</v>
          </cell>
        </row>
        <row r="942">
          <cell r="B942" t="str">
            <v>AC951</v>
          </cell>
          <cell r="C942" t="str">
            <v>SOUBRE_SANS_LOI</v>
          </cell>
          <cell r="D942" t="str">
            <v>-6.5826</v>
          </cell>
          <cell r="E942" t="str">
            <v>5.78547</v>
          </cell>
          <cell r="F942" t="str">
            <v>2G/3G/4G</v>
          </cell>
          <cell r="G942" t="str">
            <v>HUAWEI</v>
          </cell>
          <cell r="H942" t="str">
            <v>MOOV</v>
          </cell>
          <cell r="I942" t="str">
            <v>SOUBRE</v>
          </cell>
          <cell r="J942" t="str">
            <v>SOUBRE</v>
          </cell>
          <cell r="K942" t="str">
            <v>SOUBRE</v>
          </cell>
          <cell r="L942" t="str">
            <v>NAWA</v>
          </cell>
          <cell r="M942" t="str">
            <v>SOUBRE</v>
          </cell>
          <cell r="N942" t="str">
            <v>UPCOUNTRY</v>
          </cell>
        </row>
        <row r="943">
          <cell r="B943" t="str">
            <v>AC952</v>
          </cell>
          <cell r="C943" t="str">
            <v>SARHALA</v>
          </cell>
          <cell r="D943" t="str">
            <v>-6.1738985</v>
          </cell>
          <cell r="E943" t="str">
            <v>8.4235672</v>
          </cell>
          <cell r="F943" t="str">
            <v>2G/3G/4G</v>
          </cell>
          <cell r="G943" t="str">
            <v>HUAWEI</v>
          </cell>
          <cell r="H943" t="str">
            <v>IHS (MTN)</v>
          </cell>
          <cell r="I943" t="str">
            <v>SARHALA</v>
          </cell>
          <cell r="J943" t="str">
            <v>SARHALA</v>
          </cell>
          <cell r="K943" t="str">
            <v>MANKONO</v>
          </cell>
          <cell r="L943" t="str">
            <v>BERE</v>
          </cell>
          <cell r="M943" t="str">
            <v>BOUAKE</v>
          </cell>
          <cell r="N943" t="str">
            <v>UPCOUNTRY</v>
          </cell>
        </row>
        <row r="944">
          <cell r="B944" t="str">
            <v>AC953</v>
          </cell>
          <cell r="C944" t="str">
            <v>KORHOGO_SINISTRE</v>
          </cell>
          <cell r="D944" t="str">
            <v>-5.6171</v>
          </cell>
          <cell r="E944" t="str">
            <v>9.443203</v>
          </cell>
          <cell r="F944" t="str">
            <v>2G/3G/4G</v>
          </cell>
          <cell r="G944" t="str">
            <v>HUAWEI</v>
          </cell>
          <cell r="H944" t="str">
            <v>MOOV</v>
          </cell>
          <cell r="I944" t="str">
            <v>KORHOGO</v>
          </cell>
          <cell r="J944" t="str">
            <v>KORHOGO</v>
          </cell>
          <cell r="K944" t="str">
            <v>KORHOGO</v>
          </cell>
          <cell r="L944" t="str">
            <v>PORO</v>
          </cell>
          <cell r="M944" t="str">
            <v>KORHOGO</v>
          </cell>
          <cell r="N944" t="str">
            <v>UPCOUNTRY</v>
          </cell>
        </row>
        <row r="945">
          <cell r="B945" t="str">
            <v>AC954</v>
          </cell>
          <cell r="C945" t="str">
            <v>KORHOGO_ZONE</v>
          </cell>
          <cell r="D945" t="str">
            <v>-5.6232</v>
          </cell>
          <cell r="E945" t="str">
            <v>9.47068</v>
          </cell>
          <cell r="F945" t="str">
            <v>2G/3G/4G</v>
          </cell>
          <cell r="G945" t="str">
            <v>HUAWEI</v>
          </cell>
          <cell r="H945" t="str">
            <v>MOOV</v>
          </cell>
          <cell r="I945" t="str">
            <v>KORHOGO</v>
          </cell>
          <cell r="J945" t="str">
            <v>KORHOGO</v>
          </cell>
          <cell r="K945" t="str">
            <v>KORHOGO</v>
          </cell>
          <cell r="L945" t="str">
            <v>PORO</v>
          </cell>
          <cell r="M945" t="str">
            <v>KORHOGO</v>
          </cell>
          <cell r="N945" t="str">
            <v>UPCOUNTRY</v>
          </cell>
        </row>
        <row r="946">
          <cell r="B946" t="str">
            <v>AC955</v>
          </cell>
          <cell r="C946" t="str">
            <v>BONOUA_CELESTE</v>
          </cell>
          <cell r="D946" t="str">
            <v>-3.58662</v>
          </cell>
          <cell r="E946" t="str">
            <v>5.27187</v>
          </cell>
          <cell r="F946" t="str">
            <v>2G/3G/4G</v>
          </cell>
          <cell r="G946" t="str">
            <v>HUAWEI</v>
          </cell>
          <cell r="H946" t="str">
            <v>MOOV</v>
          </cell>
          <cell r="I946" t="str">
            <v>BONOUA</v>
          </cell>
          <cell r="J946" t="str">
            <v>BONOUA</v>
          </cell>
          <cell r="K946" t="str">
            <v>GRAND-BASSAM</v>
          </cell>
          <cell r="L946" t="str">
            <v>SUD-COMOE</v>
          </cell>
          <cell r="M946" t="str">
            <v>MARCORY</v>
          </cell>
          <cell r="N946" t="str">
            <v>UPCOUNTRY</v>
          </cell>
        </row>
        <row r="947">
          <cell r="B947" t="str">
            <v>AC956</v>
          </cell>
          <cell r="C947" t="str">
            <v>CARR_MANKONO</v>
          </cell>
          <cell r="D947" t="str">
            <v>-6.1956985</v>
          </cell>
          <cell r="E947" t="str">
            <v>8.0710612</v>
          </cell>
          <cell r="F947" t="str">
            <v>2G/3G/4G</v>
          </cell>
          <cell r="G947" t="str">
            <v>HUAWEI</v>
          </cell>
          <cell r="H947" t="str">
            <v>IHS (OCI)</v>
          </cell>
          <cell r="I947" t="str">
            <v>MANKONO</v>
          </cell>
          <cell r="J947" t="str">
            <v>MANKONO</v>
          </cell>
          <cell r="K947" t="str">
            <v>MANKONO</v>
          </cell>
          <cell r="L947" t="str">
            <v>BERE</v>
          </cell>
          <cell r="M947" t="str">
            <v>BOUAKE</v>
          </cell>
          <cell r="N947" t="str">
            <v>UPCOUNTRY</v>
          </cell>
        </row>
        <row r="948">
          <cell r="B948" t="str">
            <v>AC957</v>
          </cell>
          <cell r="C948" t="str">
            <v>SOGB_SINGHE_3</v>
          </cell>
          <cell r="D948" t="str">
            <v>-7.06666</v>
          </cell>
          <cell r="E948" t="str">
            <v>4.74657</v>
          </cell>
          <cell r="F948" t="str">
            <v>2G/3G/4G</v>
          </cell>
          <cell r="G948" t="str">
            <v>ERICSSON</v>
          </cell>
          <cell r="H948" t="str">
            <v>MOOV</v>
          </cell>
          <cell r="I948" t="str">
            <v>KAKO 3</v>
          </cell>
          <cell r="J948" t="str">
            <v>GRAND-BEREBY</v>
          </cell>
          <cell r="K948" t="str">
            <v>SAN-PEDRO</v>
          </cell>
          <cell r="L948" t="str">
            <v>SAN-PEDRO</v>
          </cell>
          <cell r="M948" t="str">
            <v>SAN-PEDRO</v>
          </cell>
          <cell r="N948" t="str">
            <v>UPCOUNTRY</v>
          </cell>
        </row>
        <row r="949">
          <cell r="B949" t="str">
            <v>AC958</v>
          </cell>
          <cell r="C949" t="str">
            <v>SOGB_KAKO_3</v>
          </cell>
          <cell r="D949" t="str">
            <v>-7.14088</v>
          </cell>
          <cell r="E949" t="str">
            <v>4.62468</v>
          </cell>
          <cell r="F949" t="str">
            <v>2G/3G/4G</v>
          </cell>
          <cell r="G949" t="str">
            <v>ERICSSON</v>
          </cell>
          <cell r="H949" t="str">
            <v>MOOV</v>
          </cell>
          <cell r="I949" t="str">
            <v>KAKO 3</v>
          </cell>
          <cell r="J949" t="str">
            <v>GRAND-BEREBY</v>
          </cell>
          <cell r="K949" t="str">
            <v>SAN-PEDRO</v>
          </cell>
          <cell r="L949" t="str">
            <v>SAN-PEDRO</v>
          </cell>
          <cell r="M949" t="str">
            <v>SAN-PEDRO</v>
          </cell>
          <cell r="N949" t="str">
            <v>UPCOUNTRY</v>
          </cell>
        </row>
        <row r="950">
          <cell r="B950" t="str">
            <v>AC959</v>
          </cell>
          <cell r="C950" t="str">
            <v>BENANOU</v>
          </cell>
          <cell r="D950" t="str">
            <v>-4.00573</v>
          </cell>
          <cell r="E950" t="str">
            <v>7.0659</v>
          </cell>
          <cell r="F950" t="str">
            <v>2G/3G/4G</v>
          </cell>
          <cell r="G950" t="str">
            <v>HUAWEI</v>
          </cell>
          <cell r="H950" t="str">
            <v>MOOV</v>
          </cell>
          <cell r="I950" t="str">
            <v>BENANOU</v>
          </cell>
          <cell r="J950" t="str">
            <v>DAOUKRO</v>
          </cell>
          <cell r="K950" t="str">
            <v>DAOUKRO</v>
          </cell>
          <cell r="L950" t="str">
            <v>IFFOU</v>
          </cell>
          <cell r="M950" t="str">
            <v>ABENGOUROU</v>
          </cell>
          <cell r="N950" t="str">
            <v>UPCOUNTRY</v>
          </cell>
        </row>
        <row r="951">
          <cell r="B951" t="str">
            <v>AC960</v>
          </cell>
          <cell r="C951" t="str">
            <v>ABOISSO_COMOE</v>
          </cell>
          <cell r="D951" t="str">
            <v>-3.39638</v>
          </cell>
          <cell r="E951" t="str">
            <v>5.73627</v>
          </cell>
          <cell r="F951" t="str">
            <v>2G/3G/4G</v>
          </cell>
          <cell r="G951" t="str">
            <v>ERICSSON</v>
          </cell>
          <cell r="H951" t="str">
            <v>MOOV</v>
          </cell>
          <cell r="I951" t="str">
            <v>ABOISSO-COMOE</v>
          </cell>
          <cell r="J951" t="str">
            <v>ABOISSO-COMOE</v>
          </cell>
          <cell r="K951" t="str">
            <v>ALEPE</v>
          </cell>
          <cell r="L951" t="str">
            <v>LA ME</v>
          </cell>
          <cell r="M951" t="str">
            <v>ABOBO</v>
          </cell>
          <cell r="N951" t="str">
            <v>UPCOUNTRY</v>
          </cell>
        </row>
        <row r="952">
          <cell r="B952" t="str">
            <v>AC961</v>
          </cell>
          <cell r="C952" t="str">
            <v>BONGO_VILLAGE</v>
          </cell>
          <cell r="D952" t="str">
            <v>-3.55146</v>
          </cell>
          <cell r="E952" t="str">
            <v>5.5104</v>
          </cell>
          <cell r="F952" t="str">
            <v>2G/3G/4G</v>
          </cell>
          <cell r="G952" t="str">
            <v>ERICSSON</v>
          </cell>
          <cell r="H952" t="str">
            <v>MOOV</v>
          </cell>
          <cell r="I952" t="str">
            <v>BONGO VILLAGE</v>
          </cell>
          <cell r="J952" t="str">
            <v>BONGO</v>
          </cell>
          <cell r="K952" t="str">
            <v>GRAND-BASSAM</v>
          </cell>
          <cell r="L952" t="str">
            <v>SUD-COMOE</v>
          </cell>
          <cell r="M952" t="str">
            <v>MARCORY</v>
          </cell>
          <cell r="N952" t="str">
            <v>UPCOUNTRY</v>
          </cell>
        </row>
        <row r="953">
          <cell r="B953" t="str">
            <v>AC962</v>
          </cell>
          <cell r="C953" t="str">
            <v>SEREBISSOU</v>
          </cell>
          <cell r="D953" t="str">
            <v>-4.65881</v>
          </cell>
          <cell r="E953" t="str">
            <v>6.3513</v>
          </cell>
          <cell r="F953" t="str">
            <v>2G/3G/4G</v>
          </cell>
          <cell r="G953" t="str">
            <v>HUAWEI</v>
          </cell>
          <cell r="H953" t="str">
            <v>MOOV</v>
          </cell>
          <cell r="I953" t="str">
            <v>SEREBISSOU</v>
          </cell>
          <cell r="J953" t="str">
            <v>TIEMELEKRO</v>
          </cell>
          <cell r="K953" t="str">
            <v>M'BATTO</v>
          </cell>
          <cell r="L953" t="str">
            <v>MORONOU</v>
          </cell>
          <cell r="M953" t="str">
            <v>YAMOUSSOUKRO</v>
          </cell>
          <cell r="N953" t="str">
            <v>UPCOUNTRY</v>
          </cell>
        </row>
        <row r="954">
          <cell r="B954" t="str">
            <v>AC963</v>
          </cell>
          <cell r="C954" t="str">
            <v>GBON</v>
          </cell>
          <cell r="D954" t="str">
            <v>-6.45557</v>
          </cell>
          <cell r="E954" t="str">
            <v>9.83499</v>
          </cell>
          <cell r="F954" t="str">
            <v>2G/3G/4G</v>
          </cell>
          <cell r="G954" t="str">
            <v>HUAWEI</v>
          </cell>
          <cell r="H954" t="str">
            <v>MOOV</v>
          </cell>
          <cell r="I954" t="str">
            <v>GBON</v>
          </cell>
          <cell r="J954" t="str">
            <v>GBON</v>
          </cell>
          <cell r="K954" t="str">
            <v>KOUTO</v>
          </cell>
          <cell r="L954" t="str">
            <v>BAGOUE</v>
          </cell>
          <cell r="M954" t="str">
            <v>KORHOGO</v>
          </cell>
          <cell r="N954" t="str">
            <v>UPCOUNTRY</v>
          </cell>
        </row>
        <row r="955">
          <cell r="B955" t="str">
            <v>AC964</v>
          </cell>
          <cell r="C955" t="str">
            <v>GROBIASSOUME</v>
          </cell>
          <cell r="D955" t="str">
            <v>-5.48607</v>
          </cell>
          <cell r="E955" t="str">
            <v>5.84937</v>
          </cell>
          <cell r="F955" t="str">
            <v>2G/3G/4G</v>
          </cell>
          <cell r="G955" t="str">
            <v>ERICSSON</v>
          </cell>
          <cell r="H955" t="str">
            <v>MOOV</v>
          </cell>
          <cell r="I955" t="str">
            <v>GROBIASSOUME</v>
          </cell>
          <cell r="J955" t="str">
            <v>DIVO</v>
          </cell>
          <cell r="K955" t="str">
            <v>DIVO</v>
          </cell>
          <cell r="L955" t="str">
            <v>LOH-DJIBOUA</v>
          </cell>
          <cell r="M955" t="str">
            <v>DIVO</v>
          </cell>
          <cell r="N955" t="str">
            <v>UPCOUNTRY</v>
          </cell>
        </row>
        <row r="956">
          <cell r="B956" t="str">
            <v>AC965</v>
          </cell>
          <cell r="C956" t="str">
            <v>DIOGOBOUA</v>
          </cell>
          <cell r="D956" t="str">
            <v>-5.60821</v>
          </cell>
          <cell r="E956" t="str">
            <v>5.87927</v>
          </cell>
          <cell r="F956" t="str">
            <v>2G/3G/4G</v>
          </cell>
          <cell r="G956" t="str">
            <v>ERICSSON</v>
          </cell>
          <cell r="H956" t="str">
            <v>MOOV</v>
          </cell>
          <cell r="I956" t="str">
            <v>DIOGOBOUA</v>
          </cell>
          <cell r="J956" t="str">
            <v>LAKOTA</v>
          </cell>
          <cell r="K956" t="str">
            <v>LAKOTA</v>
          </cell>
          <cell r="L956" t="str">
            <v>LOH-DJIBOUA</v>
          </cell>
          <cell r="M956" t="str">
            <v>DIVO</v>
          </cell>
          <cell r="N956" t="str">
            <v>UPCOUNTRY</v>
          </cell>
        </row>
        <row r="957">
          <cell r="B957" t="str">
            <v>AC966</v>
          </cell>
          <cell r="C957" t="str">
            <v>LAKOTA_NEW</v>
          </cell>
          <cell r="D957" t="str">
            <v>-5.68625</v>
          </cell>
          <cell r="E957" t="str">
            <v>5.868665</v>
          </cell>
          <cell r="F957" t="str">
            <v>2G/3G/4G</v>
          </cell>
          <cell r="G957" t="str">
            <v>ERICSSON</v>
          </cell>
          <cell r="H957" t="str">
            <v>MOOV</v>
          </cell>
          <cell r="I957" t="str">
            <v>LAKOTA</v>
          </cell>
          <cell r="J957" t="str">
            <v>LAKOTA</v>
          </cell>
          <cell r="K957" t="str">
            <v>LAKOTA</v>
          </cell>
          <cell r="L957" t="str">
            <v>LOH-DJIBOUA</v>
          </cell>
          <cell r="M957" t="str">
            <v>DIVO</v>
          </cell>
          <cell r="N957" t="str">
            <v>UPCOUNTRY</v>
          </cell>
        </row>
        <row r="958">
          <cell r="B958" t="str">
            <v>AC967</v>
          </cell>
          <cell r="C958" t="str">
            <v>GRAND_DEBOUA</v>
          </cell>
          <cell r="D958" t="str">
            <v>-5.70769</v>
          </cell>
          <cell r="E958" t="str">
            <v>5.94987</v>
          </cell>
          <cell r="F958" t="str">
            <v>2G/3G/4G</v>
          </cell>
          <cell r="G958" t="str">
            <v>ERICSSON</v>
          </cell>
          <cell r="H958" t="str">
            <v>MOOV</v>
          </cell>
          <cell r="I958" t="str">
            <v>GRAND-DEBOUA</v>
          </cell>
          <cell r="J958" t="str">
            <v>LAKOTA</v>
          </cell>
          <cell r="K958" t="str">
            <v>LAKOTA</v>
          </cell>
          <cell r="L958" t="str">
            <v>LOH-DJIBOUA</v>
          </cell>
          <cell r="M958" t="str">
            <v>DIVO</v>
          </cell>
          <cell r="N958" t="str">
            <v>UPCOUNTRY</v>
          </cell>
        </row>
        <row r="959">
          <cell r="B959" t="str">
            <v>AC968</v>
          </cell>
          <cell r="C959" t="str">
            <v>BOBIA</v>
          </cell>
          <cell r="D959" t="str">
            <v>-5.82491</v>
          </cell>
          <cell r="E959" t="str">
            <v>6.06762</v>
          </cell>
          <cell r="F959" t="str">
            <v>2G/3G/4G</v>
          </cell>
          <cell r="G959" t="str">
            <v>ERICSSON</v>
          </cell>
          <cell r="H959" t="str">
            <v>MOOV</v>
          </cell>
          <cell r="I959" t="str">
            <v>BOBIA</v>
          </cell>
          <cell r="J959" t="str">
            <v>GAGNOA</v>
          </cell>
          <cell r="K959" t="str">
            <v>GAGNOA</v>
          </cell>
          <cell r="L959" t="str">
            <v>GOH</v>
          </cell>
          <cell r="M959" t="str">
            <v>GAGNOA</v>
          </cell>
          <cell r="N959" t="str">
            <v>UPCOUNTRY</v>
          </cell>
        </row>
        <row r="960">
          <cell r="B960" t="str">
            <v>AC969</v>
          </cell>
          <cell r="C960" t="str">
            <v>ZIKISSO</v>
          </cell>
          <cell r="D960" t="str">
            <v>-5.69856</v>
          </cell>
          <cell r="E960" t="str">
            <v>6.05792</v>
          </cell>
          <cell r="F960" t="str">
            <v>2G/3G/4G</v>
          </cell>
          <cell r="G960" t="str">
            <v>HUAWEI</v>
          </cell>
          <cell r="H960" t="str">
            <v>MOOV</v>
          </cell>
          <cell r="I960" t="str">
            <v>ZIKISSO</v>
          </cell>
          <cell r="J960" t="str">
            <v>ZIKISSO</v>
          </cell>
          <cell r="K960" t="str">
            <v>LAKOTA</v>
          </cell>
          <cell r="L960" t="str">
            <v>LOH-DJIBOUA</v>
          </cell>
          <cell r="M960" t="str">
            <v>DIVO</v>
          </cell>
          <cell r="N960" t="str">
            <v>UPCOUNTRY</v>
          </cell>
        </row>
        <row r="961">
          <cell r="B961" t="str">
            <v>AC970</v>
          </cell>
          <cell r="C961" t="str">
            <v>ANIANOU</v>
          </cell>
          <cell r="D961" t="str">
            <v>-3.75986</v>
          </cell>
          <cell r="E961" t="str">
            <v>7.69057</v>
          </cell>
          <cell r="F961" t="str">
            <v>2G/3G/4G</v>
          </cell>
          <cell r="G961" t="str">
            <v>HUAWEI</v>
          </cell>
          <cell r="H961" t="str">
            <v>MOOV</v>
          </cell>
          <cell r="I961" t="str">
            <v>ANIANOU</v>
          </cell>
          <cell r="J961" t="str">
            <v>ANIANOU</v>
          </cell>
          <cell r="K961" t="str">
            <v>PRIKRO</v>
          </cell>
          <cell r="L961" t="str">
            <v>IFFOU</v>
          </cell>
          <cell r="M961" t="str">
            <v>BOUAKE</v>
          </cell>
          <cell r="N961" t="str">
            <v>UPCOUNTRY</v>
          </cell>
        </row>
        <row r="962">
          <cell r="B962" t="str">
            <v>AC971</v>
          </cell>
          <cell r="C962" t="str">
            <v>MANFLA</v>
          </cell>
          <cell r="D962" t="str">
            <v>-5.91087</v>
          </cell>
          <cell r="E962" t="str">
            <v>7.39683</v>
          </cell>
          <cell r="F962" t="str">
            <v>2G/3G/4G</v>
          </cell>
          <cell r="G962" t="str">
            <v>HUAWEI</v>
          </cell>
          <cell r="H962" t="str">
            <v>IHS (CIT)</v>
          </cell>
          <cell r="I962" t="str">
            <v>MANFLA</v>
          </cell>
          <cell r="J962" t="str">
            <v>MAMINIGUI</v>
          </cell>
          <cell r="K962" t="str">
            <v>ZUENOULA</v>
          </cell>
          <cell r="L962" t="str">
            <v>MARAHOUE</v>
          </cell>
          <cell r="M962" t="str">
            <v>YAMOUSSOUKRO</v>
          </cell>
          <cell r="N962" t="str">
            <v>UPCOUNTRY</v>
          </cell>
        </row>
        <row r="963">
          <cell r="B963" t="str">
            <v>AC972</v>
          </cell>
          <cell r="C963" t="str">
            <v>DUFFREBO</v>
          </cell>
          <cell r="D963" t="str">
            <v>-3.44397</v>
          </cell>
          <cell r="E963" t="str">
            <v>7.09108</v>
          </cell>
          <cell r="F963" t="str">
            <v>2G/3G/4G</v>
          </cell>
          <cell r="G963" t="str">
            <v>ERICSSON</v>
          </cell>
          <cell r="H963" t="str">
            <v>MOOV</v>
          </cell>
          <cell r="I963" t="str">
            <v>DUFFREBO</v>
          </cell>
          <cell r="J963" t="str">
            <v>DUFFREBO</v>
          </cell>
          <cell r="K963" t="str">
            <v>AGNIBILEKROU</v>
          </cell>
          <cell r="L963" t="str">
            <v>INDENIE-DJUABLIN</v>
          </cell>
          <cell r="M963" t="str">
            <v>ABENGOUROU</v>
          </cell>
          <cell r="N963" t="str">
            <v>UPCOUNTRY</v>
          </cell>
        </row>
        <row r="964">
          <cell r="B964" t="str">
            <v>AC973</v>
          </cell>
          <cell r="C964" t="str">
            <v>DAGADJI</v>
          </cell>
          <cell r="D964" t="str">
            <v>-6.80652</v>
          </cell>
          <cell r="E964" t="str">
            <v>5.125843</v>
          </cell>
          <cell r="F964" t="str">
            <v>2G/3G/4G</v>
          </cell>
          <cell r="G964" t="str">
            <v>HUAWEI</v>
          </cell>
          <cell r="H964" t="str">
            <v>IHS (OCI)</v>
          </cell>
          <cell r="I964" t="str">
            <v>DAGADJI</v>
          </cell>
          <cell r="J964" t="str">
            <v>DOBA</v>
          </cell>
          <cell r="K964" t="str">
            <v>SAN-PEDRO</v>
          </cell>
          <cell r="L964" t="str">
            <v>SAN-PEDRO</v>
          </cell>
          <cell r="M964" t="str">
            <v>SAN-PEDRO</v>
          </cell>
          <cell r="N964" t="str">
            <v>UPCOUNTRY</v>
          </cell>
        </row>
        <row r="965">
          <cell r="B965" t="str">
            <v>AC974</v>
          </cell>
          <cell r="C965" t="str">
            <v>LAOUDI_BA</v>
          </cell>
          <cell r="D965" t="str">
            <v>-2.95715</v>
          </cell>
          <cell r="E965" t="str">
            <v>8.30531</v>
          </cell>
          <cell r="F965" t="str">
            <v>2G/3G/4G</v>
          </cell>
          <cell r="G965" t="str">
            <v>ERICSSON</v>
          </cell>
          <cell r="H965" t="str">
            <v>IHS (CIT)</v>
          </cell>
          <cell r="I965" t="str">
            <v>LAOUDI-BA</v>
          </cell>
          <cell r="J965" t="str">
            <v>LAOUDI-BA</v>
          </cell>
          <cell r="K965" t="str">
            <v>BONDOUKOU</v>
          </cell>
          <cell r="L965" t="str">
            <v>GONTOUGO</v>
          </cell>
          <cell r="M965" t="str">
            <v>ABENGOUROU</v>
          </cell>
          <cell r="N965" t="str">
            <v>UPCOUNTRY</v>
          </cell>
        </row>
        <row r="966">
          <cell r="B966" t="str">
            <v>AC975</v>
          </cell>
          <cell r="C966" t="str">
            <v>NIANDA</v>
          </cell>
          <cell r="D966" t="str">
            <v>-3.281058</v>
          </cell>
          <cell r="E966" t="str">
            <v>7.048919</v>
          </cell>
          <cell r="F966" t="str">
            <v>2G/3G/4G</v>
          </cell>
          <cell r="G966" t="str">
            <v>ERICSSON</v>
          </cell>
          <cell r="H966" t="str">
            <v>IHS (OCI)</v>
          </cell>
          <cell r="I966" t="str">
            <v>NIANDA</v>
          </cell>
          <cell r="J966" t="str">
            <v>AGNIBILEKROU</v>
          </cell>
          <cell r="K966" t="str">
            <v>AGNIBILEKROU</v>
          </cell>
          <cell r="L966" t="str">
            <v>INDENIE-DJUABLIN</v>
          </cell>
          <cell r="M966" t="str">
            <v>ABENGOUROU</v>
          </cell>
          <cell r="N966" t="str">
            <v>UPCOUNTRY</v>
          </cell>
        </row>
        <row r="967">
          <cell r="B967" t="str">
            <v>AC976</v>
          </cell>
          <cell r="C967" t="str">
            <v>GOMON</v>
          </cell>
          <cell r="D967" t="str">
            <v>-4.44146</v>
          </cell>
          <cell r="E967" t="str">
            <v>5.72622</v>
          </cell>
          <cell r="F967" t="str">
            <v>2G/3G/4G</v>
          </cell>
          <cell r="G967" t="str">
            <v>ERICSSON</v>
          </cell>
          <cell r="H967" t="str">
            <v>MOOV</v>
          </cell>
          <cell r="I967" t="str">
            <v>GOMON I</v>
          </cell>
          <cell r="J967" t="str">
            <v>GOMON</v>
          </cell>
          <cell r="K967" t="str">
            <v>SIKENSI</v>
          </cell>
          <cell r="L967" t="str">
            <v>AGNEBY-TIASSA</v>
          </cell>
          <cell r="M967" t="str">
            <v>YOPOUGON SABLE</v>
          </cell>
          <cell r="N967" t="str">
            <v>UPCOUNTRY</v>
          </cell>
        </row>
        <row r="968">
          <cell r="B968" t="str">
            <v>AC977</v>
          </cell>
          <cell r="C968" t="str">
            <v>BONIKRO</v>
          </cell>
          <cell r="D968" t="str">
            <v>-5.379972</v>
          </cell>
          <cell r="E968" t="str">
            <v>6.235889</v>
          </cell>
          <cell r="F968" t="str">
            <v>2G/3G/4G</v>
          </cell>
          <cell r="G968" t="str">
            <v>HUAWEI</v>
          </cell>
          <cell r="H968" t="str">
            <v>IHS</v>
          </cell>
          <cell r="I968" t="str">
            <v>BONIKRO</v>
          </cell>
          <cell r="J968" t="str">
            <v>HIRE</v>
          </cell>
          <cell r="K968" t="str">
            <v>DIVO</v>
          </cell>
          <cell r="L968" t="str">
            <v>LOH-DJIBOUA</v>
          </cell>
          <cell r="M968" t="str">
            <v>GAGNOA</v>
          </cell>
          <cell r="N968" t="str">
            <v>UPCOUNTRY</v>
          </cell>
        </row>
        <row r="969">
          <cell r="B969" t="str">
            <v>AC978</v>
          </cell>
          <cell r="C969" t="str">
            <v>BAGOLIEOUA</v>
          </cell>
          <cell r="D969" t="str">
            <v>-6.52262</v>
          </cell>
          <cell r="E969" t="str">
            <v>6.16875</v>
          </cell>
          <cell r="F969" t="str">
            <v>2G/3G/4G</v>
          </cell>
          <cell r="G969" t="str">
            <v>HUAWEI</v>
          </cell>
          <cell r="H969" t="str">
            <v>IHS (OCI)</v>
          </cell>
          <cell r="I969" t="str">
            <v>BAGOLIEOUA</v>
          </cell>
          <cell r="J969" t="str">
            <v>GRAND-ZATTRY</v>
          </cell>
          <cell r="K969" t="str">
            <v>SOUBRE</v>
          </cell>
          <cell r="L969" t="str">
            <v>NAWA</v>
          </cell>
          <cell r="M969" t="str">
            <v>SOUBRE</v>
          </cell>
          <cell r="N969" t="str">
            <v>UPCOUNTRY</v>
          </cell>
        </row>
        <row r="970">
          <cell r="B970" t="str">
            <v>AC979</v>
          </cell>
          <cell r="C970" t="str">
            <v>SIPEFCI</v>
          </cell>
          <cell r="D970" t="str">
            <v>-6.281162</v>
          </cell>
          <cell r="E970" t="str">
            <v>5.673328</v>
          </cell>
          <cell r="F970" t="str">
            <v>2G/3G/4G</v>
          </cell>
          <cell r="G970" t="str">
            <v>HUAWEI</v>
          </cell>
          <cell r="H970" t="str">
            <v>IHS (CIT)</v>
          </cell>
          <cell r="I970" t="str">
            <v>SIPEFCI</v>
          </cell>
          <cell r="J970" t="str">
            <v>OKROUYO</v>
          </cell>
          <cell r="K970" t="str">
            <v>SOUBRE</v>
          </cell>
          <cell r="L970" t="str">
            <v>NAWA</v>
          </cell>
          <cell r="M970" t="str">
            <v>SOUBRE</v>
          </cell>
          <cell r="N970" t="str">
            <v>UPCOUNTRY</v>
          </cell>
        </row>
        <row r="971">
          <cell r="B971" t="str">
            <v>AC980</v>
          </cell>
          <cell r="C971" t="str">
            <v>AKOBOISSUE</v>
          </cell>
          <cell r="D971" t="str">
            <v>-3.23528</v>
          </cell>
          <cell r="E971" t="str">
            <v>6.96552</v>
          </cell>
          <cell r="F971" t="str">
            <v>2G/3G/4G</v>
          </cell>
          <cell r="G971" t="str">
            <v>ERICSSON</v>
          </cell>
          <cell r="H971" t="str">
            <v>IHS (CIT)</v>
          </cell>
          <cell r="I971" t="str">
            <v>AKOBOISSUE</v>
          </cell>
          <cell r="J971" t="str">
            <v>AKOBOISSUE</v>
          </cell>
          <cell r="K971" t="str">
            <v>AGNIBILEKROU</v>
          </cell>
          <cell r="L971" t="str">
            <v>INDENIE-DJUABLIN</v>
          </cell>
          <cell r="M971" t="str">
            <v>ABENGOUROU</v>
          </cell>
          <cell r="N971" t="str">
            <v>UPCOUNTRY</v>
          </cell>
        </row>
        <row r="972">
          <cell r="B972" t="str">
            <v>AC981</v>
          </cell>
          <cell r="C972" t="str">
            <v>SANDEGUE</v>
          </cell>
          <cell r="D972" t="str">
            <v>-3.5836</v>
          </cell>
          <cell r="E972" t="str">
            <v>7.95572</v>
          </cell>
          <cell r="F972" t="str">
            <v>2G/3G/4G</v>
          </cell>
          <cell r="G972" t="str">
            <v>ERICSSON</v>
          </cell>
          <cell r="H972" t="str">
            <v>MOOV</v>
          </cell>
          <cell r="I972" t="str">
            <v>SANDEGUE</v>
          </cell>
          <cell r="J972" t="str">
            <v>SANDEGUE</v>
          </cell>
          <cell r="K972" t="str">
            <v>SANDEGUE</v>
          </cell>
          <cell r="L972" t="str">
            <v>GONTOUGO</v>
          </cell>
          <cell r="M972" t="str">
            <v>ABENGOUROU</v>
          </cell>
          <cell r="N972" t="str">
            <v>UPCOUNTRY</v>
          </cell>
        </row>
        <row r="973">
          <cell r="B973" t="str">
            <v>AC982</v>
          </cell>
          <cell r="C973" t="str">
            <v>DIARABANA</v>
          </cell>
          <cell r="D973" t="str">
            <v>-6.60739</v>
          </cell>
          <cell r="E973" t="str">
            <v>8.19028</v>
          </cell>
          <cell r="F973" t="str">
            <v>2G/3G/4G</v>
          </cell>
          <cell r="G973" t="str">
            <v>HUAWEI</v>
          </cell>
          <cell r="H973" t="str">
            <v>MOOV</v>
          </cell>
          <cell r="I973" t="str">
            <v>DIARABANA</v>
          </cell>
          <cell r="J973" t="str">
            <v>DIARABANA</v>
          </cell>
          <cell r="K973" t="str">
            <v>SEGUELA</v>
          </cell>
          <cell r="L973" t="str">
            <v>WORODOUGOU</v>
          </cell>
          <cell r="M973" t="str">
            <v>DALOA</v>
          </cell>
          <cell r="N973" t="str">
            <v>UPCOUNTRY</v>
          </cell>
        </row>
        <row r="974">
          <cell r="B974" t="str">
            <v>AC983</v>
          </cell>
          <cell r="C974" t="str">
            <v>LAHOUDA</v>
          </cell>
          <cell r="D974" t="str">
            <v>-5.699662</v>
          </cell>
          <cell r="E974" t="str">
            <v>6.209173</v>
          </cell>
          <cell r="F974" t="str">
            <v>2G/3G/4G</v>
          </cell>
          <cell r="G974" t="str">
            <v>HUAWEI</v>
          </cell>
          <cell r="H974" t="str">
            <v>IHS (OCI)</v>
          </cell>
          <cell r="I974" t="str">
            <v>LAHOUDA</v>
          </cell>
          <cell r="J974" t="str">
            <v>DIEGONEFLA</v>
          </cell>
          <cell r="K974" t="str">
            <v>OUME</v>
          </cell>
          <cell r="L974" t="str">
            <v>GOH</v>
          </cell>
          <cell r="M974" t="str">
            <v>GAGNOA</v>
          </cell>
          <cell r="N974" t="str">
            <v>UPCOUNTRY</v>
          </cell>
        </row>
        <row r="975">
          <cell r="B975" t="str">
            <v>AC984</v>
          </cell>
          <cell r="C975" t="str">
            <v>TCHEFRODOUO</v>
          </cell>
          <cell r="D975" t="str">
            <v>-3.120285</v>
          </cell>
          <cell r="E975" t="str">
            <v>8.55493</v>
          </cell>
          <cell r="F975" t="str">
            <v>2G/3G/4G</v>
          </cell>
          <cell r="G975" t="str">
            <v>ERICSSON</v>
          </cell>
          <cell r="H975" t="str">
            <v>MOOV</v>
          </cell>
          <cell r="I975" t="str">
            <v>TCHEFRODOUO</v>
          </cell>
          <cell r="J975" t="str">
            <v>LAOUDI-BA</v>
          </cell>
          <cell r="K975" t="str">
            <v>BONDOUKOU</v>
          </cell>
          <cell r="L975" t="str">
            <v>GONTOUGO</v>
          </cell>
          <cell r="M975" t="str">
            <v>ABENGOUROU</v>
          </cell>
          <cell r="N975" t="str">
            <v>UPCOUNTRY</v>
          </cell>
        </row>
        <row r="976">
          <cell r="B976" t="str">
            <v>AC985</v>
          </cell>
          <cell r="C976" t="str">
            <v>GNATO</v>
          </cell>
          <cell r="D976" t="str">
            <v>-7.457</v>
          </cell>
          <cell r="E976" t="str">
            <v>5.05201</v>
          </cell>
          <cell r="F976" t="str">
            <v>2G/3G/4G</v>
          </cell>
          <cell r="G976" t="str">
            <v>ERICSSON</v>
          </cell>
          <cell r="H976" t="str">
            <v>MOOV</v>
          </cell>
          <cell r="I976" t="str">
            <v>GNATO</v>
          </cell>
          <cell r="J976" t="str">
            <v>GRABO</v>
          </cell>
          <cell r="K976" t="str">
            <v>TABOU</v>
          </cell>
          <cell r="L976" t="str">
            <v>SAN-PEDRO</v>
          </cell>
          <cell r="M976" t="str">
            <v>SAN-PEDRO</v>
          </cell>
          <cell r="N976" t="str">
            <v>UPCOUNTRY</v>
          </cell>
        </row>
        <row r="977">
          <cell r="B977" t="str">
            <v>AC986</v>
          </cell>
          <cell r="C977" t="str">
            <v>SEBOUAFLA</v>
          </cell>
          <cell r="D977" t="str">
            <v>-6.47986</v>
          </cell>
          <cell r="E977" t="str">
            <v>7.3717</v>
          </cell>
          <cell r="F977" t="str">
            <v>2G/3G/4G</v>
          </cell>
          <cell r="G977" t="str">
            <v>HUAWEI</v>
          </cell>
          <cell r="H977" t="str">
            <v>MOOV</v>
          </cell>
          <cell r="I977" t="str">
            <v>VAVOUA</v>
          </cell>
          <cell r="J977" t="str">
            <v>VAVOUA</v>
          </cell>
          <cell r="K977" t="str">
            <v>VAVOUA</v>
          </cell>
          <cell r="L977" t="str">
            <v>HAUT-SASSANDRA</v>
          </cell>
          <cell r="M977" t="str">
            <v>DALOA</v>
          </cell>
          <cell r="N977" t="str">
            <v>UPCOUNTRY</v>
          </cell>
        </row>
        <row r="978">
          <cell r="B978" t="str">
            <v>AC987</v>
          </cell>
          <cell r="C978" t="str">
            <v>DOKOUIE_CIE</v>
          </cell>
          <cell r="D978" t="str">
            <v>-4.0049</v>
          </cell>
          <cell r="E978" t="str">
            <v>5.4051</v>
          </cell>
          <cell r="F978" t="str">
            <v>2G/3G/4G</v>
          </cell>
          <cell r="G978" t="str">
            <v>ERICSSON</v>
          </cell>
          <cell r="H978" t="str">
            <v>IHS (OCI)</v>
          </cell>
          <cell r="I978" t="str">
            <v>ABOBO</v>
          </cell>
          <cell r="J978" t="str">
            <v>ABIDJAN</v>
          </cell>
          <cell r="K978" t="str">
            <v>ABIDJAN</v>
          </cell>
          <cell r="L978" t="str">
            <v>ABIDJAN</v>
          </cell>
          <cell r="M978" t="str">
            <v>ABOBO</v>
          </cell>
          <cell r="N978" t="str">
            <v>ABIDJAN</v>
          </cell>
        </row>
        <row r="979">
          <cell r="B979" t="str">
            <v>AC988</v>
          </cell>
          <cell r="C979" t="str">
            <v>BELLE_EPINE</v>
          </cell>
          <cell r="D979" t="str">
            <v>-3.9808</v>
          </cell>
          <cell r="E979" t="str">
            <v>5.3488</v>
          </cell>
          <cell r="F979" t="str">
            <v>2G/3G/4G</v>
          </cell>
          <cell r="G979" t="str">
            <v>ERICSSON</v>
          </cell>
          <cell r="H979" t="str">
            <v>IHS (CIT)</v>
          </cell>
          <cell r="I979" t="str">
            <v>COCODY</v>
          </cell>
          <cell r="J979" t="str">
            <v>ABIDJAN</v>
          </cell>
          <cell r="K979" t="str">
            <v>ABIDJAN</v>
          </cell>
          <cell r="L979" t="str">
            <v>ABIDJAN</v>
          </cell>
          <cell r="M979" t="str">
            <v>COCODY CENTRE</v>
          </cell>
          <cell r="N979" t="str">
            <v>ABIDJAN</v>
          </cell>
        </row>
        <row r="980">
          <cell r="B980" t="str">
            <v>AC989</v>
          </cell>
          <cell r="C980" t="str">
            <v>GONZAG_MARCHE</v>
          </cell>
          <cell r="D980" t="str">
            <v>-3.9086</v>
          </cell>
          <cell r="E980" t="str">
            <v>5.2446</v>
          </cell>
          <cell r="F980" t="str">
            <v>2G/3G/4G</v>
          </cell>
          <cell r="G980" t="str">
            <v>HUAWEI</v>
          </cell>
          <cell r="H980" t="str">
            <v>MOOV</v>
          </cell>
          <cell r="I980" t="str">
            <v>PORT-BOUET</v>
          </cell>
          <cell r="J980" t="str">
            <v>ABIDJAN</v>
          </cell>
          <cell r="K980" t="str">
            <v>ABIDJAN</v>
          </cell>
          <cell r="L980" t="str">
            <v>ABIDJAN</v>
          </cell>
          <cell r="M980" t="str">
            <v>MARCORY</v>
          </cell>
          <cell r="N980" t="str">
            <v>ABIDJAN</v>
          </cell>
        </row>
        <row r="981">
          <cell r="B981" t="str">
            <v>AC990</v>
          </cell>
          <cell r="C981" t="str">
            <v>YOP_ST_PIERRE</v>
          </cell>
          <cell r="D981" t="str">
            <v>-4.0871</v>
          </cell>
          <cell r="E981" t="str">
            <v>5.3271</v>
          </cell>
          <cell r="F981" t="str">
            <v>2G/3G/4G</v>
          </cell>
          <cell r="G981" t="str">
            <v>ERICSSON</v>
          </cell>
          <cell r="H981" t="str">
            <v>MOOV</v>
          </cell>
          <cell r="I981" t="str">
            <v>YOPOUGON</v>
          </cell>
          <cell r="J981" t="str">
            <v>ABIDJAN</v>
          </cell>
          <cell r="K981" t="str">
            <v>ABIDJAN</v>
          </cell>
          <cell r="L981" t="str">
            <v>ABIDJAN</v>
          </cell>
          <cell r="M981" t="str">
            <v>YOPOUGON FICGAYO</v>
          </cell>
          <cell r="N981" t="str">
            <v>ABIDJAN</v>
          </cell>
        </row>
        <row r="982">
          <cell r="B982" t="str">
            <v>AC991</v>
          </cell>
          <cell r="C982" t="str">
            <v>CITE_VERTE</v>
          </cell>
          <cell r="D982" t="str">
            <v>-4.1148</v>
          </cell>
          <cell r="E982" t="str">
            <v>5.3298</v>
          </cell>
          <cell r="F982" t="str">
            <v>2G/3G/4G</v>
          </cell>
          <cell r="G982" t="str">
            <v>ERICSSON</v>
          </cell>
          <cell r="H982" t="str">
            <v>MOOV</v>
          </cell>
          <cell r="I982" t="str">
            <v>YOPOUGON</v>
          </cell>
          <cell r="J982" t="str">
            <v>ABIDJAN</v>
          </cell>
          <cell r="K982" t="str">
            <v>ABIDJAN</v>
          </cell>
          <cell r="L982" t="str">
            <v>ABIDJAN</v>
          </cell>
          <cell r="M982" t="str">
            <v>YOPOUGON FICGAYO</v>
          </cell>
          <cell r="N982" t="str">
            <v>ABIDJAN</v>
          </cell>
        </row>
        <row r="983">
          <cell r="B983" t="str">
            <v>AC992</v>
          </cell>
          <cell r="C983" t="str">
            <v>LOKOUA_CSOCIAL</v>
          </cell>
          <cell r="D983" t="str">
            <v>-4.09752</v>
          </cell>
          <cell r="E983" t="str">
            <v>5.31493</v>
          </cell>
          <cell r="F983" t="str">
            <v>2G/3G/4G</v>
          </cell>
          <cell r="G983" t="str">
            <v>ERICSSON</v>
          </cell>
          <cell r="H983" t="str">
            <v>MOOV</v>
          </cell>
          <cell r="I983" t="str">
            <v>YOPOUGON</v>
          </cell>
          <cell r="J983" t="str">
            <v>ABIDJAN</v>
          </cell>
          <cell r="K983" t="str">
            <v>ABIDJAN</v>
          </cell>
          <cell r="L983" t="str">
            <v>ABIDJAN</v>
          </cell>
          <cell r="M983" t="str">
            <v>YOPOUGON FICGAYO</v>
          </cell>
          <cell r="N983" t="str">
            <v>ABIDJAN</v>
          </cell>
        </row>
        <row r="984">
          <cell r="B984" t="str">
            <v>AC993</v>
          </cell>
          <cell r="C984" t="str">
            <v>LOKOUA_EXT</v>
          </cell>
          <cell r="D984" t="str">
            <v>-4.1082</v>
          </cell>
          <cell r="E984" t="str">
            <v>5.3168</v>
          </cell>
          <cell r="F984" t="str">
            <v>2G/3G/4G</v>
          </cell>
          <cell r="G984" t="str">
            <v>ERICSSON</v>
          </cell>
          <cell r="H984" t="str">
            <v>MOOV</v>
          </cell>
          <cell r="I984" t="str">
            <v>YOPOUGON</v>
          </cell>
          <cell r="J984" t="str">
            <v>ABIDJAN</v>
          </cell>
          <cell r="K984" t="str">
            <v>ABIDJAN</v>
          </cell>
          <cell r="L984" t="str">
            <v>ABIDJAN</v>
          </cell>
          <cell r="M984" t="str">
            <v>YOPOUGON FICGAYO</v>
          </cell>
          <cell r="N984" t="str">
            <v>ABIDJAN</v>
          </cell>
        </row>
        <row r="985">
          <cell r="B985" t="str">
            <v>AC994</v>
          </cell>
          <cell r="C985" t="str">
            <v>YOP_ANADOR</v>
          </cell>
          <cell r="D985" t="str">
            <v>-4.101</v>
          </cell>
          <cell r="E985" t="str">
            <v>5.3356</v>
          </cell>
          <cell r="F985" t="str">
            <v>2G/3G/4G</v>
          </cell>
          <cell r="G985" t="str">
            <v>ERICSSON</v>
          </cell>
          <cell r="H985" t="str">
            <v>MOOV</v>
          </cell>
          <cell r="I985" t="str">
            <v>YOPOUGON</v>
          </cell>
          <cell r="J985" t="str">
            <v>ABIDJAN</v>
          </cell>
          <cell r="K985" t="str">
            <v>ABIDJAN</v>
          </cell>
          <cell r="L985" t="str">
            <v>ABIDJAN</v>
          </cell>
          <cell r="M985" t="str">
            <v>YOPOUGON FICGAYO</v>
          </cell>
          <cell r="N985" t="str">
            <v>ABIDJAN</v>
          </cell>
        </row>
        <row r="986">
          <cell r="B986" t="str">
            <v>AC995</v>
          </cell>
          <cell r="C986" t="str">
            <v>PHRCIE_ACADJOBA</v>
          </cell>
          <cell r="D986" t="str">
            <v>-4.0792</v>
          </cell>
          <cell r="E986" t="str">
            <v>5.3177</v>
          </cell>
          <cell r="F986" t="str">
            <v>2G/3G/4G</v>
          </cell>
          <cell r="G986" t="str">
            <v>ERICSSON</v>
          </cell>
          <cell r="H986" t="str">
            <v>IHS (OCI)</v>
          </cell>
          <cell r="I986" t="str">
            <v>YOPOUGON</v>
          </cell>
          <cell r="J986" t="str">
            <v>ABIDJAN</v>
          </cell>
          <cell r="K986" t="str">
            <v>ABIDJAN</v>
          </cell>
          <cell r="L986" t="str">
            <v>ABIDJAN</v>
          </cell>
          <cell r="M986" t="str">
            <v>YOPOUGON FICGAYO</v>
          </cell>
          <cell r="N986" t="str">
            <v>ABIDJAN</v>
          </cell>
        </row>
        <row r="987">
          <cell r="B987" t="str">
            <v>AC996</v>
          </cell>
          <cell r="C987" t="str">
            <v>TERMINUS_27</v>
          </cell>
          <cell r="D987" t="str">
            <v>-4.0894</v>
          </cell>
          <cell r="E987" t="str">
            <v>5.3164</v>
          </cell>
          <cell r="F987" t="str">
            <v>2G/3G/4G</v>
          </cell>
          <cell r="G987" t="str">
            <v>ERICSSON</v>
          </cell>
          <cell r="H987" t="str">
            <v>MOOV</v>
          </cell>
          <cell r="I987" t="str">
            <v>YOPOUGON</v>
          </cell>
          <cell r="J987" t="str">
            <v>ABIDJAN</v>
          </cell>
          <cell r="K987" t="str">
            <v>ABIDJAN</v>
          </cell>
          <cell r="L987" t="str">
            <v>ABIDJAN</v>
          </cell>
          <cell r="M987" t="str">
            <v>YOPOUGON FICGAYO</v>
          </cell>
          <cell r="N987" t="str">
            <v>ABIDJAN</v>
          </cell>
        </row>
        <row r="988">
          <cell r="B988" t="str">
            <v>AC997</v>
          </cell>
          <cell r="C988" t="str">
            <v>YOP_AMZA</v>
          </cell>
          <cell r="D988" t="str">
            <v>-4.0942</v>
          </cell>
          <cell r="E988" t="str">
            <v>5.3471</v>
          </cell>
          <cell r="F988" t="str">
            <v>2G/3G/4G</v>
          </cell>
          <cell r="G988" t="str">
            <v>ERICSSON</v>
          </cell>
          <cell r="H988" t="str">
            <v>MOOV</v>
          </cell>
          <cell r="I988" t="str">
            <v>YOPOUGON</v>
          </cell>
          <cell r="J988" t="str">
            <v>ABIDJAN</v>
          </cell>
          <cell r="K988" t="str">
            <v>ABIDJAN</v>
          </cell>
          <cell r="L988" t="str">
            <v>ABIDJAN</v>
          </cell>
          <cell r="M988" t="str">
            <v>YOPOUGON FICGAYO</v>
          </cell>
          <cell r="N988" t="str">
            <v>ABIDJAN</v>
          </cell>
        </row>
        <row r="989">
          <cell r="B989" t="str">
            <v>AC998</v>
          </cell>
          <cell r="C989" t="str">
            <v>2PLTX_KAVOKIVA</v>
          </cell>
          <cell r="D989" t="str">
            <v>-4.0027</v>
          </cell>
          <cell r="E989" t="str">
            <v>5.3629</v>
          </cell>
          <cell r="F989" t="str">
            <v>2G/3G/4G</v>
          </cell>
          <cell r="G989" t="str">
            <v>ERICSSON</v>
          </cell>
          <cell r="H989" t="str">
            <v>MOOV</v>
          </cell>
          <cell r="I989" t="str">
            <v>COCODY</v>
          </cell>
          <cell r="J989" t="str">
            <v>ABIDJAN</v>
          </cell>
          <cell r="K989" t="str">
            <v>ABIDJAN</v>
          </cell>
          <cell r="L989" t="str">
            <v>ABIDJAN</v>
          </cell>
          <cell r="M989" t="str">
            <v>COCODY LATRILLE</v>
          </cell>
          <cell r="N989" t="str">
            <v>ABIDJAN</v>
          </cell>
        </row>
        <row r="990">
          <cell r="B990" t="str">
            <v>ET001</v>
          </cell>
          <cell r="C990" t="str">
            <v>MARC_AKWABA2</v>
          </cell>
          <cell r="D990" t="str">
            <v>-3.969053</v>
          </cell>
          <cell r="E990" t="str">
            <v>5.298206</v>
          </cell>
          <cell r="F990" t="str">
            <v>2G/3G/4G</v>
          </cell>
          <cell r="G990" t="str">
            <v>ERICSSON</v>
          </cell>
          <cell r="H990" t="str">
            <v>MOOV</v>
          </cell>
          <cell r="I990" t="str">
            <v>MARCORY</v>
          </cell>
          <cell r="J990" t="str">
            <v>ABIDJAN</v>
          </cell>
          <cell r="K990" t="str">
            <v>ABIDJAN</v>
          </cell>
          <cell r="L990" t="str">
            <v>ABIDJAN</v>
          </cell>
          <cell r="M990" t="str">
            <v>MARCORY</v>
          </cell>
          <cell r="N990" t="str">
            <v>ABIDJAN</v>
          </cell>
        </row>
        <row r="991">
          <cell r="B991" t="str">
            <v>ET002</v>
          </cell>
          <cell r="C991" t="str">
            <v>YOP_CSM17</v>
          </cell>
          <cell r="D991" t="str">
            <v>-4.0965</v>
          </cell>
          <cell r="E991" t="str">
            <v>5.3194</v>
          </cell>
          <cell r="F991" t="str">
            <v>2G/3G/4G</v>
          </cell>
          <cell r="G991" t="str">
            <v>ERICSSON</v>
          </cell>
          <cell r="H991" t="str">
            <v>MOOV</v>
          </cell>
          <cell r="I991" t="str">
            <v>YOPOUGON</v>
          </cell>
          <cell r="J991" t="str">
            <v>ABIDJAN</v>
          </cell>
          <cell r="K991" t="str">
            <v>ABIDJAN</v>
          </cell>
          <cell r="L991" t="str">
            <v>ABIDJAN</v>
          </cell>
          <cell r="M991" t="str">
            <v>YOPOUGON FICGAYO</v>
          </cell>
          <cell r="N991" t="str">
            <v>ABIDJAN</v>
          </cell>
        </row>
        <row r="992">
          <cell r="B992" t="str">
            <v>ET003</v>
          </cell>
          <cell r="C992" t="str">
            <v>ABOBO_LOBAD</v>
          </cell>
          <cell r="D992" t="str">
            <v>-3.9949</v>
          </cell>
          <cell r="E992" t="str">
            <v>5.4101</v>
          </cell>
          <cell r="F992" t="str">
            <v>2G/3G/4G</v>
          </cell>
          <cell r="G992" t="str">
            <v>ERICSSON</v>
          </cell>
          <cell r="H992" t="str">
            <v>MOOV</v>
          </cell>
          <cell r="I992" t="str">
            <v>ABOBO</v>
          </cell>
          <cell r="J992" t="str">
            <v>ABIDJAN</v>
          </cell>
          <cell r="K992" t="str">
            <v>ABIDJAN</v>
          </cell>
          <cell r="L992" t="str">
            <v>ABIDJAN</v>
          </cell>
          <cell r="M992" t="str">
            <v>ABOBO</v>
          </cell>
          <cell r="N992" t="str">
            <v>ABIDJAN</v>
          </cell>
        </row>
        <row r="993">
          <cell r="B993" t="str">
            <v>ET005</v>
          </cell>
          <cell r="C993" t="str">
            <v>ATIESSO</v>
          </cell>
          <cell r="D993" t="str">
            <v>-4.06783</v>
          </cell>
          <cell r="E993" t="str">
            <v>5.4552</v>
          </cell>
          <cell r="F993" t="str">
            <v>2G/3G/4G</v>
          </cell>
          <cell r="G993" t="str">
            <v>ERICSSON</v>
          </cell>
          <cell r="H993" t="str">
            <v>MOOV</v>
          </cell>
          <cell r="I993" t="str">
            <v>ANYAMA</v>
          </cell>
          <cell r="J993" t="str">
            <v>ANYAMA</v>
          </cell>
          <cell r="K993" t="str">
            <v>ABIDJAN</v>
          </cell>
          <cell r="L993" t="str">
            <v>ABIDJAN</v>
          </cell>
          <cell r="M993" t="str">
            <v>ABOBO</v>
          </cell>
          <cell r="N993" t="str">
            <v>ABIDJAN</v>
          </cell>
        </row>
        <row r="994">
          <cell r="B994" t="str">
            <v>ET006</v>
          </cell>
          <cell r="C994" t="str">
            <v>MARC_PT_MARCHE</v>
          </cell>
          <cell r="D994" t="str">
            <v>-3.9833</v>
          </cell>
          <cell r="E994" t="str">
            <v>5.3038</v>
          </cell>
          <cell r="F994" t="str">
            <v>2G/3G/4G</v>
          </cell>
          <cell r="G994" t="str">
            <v>ERICSSON</v>
          </cell>
          <cell r="H994" t="str">
            <v>IHS (OCI)</v>
          </cell>
          <cell r="I994" t="str">
            <v>MARCORY</v>
          </cell>
          <cell r="J994" t="str">
            <v>ABIDJAN</v>
          </cell>
          <cell r="K994" t="str">
            <v>ABIDJAN</v>
          </cell>
          <cell r="L994" t="str">
            <v>ABIDJAN</v>
          </cell>
          <cell r="M994" t="str">
            <v>MARCORY</v>
          </cell>
          <cell r="N994" t="str">
            <v>ABIDJAN</v>
          </cell>
        </row>
        <row r="995">
          <cell r="B995" t="str">
            <v>ET007</v>
          </cell>
          <cell r="C995" t="str">
            <v>NIANGON_MENUISIERIE</v>
          </cell>
          <cell r="D995" t="str">
            <v>-4.0926</v>
          </cell>
          <cell r="E995" t="str">
            <v>5.3308</v>
          </cell>
          <cell r="F995" t="str">
            <v>2G/3G/4G</v>
          </cell>
          <cell r="G995" t="str">
            <v>ERICSSON</v>
          </cell>
          <cell r="H995" t="str">
            <v>MOOV</v>
          </cell>
          <cell r="I995" t="str">
            <v>YOPOUGON</v>
          </cell>
          <cell r="J995" t="str">
            <v>ABIDJAN</v>
          </cell>
          <cell r="K995" t="str">
            <v>ABIDJAN</v>
          </cell>
          <cell r="L995" t="str">
            <v>ABIDJAN</v>
          </cell>
          <cell r="M995" t="str">
            <v>YOPOUGON FICGAYO</v>
          </cell>
          <cell r="N995" t="str">
            <v>ABIDJAN</v>
          </cell>
        </row>
        <row r="996">
          <cell r="B996" t="str">
            <v>ET008</v>
          </cell>
          <cell r="C996" t="str">
            <v>PLTX_SITARAIL</v>
          </cell>
          <cell r="D996" t="str">
            <v>-4.020098</v>
          </cell>
          <cell r="E996" t="str">
            <v>5.315705</v>
          </cell>
          <cell r="F996" t="str">
            <v>2G/3G/4G</v>
          </cell>
          <cell r="G996" t="str">
            <v>ERICSSON</v>
          </cell>
          <cell r="H996" t="str">
            <v>GREEN</v>
          </cell>
          <cell r="I996" t="str">
            <v>PLATEAU</v>
          </cell>
          <cell r="J996" t="str">
            <v>ABIDJAN</v>
          </cell>
          <cell r="K996" t="str">
            <v>ABIDJAN</v>
          </cell>
          <cell r="L996" t="str">
            <v>ABIDJAN</v>
          </cell>
          <cell r="M996" t="str">
            <v>PLATEAU</v>
          </cell>
          <cell r="N996" t="str">
            <v>ABIDJAN</v>
          </cell>
        </row>
        <row r="997">
          <cell r="B997" t="str">
            <v>ET009</v>
          </cell>
          <cell r="C997" t="str">
            <v>KOUM_CAMPEMENT</v>
          </cell>
          <cell r="D997" t="str">
            <v>-3.9369</v>
          </cell>
          <cell r="E997" t="str">
            <v>5.3074</v>
          </cell>
          <cell r="F997" t="str">
            <v>2G/3G/4G</v>
          </cell>
          <cell r="G997" t="str">
            <v>ERICSSON</v>
          </cell>
          <cell r="H997" t="str">
            <v>IHS (OCI)</v>
          </cell>
          <cell r="I997" t="str">
            <v>KOUMASSI</v>
          </cell>
          <cell r="J997" t="str">
            <v>ABIDJAN</v>
          </cell>
          <cell r="K997" t="str">
            <v>ABIDJAN</v>
          </cell>
          <cell r="L997" t="str">
            <v>ABIDJAN</v>
          </cell>
          <cell r="M997" t="str">
            <v>MARCORY</v>
          </cell>
          <cell r="N997" t="str">
            <v>ABIDJAN</v>
          </cell>
        </row>
        <row r="998">
          <cell r="B998" t="str">
            <v>ET010</v>
          </cell>
          <cell r="C998" t="str">
            <v>TEHINI</v>
          </cell>
          <cell r="D998" t="str">
            <v>-3.6667</v>
          </cell>
          <cell r="E998" t="str">
            <v>9.61511</v>
          </cell>
          <cell r="F998" t="str">
            <v>2G/3G/4G</v>
          </cell>
          <cell r="G998" t="str">
            <v>ERICSSON</v>
          </cell>
          <cell r="H998" t="str">
            <v>IDT</v>
          </cell>
          <cell r="I998" t="str">
            <v>TEHINI</v>
          </cell>
          <cell r="J998" t="str">
            <v>TEHINI</v>
          </cell>
          <cell r="K998" t="str">
            <v>TEHINI</v>
          </cell>
          <cell r="L998" t="str">
            <v>BOUNKANI</v>
          </cell>
          <cell r="M998" t="str">
            <v>ABENGOUROU</v>
          </cell>
          <cell r="N998" t="str">
            <v>UPCOUNTRY</v>
          </cell>
        </row>
        <row r="999">
          <cell r="B999" t="str">
            <v>ET011</v>
          </cell>
          <cell r="C999" t="str">
            <v>CERCLE_RAIL</v>
          </cell>
          <cell r="D999" t="str">
            <v>-4.0233</v>
          </cell>
          <cell r="E999" t="str">
            <v>5.3261</v>
          </cell>
          <cell r="F999" t="str">
            <v>2G/3G/4G</v>
          </cell>
          <cell r="G999" t="str">
            <v>ERICSSON</v>
          </cell>
          <cell r="H999" t="str">
            <v>MOOV</v>
          </cell>
          <cell r="I999" t="str">
            <v>PLATEAU</v>
          </cell>
          <cell r="J999" t="str">
            <v>ABIDJAN</v>
          </cell>
          <cell r="K999" t="str">
            <v>ABIDJAN</v>
          </cell>
          <cell r="L999" t="str">
            <v>ABIDJAN</v>
          </cell>
          <cell r="M999" t="str">
            <v>PLATEAU</v>
          </cell>
          <cell r="N999" t="str">
            <v>ABIDJAN</v>
          </cell>
        </row>
        <row r="1000">
          <cell r="B1000" t="str">
            <v>ET012</v>
          </cell>
          <cell r="C1000" t="str">
            <v>NANA_YAMOUSSO</v>
          </cell>
          <cell r="D1000" t="str">
            <v>-4.005167</v>
          </cell>
          <cell r="E1000" t="str">
            <v>5.306971</v>
          </cell>
          <cell r="F1000" t="str">
            <v>2G/3G/4G</v>
          </cell>
          <cell r="G1000" t="str">
            <v>ERICSSON</v>
          </cell>
          <cell r="H1000" t="str">
            <v>MOOV</v>
          </cell>
          <cell r="I1000" t="str">
            <v>TREICHVILLE</v>
          </cell>
          <cell r="J1000" t="str">
            <v>ABIDJAN</v>
          </cell>
          <cell r="K1000" t="str">
            <v>ABIDJAN</v>
          </cell>
          <cell r="L1000" t="str">
            <v>ABIDJAN</v>
          </cell>
          <cell r="M1000" t="str">
            <v>PLATEAU</v>
          </cell>
          <cell r="N1000" t="str">
            <v>ABIDJAN</v>
          </cell>
        </row>
        <row r="1001">
          <cell r="B1001" t="str">
            <v>ET013</v>
          </cell>
          <cell r="C1001" t="str">
            <v>TREICH_BELLEVILLE</v>
          </cell>
          <cell r="D1001" t="str">
            <v>-4.00098</v>
          </cell>
          <cell r="E1001" t="str">
            <v>5.30521</v>
          </cell>
          <cell r="F1001" t="str">
            <v>2G/3G/4G</v>
          </cell>
          <cell r="G1001" t="str">
            <v>ERICSSON</v>
          </cell>
          <cell r="H1001" t="str">
            <v>CAFE MOBILE</v>
          </cell>
          <cell r="I1001" t="str">
            <v>TREICHVILLE</v>
          </cell>
          <cell r="J1001" t="str">
            <v>ABIDJAN</v>
          </cell>
          <cell r="K1001" t="str">
            <v>ABIDJAN</v>
          </cell>
          <cell r="L1001" t="str">
            <v>ABIDJAN</v>
          </cell>
          <cell r="M1001" t="str">
            <v>PLATEAU</v>
          </cell>
          <cell r="N1001" t="str">
            <v>ABIDJAN</v>
          </cell>
        </row>
        <row r="1002">
          <cell r="B1002" t="str">
            <v>ET014</v>
          </cell>
          <cell r="C1002" t="str">
            <v>MARC_HARIS</v>
          </cell>
          <cell r="D1002" t="str">
            <v>-3.9738</v>
          </cell>
          <cell r="E1002" t="str">
            <v>5.3065</v>
          </cell>
          <cell r="F1002" t="str">
            <v>2G/3G/4G</v>
          </cell>
          <cell r="G1002" t="str">
            <v>ERICSSON</v>
          </cell>
          <cell r="H1002" t="str">
            <v>MOOV</v>
          </cell>
          <cell r="I1002" t="str">
            <v>MARCORY</v>
          </cell>
          <cell r="J1002" t="str">
            <v>ABIDJAN</v>
          </cell>
          <cell r="K1002" t="str">
            <v>ABIDJAN</v>
          </cell>
          <cell r="L1002" t="str">
            <v>ABIDJAN</v>
          </cell>
          <cell r="M1002" t="str">
            <v>MARCORY</v>
          </cell>
          <cell r="N1002" t="str">
            <v>ABIDJAN</v>
          </cell>
        </row>
        <row r="1003">
          <cell r="B1003" t="str">
            <v>ET015</v>
          </cell>
          <cell r="C1003" t="str">
            <v>MARC_HIBISCUS</v>
          </cell>
          <cell r="D1003" t="str">
            <v>-3.980458</v>
          </cell>
          <cell r="E1003" t="str">
            <v>5.298757</v>
          </cell>
          <cell r="F1003" t="str">
            <v>2G/3G/4G</v>
          </cell>
          <cell r="G1003" t="str">
            <v>ERICSSON</v>
          </cell>
          <cell r="H1003" t="str">
            <v>MOOV</v>
          </cell>
          <cell r="I1003" t="str">
            <v>MARCORY</v>
          </cell>
          <cell r="J1003" t="str">
            <v>ABIDJAN</v>
          </cell>
          <cell r="K1003" t="str">
            <v>ABIDJAN</v>
          </cell>
          <cell r="L1003" t="str">
            <v>ABIDJAN</v>
          </cell>
          <cell r="M1003" t="str">
            <v>MARCORY</v>
          </cell>
          <cell r="N1003" t="str">
            <v>ABIDJAN</v>
          </cell>
        </row>
        <row r="1004">
          <cell r="B1004" t="str">
            <v>ET016</v>
          </cell>
          <cell r="C1004" t="str">
            <v>KOUM_HOTEL_ALLIANCE</v>
          </cell>
          <cell r="D1004" t="str">
            <v>-3.9571</v>
          </cell>
          <cell r="E1004" t="str">
            <v>5.2935</v>
          </cell>
          <cell r="F1004" t="str">
            <v>2G/3G/4G</v>
          </cell>
          <cell r="G1004" t="str">
            <v>ERICSSON</v>
          </cell>
          <cell r="H1004" t="str">
            <v>MOOV</v>
          </cell>
          <cell r="I1004" t="str">
            <v>KOUMASSI</v>
          </cell>
          <cell r="J1004" t="str">
            <v>ABIDJAN</v>
          </cell>
          <cell r="K1004" t="str">
            <v>ABIDJAN</v>
          </cell>
          <cell r="L1004" t="str">
            <v>ABIDJAN</v>
          </cell>
          <cell r="M1004" t="str">
            <v>MARCORY</v>
          </cell>
          <cell r="N1004" t="str">
            <v>ABIDJAN</v>
          </cell>
        </row>
        <row r="1005">
          <cell r="B1005" t="str">
            <v>ET017</v>
          </cell>
          <cell r="C1005" t="str">
            <v>ASSOMPTION</v>
          </cell>
          <cell r="D1005" t="str">
            <v>-4.05872777777778</v>
          </cell>
          <cell r="E1005" t="str">
            <v>5.33838888888889</v>
          </cell>
          <cell r="F1005" t="str">
            <v>2G/3G/4G</v>
          </cell>
          <cell r="G1005" t="str">
            <v>ERICSSON</v>
          </cell>
          <cell r="H1005" t="str">
            <v>IHS</v>
          </cell>
          <cell r="I1005" t="str">
            <v>YOPOUGON</v>
          </cell>
          <cell r="J1005" t="str">
            <v>ABIDJAN</v>
          </cell>
          <cell r="K1005" t="str">
            <v>ABIDJAN</v>
          </cell>
          <cell r="L1005" t="str">
            <v>ABIDJAN</v>
          </cell>
          <cell r="M1005" t="str">
            <v>YOPOUGON SABLE</v>
          </cell>
          <cell r="N1005" t="str">
            <v>ABIDJAN</v>
          </cell>
        </row>
        <row r="1006">
          <cell r="B1006" t="str">
            <v>ET018</v>
          </cell>
          <cell r="C1006" t="str">
            <v>ABATTOIRE</v>
          </cell>
          <cell r="D1006" t="str">
            <v>-3.9767</v>
          </cell>
          <cell r="E1006" t="str">
            <v>5.2616</v>
          </cell>
          <cell r="F1006" t="str">
            <v>2G/3G/4G</v>
          </cell>
          <cell r="G1006" t="str">
            <v>ERICSSON</v>
          </cell>
          <cell r="H1006" t="str">
            <v>IHS (OCI)</v>
          </cell>
          <cell r="I1006" t="str">
            <v>TREICHVILLE</v>
          </cell>
          <cell r="J1006" t="str">
            <v>ABIDJAN</v>
          </cell>
          <cell r="K1006" t="str">
            <v>ABIDJAN</v>
          </cell>
          <cell r="L1006" t="str">
            <v>ABIDJAN</v>
          </cell>
          <cell r="M1006" t="str">
            <v>MARCORY</v>
          </cell>
          <cell r="N1006" t="str">
            <v>ABIDJAN</v>
          </cell>
        </row>
        <row r="1007">
          <cell r="B1007" t="str">
            <v>ET019</v>
          </cell>
          <cell r="C1007" t="str">
            <v>BLACK_MARKET</v>
          </cell>
          <cell r="D1007" t="str">
            <v>-4.0238</v>
          </cell>
          <cell r="E1007" t="str">
            <v>5.3537</v>
          </cell>
          <cell r="F1007" t="str">
            <v>2G/3G/4G</v>
          </cell>
          <cell r="G1007" t="str">
            <v>ERICSSON</v>
          </cell>
          <cell r="H1007" t="str">
            <v>IHS (MTN)</v>
          </cell>
          <cell r="I1007" t="str">
            <v>ADJAME</v>
          </cell>
          <cell r="J1007" t="str">
            <v>ABIDJAN</v>
          </cell>
          <cell r="K1007" t="str">
            <v>ABIDJAN</v>
          </cell>
          <cell r="L1007" t="str">
            <v>ABIDJAN</v>
          </cell>
          <cell r="M1007" t="str">
            <v>PLATEAU</v>
          </cell>
          <cell r="N1007" t="str">
            <v>ABIDJAN</v>
          </cell>
        </row>
        <row r="1008">
          <cell r="B1008" t="str">
            <v>ET020</v>
          </cell>
          <cell r="C1008" t="str">
            <v>MPOUTO_CIAD</v>
          </cell>
          <cell r="D1008" t="str">
            <v>-3.9501</v>
          </cell>
          <cell r="E1008" t="str">
            <v>5.3289</v>
          </cell>
          <cell r="F1008" t="str">
            <v>2G/3G/4G</v>
          </cell>
          <cell r="G1008" t="str">
            <v>ERICSSON</v>
          </cell>
          <cell r="H1008" t="str">
            <v>OCI</v>
          </cell>
          <cell r="I1008" t="str">
            <v>COCODY</v>
          </cell>
          <cell r="J1008" t="str">
            <v>ABIDJAN</v>
          </cell>
          <cell r="K1008" t="str">
            <v>ABIDJAN</v>
          </cell>
          <cell r="L1008" t="str">
            <v>ABIDJAN</v>
          </cell>
          <cell r="M1008" t="str">
            <v>COCODY CENTRE</v>
          </cell>
          <cell r="N1008" t="str">
            <v>ABIDJAN</v>
          </cell>
        </row>
        <row r="1009">
          <cell r="B1009" t="str">
            <v>ET021</v>
          </cell>
          <cell r="C1009" t="str">
            <v>2PLTX_STARTEN</v>
          </cell>
          <cell r="D1009" t="str">
            <v>-3.99203</v>
          </cell>
          <cell r="E1009" t="str">
            <v>5.388663</v>
          </cell>
          <cell r="F1009" t="str">
            <v>2G/3G/4G</v>
          </cell>
          <cell r="G1009" t="str">
            <v>ERICSSON</v>
          </cell>
          <cell r="H1009" t="str">
            <v>MOOV</v>
          </cell>
          <cell r="I1009" t="str">
            <v>COCODY</v>
          </cell>
          <cell r="J1009" t="str">
            <v>ABIDJAN</v>
          </cell>
          <cell r="K1009" t="str">
            <v>ABIDJAN</v>
          </cell>
          <cell r="L1009" t="str">
            <v>ABIDJAN</v>
          </cell>
          <cell r="M1009" t="str">
            <v>COCODY LATRILLE</v>
          </cell>
          <cell r="N1009" t="str">
            <v>ABIDJAN</v>
          </cell>
        </row>
        <row r="1010">
          <cell r="B1010" t="str">
            <v>ET023</v>
          </cell>
          <cell r="C1010" t="str">
            <v>FAYA_ST_PAUL</v>
          </cell>
          <cell r="D1010" t="str">
            <v>-3.934</v>
          </cell>
          <cell r="E1010" t="str">
            <v>5.3678</v>
          </cell>
          <cell r="F1010" t="str">
            <v>2G/3G/4G</v>
          </cell>
          <cell r="G1010" t="str">
            <v>ERICSSON</v>
          </cell>
          <cell r="H1010" t="str">
            <v>MOOV</v>
          </cell>
          <cell r="I1010" t="str">
            <v>COCODY</v>
          </cell>
          <cell r="J1010" t="str">
            <v>ABIDJAN</v>
          </cell>
          <cell r="K1010" t="str">
            <v>ABIDJAN</v>
          </cell>
          <cell r="L1010" t="str">
            <v>ABIDJAN</v>
          </cell>
          <cell r="M1010" t="str">
            <v>COCODY CENTRE</v>
          </cell>
          <cell r="N1010" t="str">
            <v>ABIDJAN</v>
          </cell>
        </row>
        <row r="1011">
          <cell r="B1011" t="str">
            <v>ET024</v>
          </cell>
          <cell r="C1011" t="str">
            <v>IPNETP</v>
          </cell>
          <cell r="D1011" t="str">
            <v>-4.0092</v>
          </cell>
          <cell r="E1011" t="str">
            <v>5.3482</v>
          </cell>
          <cell r="F1011" t="str">
            <v>2G/3G/4G</v>
          </cell>
          <cell r="G1011" t="str">
            <v>ERICSSON</v>
          </cell>
          <cell r="H1011" t="str">
            <v>IHS (OCI)</v>
          </cell>
          <cell r="I1011" t="str">
            <v>COCODY</v>
          </cell>
          <cell r="J1011" t="str">
            <v>ABIDJAN</v>
          </cell>
          <cell r="K1011" t="str">
            <v>ABIDJAN</v>
          </cell>
          <cell r="L1011" t="str">
            <v>ABIDJAN</v>
          </cell>
          <cell r="M1011" t="str">
            <v>COCODY CENTRE</v>
          </cell>
          <cell r="N1011" t="str">
            <v>ABIDJAN</v>
          </cell>
        </row>
        <row r="1012">
          <cell r="B1012" t="str">
            <v>ET025</v>
          </cell>
          <cell r="C1012" t="str">
            <v>RESDCE_KIMI3</v>
          </cell>
          <cell r="D1012" t="str">
            <v>-3.9763</v>
          </cell>
          <cell r="E1012" t="str">
            <v>5.3987</v>
          </cell>
          <cell r="F1012" t="str">
            <v>2G/3G/4G</v>
          </cell>
          <cell r="G1012" t="str">
            <v>ERICSSON</v>
          </cell>
          <cell r="H1012" t="str">
            <v>MOOV</v>
          </cell>
          <cell r="I1012" t="str">
            <v>COCODY</v>
          </cell>
          <cell r="J1012" t="str">
            <v>ABIDJAN</v>
          </cell>
          <cell r="K1012" t="str">
            <v>ABIDJAN</v>
          </cell>
          <cell r="L1012" t="str">
            <v>ABIDJAN</v>
          </cell>
          <cell r="M1012" t="str">
            <v>COCODY LATRILLE</v>
          </cell>
          <cell r="N1012" t="str">
            <v>ABIDJAN</v>
          </cell>
        </row>
        <row r="1013">
          <cell r="B1013" t="str">
            <v>ET027</v>
          </cell>
          <cell r="C1013" t="str">
            <v>SIB_RIV3</v>
          </cell>
          <cell r="D1013" t="str">
            <v>-3.959666</v>
          </cell>
          <cell r="E1013" t="str">
            <v>5.354689</v>
          </cell>
          <cell r="F1013" t="str">
            <v>2G/3G/4G</v>
          </cell>
          <cell r="G1013" t="str">
            <v>ERICSSON</v>
          </cell>
          <cell r="H1013" t="str">
            <v>MOOV</v>
          </cell>
          <cell r="I1013" t="str">
            <v>COCODY</v>
          </cell>
          <cell r="J1013" t="str">
            <v>ABIDJAN</v>
          </cell>
          <cell r="K1013" t="str">
            <v>ABIDJAN</v>
          </cell>
          <cell r="L1013" t="str">
            <v>ABIDJAN</v>
          </cell>
          <cell r="M1013" t="str">
            <v>COCODY CENTRE</v>
          </cell>
          <cell r="N1013" t="str">
            <v>ABIDJAN</v>
          </cell>
        </row>
        <row r="1014">
          <cell r="B1014" t="str">
            <v>ET028</v>
          </cell>
          <cell r="C1014" t="str">
            <v>ADJAME_BINGES</v>
          </cell>
          <cell r="D1014" t="str">
            <v>-3.8729</v>
          </cell>
          <cell r="E1014" t="str">
            <v>5.3479</v>
          </cell>
          <cell r="F1014" t="str">
            <v>2G/3G/4G</v>
          </cell>
          <cell r="G1014" t="str">
            <v>ERICSSON</v>
          </cell>
          <cell r="H1014" t="str">
            <v>IHS (MTN)</v>
          </cell>
          <cell r="I1014" t="str">
            <v>BINGERVILLE</v>
          </cell>
          <cell r="J1014" t="str">
            <v>BINGERVILLE</v>
          </cell>
          <cell r="K1014" t="str">
            <v>ABIDJAN</v>
          </cell>
          <cell r="L1014" t="str">
            <v>ABIDJAN</v>
          </cell>
          <cell r="M1014" t="str">
            <v>COCODY LATRILLE</v>
          </cell>
          <cell r="N1014" t="str">
            <v>ABIDJAN</v>
          </cell>
        </row>
        <row r="1015">
          <cell r="B1015" t="str">
            <v>ET029</v>
          </cell>
          <cell r="C1015" t="str">
            <v>DOKUI_COLOMBE</v>
          </cell>
          <cell r="D1015" t="str">
            <v>-4.0021</v>
          </cell>
          <cell r="E1015" t="str">
            <v>5.3919</v>
          </cell>
          <cell r="F1015" t="str">
            <v>2G/3G/4G</v>
          </cell>
          <cell r="G1015" t="str">
            <v>ERICSSON</v>
          </cell>
          <cell r="H1015" t="str">
            <v>MOOV</v>
          </cell>
          <cell r="I1015" t="str">
            <v>COCODY</v>
          </cell>
          <cell r="J1015" t="str">
            <v>ABIDJAN</v>
          </cell>
          <cell r="K1015" t="str">
            <v>ABIDJAN</v>
          </cell>
          <cell r="L1015" t="str">
            <v>ABIDJAN</v>
          </cell>
          <cell r="M1015" t="str">
            <v>ABOBO</v>
          </cell>
          <cell r="N1015" t="str">
            <v>ABIDJAN</v>
          </cell>
        </row>
        <row r="1016">
          <cell r="B1016" t="str">
            <v>ET030</v>
          </cell>
          <cell r="C1016" t="str">
            <v>MICRO_MARCORY_CARREFOUR</v>
          </cell>
          <cell r="D1016" t="str">
            <v>-3.992354</v>
          </cell>
          <cell r="E1016" t="str">
            <v>5.302287</v>
          </cell>
          <cell r="F1016" t="str">
            <v>2G/3G/4G</v>
          </cell>
          <cell r="G1016" t="str">
            <v>ERICSSON</v>
          </cell>
          <cell r="H1016" t="str">
            <v>MOOV</v>
          </cell>
          <cell r="I1016" t="str">
            <v>MARCORY</v>
          </cell>
          <cell r="J1016" t="str">
            <v>ABIDJAN</v>
          </cell>
          <cell r="K1016" t="str">
            <v>ABIDJAN</v>
          </cell>
          <cell r="L1016" t="str">
            <v>ABIDJAN</v>
          </cell>
          <cell r="M1016" t="str">
            <v>MARCORY</v>
          </cell>
          <cell r="N1016" t="str">
            <v>ABIDJAN</v>
          </cell>
        </row>
        <row r="1017">
          <cell r="B1017" t="str">
            <v>ET033</v>
          </cell>
          <cell r="C1017" t="str">
            <v>MICRO_COSMOS</v>
          </cell>
          <cell r="D1017" t="str">
            <v>-4.074531</v>
          </cell>
          <cell r="E1017" t="str">
            <v>5.349208</v>
          </cell>
          <cell r="F1017" t="str">
            <v>2G/3G/4G</v>
          </cell>
          <cell r="G1017" t="str">
            <v>ERICSSON</v>
          </cell>
          <cell r="H1017" t="str">
            <v>MOOV</v>
          </cell>
          <cell r="I1017" t="str">
            <v>YOPOUGON</v>
          </cell>
          <cell r="J1017" t="str">
            <v>ABIDJAN</v>
          </cell>
          <cell r="K1017" t="str">
            <v>ABIDJAN</v>
          </cell>
          <cell r="L1017" t="str">
            <v>ABIDJAN</v>
          </cell>
          <cell r="M1017" t="str">
            <v>YOPOUGON FICGAYO</v>
          </cell>
          <cell r="N1017" t="str">
            <v>ABIDJAN</v>
          </cell>
        </row>
        <row r="1018">
          <cell r="B1018" t="str">
            <v>ET034</v>
          </cell>
          <cell r="C1018" t="str">
            <v>MICRO_TOUR_A</v>
          </cell>
          <cell r="D1018" t="str">
            <v>-4.022511</v>
          </cell>
          <cell r="E1018" t="str">
            <v>5.334356</v>
          </cell>
          <cell r="F1018" t="str">
            <v>3G/4G</v>
          </cell>
          <cell r="G1018" t="str">
            <v>ERICSSON</v>
          </cell>
          <cell r="H1018" t="str">
            <v>MOOV</v>
          </cell>
          <cell r="I1018" t="str">
            <v>PLATEAU</v>
          </cell>
          <cell r="J1018" t="str">
            <v>ABIDJAN</v>
          </cell>
          <cell r="K1018" t="str">
            <v>ABIDJAN</v>
          </cell>
          <cell r="L1018" t="str">
            <v>ABIDJAN</v>
          </cell>
          <cell r="M1018" t="str">
            <v>PLATEAU</v>
          </cell>
          <cell r="N1018" t="str">
            <v>ABIDJAN</v>
          </cell>
        </row>
        <row r="1019">
          <cell r="B1019" t="str">
            <v>ET035</v>
          </cell>
          <cell r="C1019" t="str">
            <v>MICRO_TOUR_B</v>
          </cell>
          <cell r="D1019" t="str">
            <v>-4.02285</v>
          </cell>
          <cell r="E1019" t="str">
            <v>5.333828</v>
          </cell>
          <cell r="F1019" t="str">
            <v>3G/4G</v>
          </cell>
          <cell r="G1019" t="str">
            <v>ERICSSON</v>
          </cell>
          <cell r="H1019" t="str">
            <v>MOOV</v>
          </cell>
          <cell r="I1019" t="str">
            <v>PLATEAU</v>
          </cell>
          <cell r="J1019" t="str">
            <v>ABIDJAN</v>
          </cell>
          <cell r="K1019" t="str">
            <v>ABIDJAN</v>
          </cell>
          <cell r="L1019" t="str">
            <v>ABIDJAN</v>
          </cell>
          <cell r="M1019" t="str">
            <v>PLATEAU</v>
          </cell>
          <cell r="N1019" t="str">
            <v>ABIDJAN</v>
          </cell>
        </row>
        <row r="1020">
          <cell r="B1020" t="str">
            <v>ET038</v>
          </cell>
          <cell r="C1020" t="str">
            <v>MICRO_TOUR_E</v>
          </cell>
          <cell r="D1020" t="str">
            <v>-4.02314</v>
          </cell>
          <cell r="E1020" t="str">
            <v>5.33515</v>
          </cell>
          <cell r="F1020" t="str">
            <v>3G/4G</v>
          </cell>
          <cell r="G1020" t="str">
            <v>ERICSSON</v>
          </cell>
          <cell r="H1020" t="str">
            <v>MOOV</v>
          </cell>
          <cell r="I1020" t="str">
            <v>PLATEAU</v>
          </cell>
          <cell r="J1020" t="str">
            <v>ABIDJAN</v>
          </cell>
          <cell r="K1020" t="str">
            <v>ABIDJAN</v>
          </cell>
          <cell r="L1020" t="str">
            <v>ABIDJAN</v>
          </cell>
          <cell r="M1020" t="str">
            <v>PLATEAU</v>
          </cell>
          <cell r="N1020" t="str">
            <v>ABIDJAN</v>
          </cell>
        </row>
        <row r="1021">
          <cell r="B1021" t="str">
            <v>ET040</v>
          </cell>
          <cell r="C1021" t="str">
            <v>MICRO_PLTX_PRESIDENCE_2</v>
          </cell>
          <cell r="D1021" t="str">
            <v>-4.020063</v>
          </cell>
          <cell r="E1021" t="str">
            <v>5.317916</v>
          </cell>
          <cell r="F1021" t="str">
            <v>2G/3G/4G</v>
          </cell>
          <cell r="G1021" t="str">
            <v>ERICSSON</v>
          </cell>
          <cell r="H1021" t="str">
            <v>MOOV</v>
          </cell>
          <cell r="I1021" t="str">
            <v>PLATEAU</v>
          </cell>
          <cell r="J1021" t="str">
            <v>ABIDJAN</v>
          </cell>
          <cell r="K1021" t="str">
            <v>ABIDJAN</v>
          </cell>
          <cell r="L1021" t="str">
            <v>ABIDJAN</v>
          </cell>
          <cell r="M1021" t="str">
            <v>PLATEAU</v>
          </cell>
          <cell r="N1021" t="str">
            <v>ABIDJAN</v>
          </cell>
        </row>
        <row r="1022">
          <cell r="B1022" t="str">
            <v>ET041</v>
          </cell>
          <cell r="C1022" t="str">
            <v>MICRO_AEROPORT</v>
          </cell>
          <cell r="D1022" t="str">
            <v>-3.932774</v>
          </cell>
          <cell r="E1022" t="str">
            <v>5.255038</v>
          </cell>
          <cell r="F1022" t="str">
            <v>2G/3G/4G</v>
          </cell>
          <cell r="G1022" t="str">
            <v>HUAWEI</v>
          </cell>
          <cell r="H1022" t="str">
            <v>MOOV</v>
          </cell>
          <cell r="I1022" t="str">
            <v>PORT-BOUET</v>
          </cell>
          <cell r="J1022" t="str">
            <v>ABIDJAN</v>
          </cell>
          <cell r="K1022" t="str">
            <v>ABIDJAN</v>
          </cell>
          <cell r="L1022" t="str">
            <v>ABIDJAN</v>
          </cell>
          <cell r="M1022" t="str">
            <v>MARCORY</v>
          </cell>
          <cell r="N1022" t="str">
            <v>ABIDJAN</v>
          </cell>
        </row>
        <row r="1023">
          <cell r="B1023" t="str">
            <v>ET054</v>
          </cell>
          <cell r="C1023" t="str">
            <v>ABADJIN_KOUTE_2</v>
          </cell>
          <cell r="D1023" t="str">
            <v>-4.14177</v>
          </cell>
          <cell r="E1023" t="str">
            <v>5.3265</v>
          </cell>
          <cell r="F1023" t="str">
            <v>2G/3G/4G</v>
          </cell>
          <cell r="G1023" t="str">
            <v>ERICSSON</v>
          </cell>
          <cell r="H1023" t="str">
            <v>OCI</v>
          </cell>
          <cell r="I1023" t="str">
            <v>ABADJIN-KOUTE</v>
          </cell>
          <cell r="J1023" t="str">
            <v>SONGON</v>
          </cell>
          <cell r="K1023" t="str">
            <v>ABIDJAN</v>
          </cell>
          <cell r="L1023" t="str">
            <v>ABIDJAN</v>
          </cell>
          <cell r="M1023" t="str">
            <v>YOPOUGON FICGAYO</v>
          </cell>
          <cell r="N1023" t="str">
            <v>ABIDJAN</v>
          </cell>
        </row>
        <row r="1024">
          <cell r="B1024" t="str">
            <v>ET055</v>
          </cell>
          <cell r="C1024" t="str">
            <v>GROUPEMENT</v>
          </cell>
          <cell r="D1024" t="str">
            <v>-4.05745277777778</v>
          </cell>
          <cell r="E1024" t="str">
            <v>5.35065833333333</v>
          </cell>
          <cell r="F1024" t="str">
            <v>2G/3G/4G</v>
          </cell>
          <cell r="G1024" t="str">
            <v>ERICSSON</v>
          </cell>
          <cell r="H1024" t="str">
            <v>IHS</v>
          </cell>
          <cell r="I1024" t="str">
            <v>YOPOUGON</v>
          </cell>
          <cell r="J1024" t="str">
            <v>ABIDJAN</v>
          </cell>
          <cell r="K1024" t="str">
            <v>ABIDJAN</v>
          </cell>
          <cell r="L1024" t="str">
            <v>ABIDJAN</v>
          </cell>
          <cell r="M1024" t="str">
            <v>YOPOUGON SABLE</v>
          </cell>
          <cell r="N1024" t="str">
            <v>ABIDJAN</v>
          </cell>
        </row>
        <row r="1025">
          <cell r="B1025" t="str">
            <v>ET056</v>
          </cell>
          <cell r="C1025" t="str">
            <v>CITE_MARINA</v>
          </cell>
          <cell r="D1025" t="str">
            <v>-3.90761</v>
          </cell>
          <cell r="E1025" t="str">
            <v>5.36548</v>
          </cell>
          <cell r="F1025" t="str">
            <v>2G/3G/4G</v>
          </cell>
          <cell r="G1025" t="str">
            <v>ERICSSON</v>
          </cell>
          <cell r="H1025" t="str">
            <v>MOOV</v>
          </cell>
          <cell r="I1025" t="str">
            <v>BINGERVILLE</v>
          </cell>
          <cell r="J1025" t="str">
            <v>BINGERVILLE</v>
          </cell>
          <cell r="K1025" t="str">
            <v>ABIDJAN</v>
          </cell>
          <cell r="L1025" t="str">
            <v>ABIDJAN</v>
          </cell>
          <cell r="M1025" t="str">
            <v>COCODY LATRILLE</v>
          </cell>
          <cell r="N1025" t="str">
            <v>ABIDJAN</v>
          </cell>
        </row>
        <row r="1026">
          <cell r="B1026" t="str">
            <v>ET057</v>
          </cell>
          <cell r="C1026" t="str">
            <v>SYNATRESOR</v>
          </cell>
          <cell r="D1026" t="str">
            <v>-3.92208</v>
          </cell>
          <cell r="E1026" t="str">
            <v>5.36989</v>
          </cell>
          <cell r="F1026" t="str">
            <v>2G/3G/4G</v>
          </cell>
          <cell r="G1026" t="str">
            <v>ERICSSON</v>
          </cell>
          <cell r="H1026" t="str">
            <v>MOOV</v>
          </cell>
          <cell r="I1026" t="str">
            <v>BINGERVILLE</v>
          </cell>
          <cell r="J1026" t="str">
            <v>BINGERVILLE</v>
          </cell>
          <cell r="K1026" t="str">
            <v>ABIDJAN</v>
          </cell>
          <cell r="L1026" t="str">
            <v>ABIDJAN</v>
          </cell>
          <cell r="M1026" t="str">
            <v>COCODY CENTRE</v>
          </cell>
          <cell r="N1026" t="str">
            <v>ABIDJAN</v>
          </cell>
        </row>
        <row r="1027">
          <cell r="B1027" t="str">
            <v>ET058</v>
          </cell>
          <cell r="C1027" t="str">
            <v>BLANCHON_EXTENSION</v>
          </cell>
          <cell r="D1027" t="str">
            <v>-3.88112777777778</v>
          </cell>
          <cell r="E1027" t="str">
            <v>5.33225555555556</v>
          </cell>
          <cell r="F1027" t="str">
            <v>2G/3G/4G</v>
          </cell>
          <cell r="G1027" t="str">
            <v>ERICSSON</v>
          </cell>
          <cell r="H1027" t="str">
            <v>IHS</v>
          </cell>
          <cell r="I1027" t="str">
            <v>BINGERVILLE</v>
          </cell>
          <cell r="J1027" t="str">
            <v>BINGERVILLE</v>
          </cell>
          <cell r="K1027" t="str">
            <v>ABIDJAN</v>
          </cell>
          <cell r="L1027" t="str">
            <v>ABIDJAN</v>
          </cell>
          <cell r="M1027" t="str">
            <v>COCODY LATRILLE</v>
          </cell>
          <cell r="N1027" t="str">
            <v>ABIDJAN</v>
          </cell>
        </row>
        <row r="1028">
          <cell r="B1028" t="str">
            <v>ET059</v>
          </cell>
          <cell r="C1028" t="str">
            <v>PK18_OCPV</v>
          </cell>
          <cell r="D1028" t="str">
            <v>-4.05133888888889</v>
          </cell>
          <cell r="E1028" t="str">
            <v>5.44768888888889</v>
          </cell>
          <cell r="F1028" t="str">
            <v>2G/3G/4G</v>
          </cell>
          <cell r="G1028" t="str">
            <v>ERICSSON</v>
          </cell>
          <cell r="H1028" t="str">
            <v>IHS</v>
          </cell>
          <cell r="I1028" t="str">
            <v>ABOBO</v>
          </cell>
          <cell r="J1028" t="str">
            <v>ABIDJAN</v>
          </cell>
          <cell r="K1028" t="str">
            <v>ABIDJAN</v>
          </cell>
          <cell r="L1028" t="str">
            <v>ABIDJAN</v>
          </cell>
          <cell r="M1028" t="str">
            <v>ABOBO</v>
          </cell>
          <cell r="N1028" t="str">
            <v>ABIDJAN</v>
          </cell>
        </row>
        <row r="1029">
          <cell r="B1029" t="str">
            <v>ET060</v>
          </cell>
          <cell r="C1029" t="str">
            <v>STE_RITA</v>
          </cell>
          <cell r="D1029" t="str">
            <v>-4.06028</v>
          </cell>
          <cell r="E1029" t="str">
            <v>5.43472</v>
          </cell>
          <cell r="F1029" t="str">
            <v>2G/3G/4G</v>
          </cell>
          <cell r="G1029" t="str">
            <v>ERICSSON</v>
          </cell>
          <cell r="H1029" t="str">
            <v>IHS</v>
          </cell>
          <cell r="I1029" t="str">
            <v>ABOBO</v>
          </cell>
          <cell r="J1029" t="str">
            <v>ABIDJAN</v>
          </cell>
          <cell r="K1029" t="str">
            <v>ABIDJAN</v>
          </cell>
          <cell r="L1029" t="str">
            <v>ABIDJAN</v>
          </cell>
          <cell r="M1029" t="str">
            <v>ABOBO</v>
          </cell>
          <cell r="N1029" t="str">
            <v>ABIDJAN</v>
          </cell>
        </row>
        <row r="1030">
          <cell r="B1030" t="str">
            <v>ET061</v>
          </cell>
          <cell r="C1030" t="str">
            <v>MBADON_EXTENSION</v>
          </cell>
          <cell r="D1030" t="str">
            <v>-3.937894</v>
          </cell>
          <cell r="E1030" t="str">
            <v>5.335348</v>
          </cell>
          <cell r="F1030" t="str">
            <v>2G/3G/4G</v>
          </cell>
          <cell r="G1030" t="str">
            <v>ERICSSON</v>
          </cell>
          <cell r="H1030" t="str">
            <v>MOOV</v>
          </cell>
          <cell r="I1030" t="str">
            <v>COCODY</v>
          </cell>
          <cell r="J1030" t="str">
            <v>ABIDJAN</v>
          </cell>
          <cell r="K1030" t="str">
            <v>ABIDJAN</v>
          </cell>
          <cell r="L1030" t="str">
            <v>ABIDJAN</v>
          </cell>
          <cell r="M1030" t="str">
            <v>COCODY CENTRE</v>
          </cell>
          <cell r="N1030" t="str">
            <v>ABIDJAN</v>
          </cell>
        </row>
        <row r="1031">
          <cell r="B1031" t="str">
            <v>ET062</v>
          </cell>
          <cell r="C1031" t="str">
            <v>PHRCIE_BONOUMIN</v>
          </cell>
          <cell r="D1031" t="str">
            <v>-3.97005</v>
          </cell>
          <cell r="E1031" t="str">
            <v>5.3621</v>
          </cell>
          <cell r="F1031" t="str">
            <v>2G/3G/4G</v>
          </cell>
          <cell r="G1031" t="str">
            <v>ERICSSON</v>
          </cell>
          <cell r="H1031" t="str">
            <v>MOOV</v>
          </cell>
          <cell r="I1031" t="str">
            <v>COCODY</v>
          </cell>
          <cell r="J1031" t="str">
            <v>ABIDJAN</v>
          </cell>
          <cell r="K1031" t="str">
            <v>ABIDJAN</v>
          </cell>
          <cell r="L1031" t="str">
            <v>ABIDJAN</v>
          </cell>
          <cell r="M1031" t="str">
            <v>COCODY LATRILLE</v>
          </cell>
          <cell r="N1031" t="str">
            <v>ABIDJAN</v>
          </cell>
        </row>
        <row r="1032">
          <cell r="B1032" t="str">
            <v>ET063</v>
          </cell>
          <cell r="C1032" t="str">
            <v>COCODY_MAIRIE</v>
          </cell>
          <cell r="D1032" t="str">
            <v>-4.001358</v>
          </cell>
          <cell r="E1032" t="str">
            <v>5.334331</v>
          </cell>
          <cell r="F1032" t="str">
            <v>2G/3G/4G</v>
          </cell>
          <cell r="G1032" t="str">
            <v>ERICSSON</v>
          </cell>
          <cell r="H1032" t="str">
            <v>IHS</v>
          </cell>
          <cell r="I1032" t="str">
            <v>COCODY</v>
          </cell>
          <cell r="J1032" t="str">
            <v>ABIDJAN</v>
          </cell>
          <cell r="K1032" t="str">
            <v>ABIDJAN</v>
          </cell>
          <cell r="L1032" t="str">
            <v>ABIDJAN</v>
          </cell>
          <cell r="M1032" t="str">
            <v>COCODY CENTRE</v>
          </cell>
          <cell r="N1032" t="str">
            <v>ABIDJAN</v>
          </cell>
        </row>
        <row r="1033">
          <cell r="B1033" t="str">
            <v>ET064</v>
          </cell>
          <cell r="C1033" t="str">
            <v>MONDOUKOU</v>
          </cell>
          <cell r="D1033" t="str">
            <v>-3.68231</v>
          </cell>
          <cell r="E1033" t="str">
            <v>5.18672</v>
          </cell>
          <cell r="F1033" t="str">
            <v>2G/3G/4G</v>
          </cell>
          <cell r="G1033" t="str">
            <v>HUAWEI</v>
          </cell>
          <cell r="H1033" t="str">
            <v>MTN</v>
          </cell>
          <cell r="I1033" t="str">
            <v>MONDOUKOU</v>
          </cell>
          <cell r="J1033" t="str">
            <v>GRAND-BASSAM</v>
          </cell>
          <cell r="K1033" t="str">
            <v>GRAND-BASSAM</v>
          </cell>
          <cell r="L1033" t="str">
            <v>SUD-COMOE</v>
          </cell>
          <cell r="M1033" t="str">
            <v>MARCORY</v>
          </cell>
          <cell r="N1033" t="str">
            <v>UPCOUNTRY</v>
          </cell>
        </row>
        <row r="1034">
          <cell r="B1034" t="str">
            <v>IM480</v>
          </cell>
          <cell r="C1034" t="str">
            <v>NEW_ABATA_VILLAGE</v>
          </cell>
          <cell r="D1034" t="str">
            <v>-3.916969</v>
          </cell>
          <cell r="E1034" t="str">
            <v>5.33737</v>
          </cell>
          <cell r="F1034" t="str">
            <v>2G/3G/4G</v>
          </cell>
          <cell r="G1034" t="str">
            <v>ERICSSON</v>
          </cell>
          <cell r="H1034" t="str">
            <v>IHS</v>
          </cell>
          <cell r="I1034" t="str">
            <v>BINGERVILLE</v>
          </cell>
          <cell r="J1034" t="str">
            <v>BINGERVILLE</v>
          </cell>
          <cell r="K1034" t="str">
            <v>ABIDJAN</v>
          </cell>
          <cell r="L1034" t="str">
            <v>ABIDJAN</v>
          </cell>
          <cell r="M1034" t="str">
            <v>COCODY LATRILLE</v>
          </cell>
          <cell r="N1034" t="str">
            <v>ABIDJAN</v>
          </cell>
        </row>
        <row r="1035">
          <cell r="B1035" t="str">
            <v>ET066</v>
          </cell>
          <cell r="C1035" t="str">
            <v>OHIENNE</v>
          </cell>
          <cell r="D1035" t="str">
            <v>-3.98966666666667</v>
          </cell>
          <cell r="E1035" t="str">
            <v>5.35858333333333</v>
          </cell>
          <cell r="F1035" t="str">
            <v>2G/3G/4G</v>
          </cell>
          <cell r="G1035" t="str">
            <v>ERICSSON</v>
          </cell>
          <cell r="H1035" t="str">
            <v>IHS</v>
          </cell>
          <cell r="I1035" t="str">
            <v>COCODY</v>
          </cell>
          <cell r="J1035" t="str">
            <v>ABIDJAN</v>
          </cell>
          <cell r="K1035" t="str">
            <v>ABIDJAN</v>
          </cell>
          <cell r="L1035" t="str">
            <v>ABIDJAN</v>
          </cell>
          <cell r="M1035" t="str">
            <v>COCODY LATRILLE</v>
          </cell>
          <cell r="N1035" t="str">
            <v>ABIDJAN</v>
          </cell>
        </row>
        <row r="1036">
          <cell r="B1036" t="str">
            <v>ET068</v>
          </cell>
          <cell r="C1036" t="str">
            <v>COLLEGE_FIGUIER</v>
          </cell>
          <cell r="D1036" t="str">
            <v>-3.96717</v>
          </cell>
          <cell r="E1036" t="str">
            <v>5.377</v>
          </cell>
          <cell r="F1036" t="str">
            <v>2G/3G/4G</v>
          </cell>
          <cell r="G1036" t="str">
            <v>ERICSSON</v>
          </cell>
          <cell r="H1036" t="str">
            <v>MOOV</v>
          </cell>
          <cell r="I1036" t="str">
            <v>COCODY</v>
          </cell>
          <cell r="J1036" t="str">
            <v>ABIDJAN</v>
          </cell>
          <cell r="K1036" t="str">
            <v>ABIDJAN</v>
          </cell>
          <cell r="L1036" t="str">
            <v>ABIDJAN</v>
          </cell>
          <cell r="M1036" t="str">
            <v>COCODY LATRILLE</v>
          </cell>
          <cell r="N1036" t="str">
            <v>ABIDJAN</v>
          </cell>
        </row>
        <row r="1037">
          <cell r="B1037" t="str">
            <v>ET069</v>
          </cell>
          <cell r="C1037" t="str">
            <v>BESSIKOI</v>
          </cell>
          <cell r="D1037" t="str">
            <v>-3.964028</v>
          </cell>
          <cell r="E1037" t="str">
            <v>5.390694</v>
          </cell>
          <cell r="F1037" t="str">
            <v>2G/3G/4G</v>
          </cell>
          <cell r="G1037" t="str">
            <v>ERICSSON</v>
          </cell>
          <cell r="H1037" t="str">
            <v>IHS</v>
          </cell>
          <cell r="I1037" t="str">
            <v>COCODY</v>
          </cell>
          <cell r="J1037" t="str">
            <v>ABIDJAN</v>
          </cell>
          <cell r="K1037" t="str">
            <v>ABIDJAN</v>
          </cell>
          <cell r="L1037" t="str">
            <v>ABIDJAN</v>
          </cell>
          <cell r="M1037" t="str">
            <v>COCODY LATRILLE</v>
          </cell>
          <cell r="N1037" t="str">
            <v>ABIDJAN</v>
          </cell>
        </row>
        <row r="1038">
          <cell r="B1038" t="str">
            <v>ET070</v>
          </cell>
          <cell r="C1038" t="str">
            <v>ANGRE_PRGME_5D</v>
          </cell>
          <cell r="D1038" t="str">
            <v>-3.97147</v>
          </cell>
          <cell r="E1038" t="str">
            <v>5.3942</v>
          </cell>
          <cell r="F1038" t="str">
            <v>2G/3G/4G</v>
          </cell>
          <cell r="G1038" t="str">
            <v>ERICSSON</v>
          </cell>
          <cell r="H1038" t="str">
            <v>MOOV</v>
          </cell>
          <cell r="I1038" t="str">
            <v>COCODY</v>
          </cell>
          <cell r="J1038" t="str">
            <v>ABIDJAN</v>
          </cell>
          <cell r="K1038" t="str">
            <v>ABIDJAN</v>
          </cell>
          <cell r="L1038" t="str">
            <v>ABIDJAN</v>
          </cell>
          <cell r="M1038" t="str">
            <v>COCODY LATRILLE</v>
          </cell>
          <cell r="N1038" t="str">
            <v>ABIDJAN</v>
          </cell>
        </row>
        <row r="1039">
          <cell r="B1039" t="str">
            <v>ET071</v>
          </cell>
          <cell r="C1039" t="str">
            <v>LAVOISIER</v>
          </cell>
          <cell r="D1039" t="str">
            <v>-3.97618</v>
          </cell>
          <cell r="E1039" t="str">
            <v>5.41742</v>
          </cell>
          <cell r="F1039" t="str">
            <v>2G/3G/4G</v>
          </cell>
          <cell r="G1039" t="str">
            <v>ERICSSON</v>
          </cell>
          <cell r="H1039" t="str">
            <v>IHS (OCI)</v>
          </cell>
          <cell r="I1039" t="str">
            <v>COCODY</v>
          </cell>
          <cell r="J1039" t="str">
            <v>ABIDJAN</v>
          </cell>
          <cell r="K1039" t="str">
            <v>ABIDJAN</v>
          </cell>
          <cell r="L1039" t="str">
            <v>ABIDJAN</v>
          </cell>
          <cell r="M1039" t="str">
            <v>COCODY LATRILLE</v>
          </cell>
          <cell r="N1039" t="str">
            <v>ABIDJAN</v>
          </cell>
        </row>
        <row r="1040">
          <cell r="B1040" t="str">
            <v>ET072</v>
          </cell>
          <cell r="C1040" t="str">
            <v>DOKUI_ALLOCOCDROME</v>
          </cell>
          <cell r="D1040" t="str">
            <v>-4.004283</v>
          </cell>
          <cell r="E1040" t="str">
            <v>5.396894</v>
          </cell>
          <cell r="F1040" t="str">
            <v>2G/3G/4G</v>
          </cell>
          <cell r="G1040" t="str">
            <v>ERICSSON</v>
          </cell>
          <cell r="H1040" t="str">
            <v>OCI</v>
          </cell>
          <cell r="I1040" t="str">
            <v>COCODY</v>
          </cell>
          <cell r="J1040" t="str">
            <v>ABIDJAN</v>
          </cell>
          <cell r="K1040" t="str">
            <v>ABIDJAN</v>
          </cell>
          <cell r="L1040" t="str">
            <v>ABIDJAN</v>
          </cell>
          <cell r="M1040" t="str">
            <v>COCODY LATRILLE</v>
          </cell>
          <cell r="N1040" t="str">
            <v>ABIDJAN</v>
          </cell>
        </row>
        <row r="1041">
          <cell r="B1041" t="str">
            <v>ET073</v>
          </cell>
          <cell r="C1041" t="str">
            <v>ANONO_ANTENNE</v>
          </cell>
          <cell r="D1041" t="str">
            <v>-3.970667</v>
          </cell>
          <cell r="E1041" t="str">
            <v>5.348217</v>
          </cell>
          <cell r="F1041" t="str">
            <v>2G/3G/4G</v>
          </cell>
          <cell r="G1041" t="str">
            <v>ERICSSON</v>
          </cell>
          <cell r="H1041" t="str">
            <v>MOOV</v>
          </cell>
          <cell r="I1041" t="str">
            <v>COCODY</v>
          </cell>
          <cell r="J1041" t="str">
            <v>ABIDJAN</v>
          </cell>
          <cell r="K1041" t="str">
            <v>ABIDJAN</v>
          </cell>
          <cell r="L1041" t="str">
            <v>ABIDJAN</v>
          </cell>
          <cell r="M1041" t="str">
            <v>COCODY CENTRE</v>
          </cell>
          <cell r="N1041" t="str">
            <v>ABIDJAN</v>
          </cell>
        </row>
        <row r="1042">
          <cell r="B1042" t="str">
            <v>ET074</v>
          </cell>
          <cell r="C1042" t="str">
            <v>ASSONVON_VILLAGE</v>
          </cell>
          <cell r="D1042" t="str">
            <v>-4.06863611111111</v>
          </cell>
          <cell r="E1042" t="str">
            <v>5.33606666666667</v>
          </cell>
          <cell r="F1042" t="str">
            <v>2G/3G/4G</v>
          </cell>
          <cell r="G1042" t="str">
            <v>ERICSSON</v>
          </cell>
          <cell r="H1042" t="str">
            <v>IHS</v>
          </cell>
          <cell r="I1042" t="str">
            <v>YOPOUGON</v>
          </cell>
          <cell r="J1042" t="str">
            <v>ABIDJAN</v>
          </cell>
          <cell r="K1042" t="str">
            <v>ABIDJAN</v>
          </cell>
          <cell r="L1042" t="str">
            <v>ABIDJAN</v>
          </cell>
          <cell r="M1042" t="str">
            <v>YOPOUGON SABLE</v>
          </cell>
          <cell r="N1042" t="str">
            <v>ABIDJAN</v>
          </cell>
        </row>
        <row r="1043">
          <cell r="B1043" t="str">
            <v>ET076</v>
          </cell>
          <cell r="C1043" t="str">
            <v>ZOO</v>
          </cell>
          <cell r="D1043" t="str">
            <v>-3.99955555555556</v>
          </cell>
          <cell r="E1043" t="str">
            <v>5.37997222222222</v>
          </cell>
          <cell r="F1043" t="str">
            <v>2G/3G/4G</v>
          </cell>
          <cell r="G1043" t="str">
            <v>ERICSSON</v>
          </cell>
          <cell r="H1043" t="str">
            <v>IHS</v>
          </cell>
          <cell r="I1043" t="str">
            <v>COCODY</v>
          </cell>
          <cell r="J1043" t="str">
            <v>ABIDJAN</v>
          </cell>
          <cell r="K1043" t="str">
            <v>ABIDJAN</v>
          </cell>
          <cell r="L1043" t="str">
            <v>ABIDJAN</v>
          </cell>
          <cell r="M1043" t="str">
            <v>COCODY LATRILLE</v>
          </cell>
          <cell r="N1043" t="str">
            <v>ABIDJAN</v>
          </cell>
        </row>
        <row r="1044">
          <cell r="B1044" t="str">
            <v>ET077</v>
          </cell>
          <cell r="C1044" t="str">
            <v>PALAIS_CULTURE</v>
          </cell>
          <cell r="D1044" t="str">
            <v>-4.0116</v>
          </cell>
          <cell r="E1044" t="str">
            <v>5.31081</v>
          </cell>
          <cell r="F1044" t="str">
            <v>2G/3G/4G</v>
          </cell>
          <cell r="G1044" t="str">
            <v>ERICSSON</v>
          </cell>
          <cell r="H1044" t="str">
            <v>MOOV</v>
          </cell>
          <cell r="I1044" t="str">
            <v>TREICHVILLE</v>
          </cell>
          <cell r="J1044" t="str">
            <v>ABIDJAN</v>
          </cell>
          <cell r="K1044" t="str">
            <v>ABIDJAN</v>
          </cell>
          <cell r="L1044" t="str">
            <v>ABIDJAN</v>
          </cell>
          <cell r="M1044" t="str">
            <v>PLATEAU</v>
          </cell>
          <cell r="N1044" t="str">
            <v>ABIDJAN</v>
          </cell>
        </row>
        <row r="1045">
          <cell r="B1045" t="str">
            <v>ET078</v>
          </cell>
          <cell r="C1045" t="str">
            <v>ROSIER_5B</v>
          </cell>
          <cell r="D1045" t="str">
            <v>-3.96973333</v>
          </cell>
          <cell r="E1045" t="str">
            <v>5.39194444</v>
          </cell>
          <cell r="F1045" t="str">
            <v>2G/3G/4G</v>
          </cell>
          <cell r="G1045" t="str">
            <v>ERICSSON</v>
          </cell>
          <cell r="H1045" t="str">
            <v>IHS</v>
          </cell>
          <cell r="I1045" t="str">
            <v>COCODY</v>
          </cell>
          <cell r="J1045" t="str">
            <v>ABIDJAN</v>
          </cell>
          <cell r="K1045" t="str">
            <v>ABIDJAN</v>
          </cell>
          <cell r="L1045" t="str">
            <v>ABIDJAN</v>
          </cell>
          <cell r="M1045" t="str">
            <v>COCODY LATRILLE</v>
          </cell>
          <cell r="N1045" t="str">
            <v>ABIDJAN</v>
          </cell>
        </row>
        <row r="1046">
          <cell r="B1046" t="str">
            <v>ET079</v>
          </cell>
          <cell r="C1046" t="str">
            <v>GARE_DE_BASSAM</v>
          </cell>
          <cell r="D1046" t="str">
            <v>-4.004139</v>
          </cell>
          <cell r="E1046" t="str">
            <v>5.298611</v>
          </cell>
          <cell r="F1046" t="str">
            <v>2G/3G/4G</v>
          </cell>
          <cell r="G1046" t="str">
            <v>ERICSSON</v>
          </cell>
          <cell r="H1046" t="str">
            <v>IHS</v>
          </cell>
          <cell r="I1046" t="str">
            <v>TREICHVILLE</v>
          </cell>
          <cell r="J1046" t="str">
            <v>ABIDJAN</v>
          </cell>
          <cell r="K1046" t="str">
            <v>ABIDJAN</v>
          </cell>
          <cell r="L1046" t="str">
            <v>ABIDJAN</v>
          </cell>
          <cell r="M1046" t="str">
            <v>PLATEAU</v>
          </cell>
          <cell r="N1046" t="str">
            <v>ABIDJAN</v>
          </cell>
        </row>
        <row r="1047">
          <cell r="B1047" t="str">
            <v>ET080</v>
          </cell>
          <cell r="C1047" t="str">
            <v>NOTRE_DAME_BIETRY</v>
          </cell>
          <cell r="D1047" t="str">
            <v>-3.97183</v>
          </cell>
          <cell r="E1047" t="str">
            <v>5.27258</v>
          </cell>
          <cell r="F1047" t="str">
            <v>2G/3G/4G</v>
          </cell>
          <cell r="G1047" t="str">
            <v>ERICSSON</v>
          </cell>
          <cell r="H1047" t="str">
            <v>MOOV</v>
          </cell>
          <cell r="I1047" t="str">
            <v>MARCORY</v>
          </cell>
          <cell r="J1047" t="str">
            <v>ABIDJAN</v>
          </cell>
          <cell r="K1047" t="str">
            <v>ABIDJAN</v>
          </cell>
          <cell r="L1047" t="str">
            <v>ABIDJAN</v>
          </cell>
          <cell r="M1047" t="str">
            <v>MARCORY</v>
          </cell>
          <cell r="N1047" t="str">
            <v>ABIDJAN</v>
          </cell>
        </row>
        <row r="1048">
          <cell r="B1048" t="str">
            <v>ET081</v>
          </cell>
          <cell r="C1048" t="str">
            <v>WAFOU</v>
          </cell>
          <cell r="D1048" t="str">
            <v>-3.980777</v>
          </cell>
          <cell r="E1048" t="str">
            <v>5.276422</v>
          </cell>
          <cell r="F1048" t="str">
            <v>2G/3G/4G</v>
          </cell>
          <cell r="G1048" t="str">
            <v>ERICSSON</v>
          </cell>
          <cell r="H1048" t="str">
            <v>IHS</v>
          </cell>
          <cell r="I1048" t="str">
            <v>MARCORY</v>
          </cell>
          <cell r="J1048" t="str">
            <v>ABIDJAN</v>
          </cell>
          <cell r="K1048" t="str">
            <v>ABIDJAN</v>
          </cell>
          <cell r="L1048" t="str">
            <v>ABIDJAN</v>
          </cell>
          <cell r="M1048" t="str">
            <v>MARCORY</v>
          </cell>
          <cell r="N1048" t="str">
            <v>ABIDJAN</v>
          </cell>
        </row>
        <row r="1049">
          <cell r="B1049" t="str">
            <v>ET082</v>
          </cell>
          <cell r="C1049" t="str">
            <v>ECG_BIETRY</v>
          </cell>
          <cell r="D1049" t="str">
            <v>-3.985931</v>
          </cell>
          <cell r="E1049" t="str">
            <v>5.292939</v>
          </cell>
          <cell r="F1049" t="str">
            <v>2G/3G/4G</v>
          </cell>
          <cell r="G1049" t="str">
            <v>ERICSSON</v>
          </cell>
          <cell r="H1049" t="str">
            <v>IHS</v>
          </cell>
          <cell r="I1049" t="str">
            <v>MARCORY</v>
          </cell>
          <cell r="J1049" t="str">
            <v>ABIDJAN</v>
          </cell>
          <cell r="K1049" t="str">
            <v>ABIDJAN</v>
          </cell>
          <cell r="L1049" t="str">
            <v>ABIDJAN</v>
          </cell>
          <cell r="M1049" t="str">
            <v>MARCORY</v>
          </cell>
          <cell r="N1049" t="str">
            <v>ABIDJAN</v>
          </cell>
        </row>
        <row r="1050">
          <cell r="B1050" t="str">
            <v>ET083</v>
          </cell>
          <cell r="C1050" t="str">
            <v>LAGOMA</v>
          </cell>
          <cell r="D1050" t="str">
            <v>-4.11541667</v>
          </cell>
          <cell r="E1050" t="str">
            <v>5.32369444</v>
          </cell>
          <cell r="F1050" t="str">
            <v>2G/3G/4G</v>
          </cell>
          <cell r="G1050" t="str">
            <v>ERICSSON</v>
          </cell>
          <cell r="H1050" t="str">
            <v>IHS</v>
          </cell>
          <cell r="I1050" t="str">
            <v>YOPOUGON</v>
          </cell>
          <cell r="J1050" t="str">
            <v>ABIDJAN</v>
          </cell>
          <cell r="K1050" t="str">
            <v>ABIDJAN</v>
          </cell>
          <cell r="L1050" t="str">
            <v>ABIDJAN</v>
          </cell>
          <cell r="M1050" t="str">
            <v>YOPOUGON FICGAYO</v>
          </cell>
          <cell r="N1050" t="str">
            <v>ABIDJAN</v>
          </cell>
        </row>
        <row r="1051">
          <cell r="B1051" t="str">
            <v>ET084</v>
          </cell>
          <cell r="C1051" t="str">
            <v>ANGRE_CIT</v>
          </cell>
          <cell r="D1051" t="str">
            <v>-3.98755556</v>
          </cell>
          <cell r="E1051" t="str">
            <v>5.38752778</v>
          </cell>
          <cell r="F1051" t="str">
            <v>2G/3G/4G</v>
          </cell>
          <cell r="G1051" t="str">
            <v>ERICSSON</v>
          </cell>
          <cell r="H1051" t="str">
            <v>IHS</v>
          </cell>
          <cell r="I1051" t="str">
            <v>COCODY</v>
          </cell>
          <cell r="J1051" t="str">
            <v>ABIDJAN</v>
          </cell>
          <cell r="K1051" t="str">
            <v>ABIDJAN</v>
          </cell>
          <cell r="L1051" t="str">
            <v>ABIDJAN</v>
          </cell>
          <cell r="M1051" t="str">
            <v>COCODY LATRILLE</v>
          </cell>
          <cell r="N1051" t="str">
            <v>ABIDJAN</v>
          </cell>
        </row>
        <row r="1052">
          <cell r="B1052" t="str">
            <v>ET086</v>
          </cell>
          <cell r="C1052" t="str">
            <v>MAQUIS_CANARI</v>
          </cell>
          <cell r="D1052" t="str">
            <v>-4.101389</v>
          </cell>
          <cell r="E1052" t="str">
            <v>5.344222</v>
          </cell>
          <cell r="F1052" t="str">
            <v>2G/3G/4G</v>
          </cell>
          <cell r="G1052" t="str">
            <v>ERICSSON</v>
          </cell>
          <cell r="H1052" t="str">
            <v>MOOV</v>
          </cell>
          <cell r="I1052" t="str">
            <v>YOPOUGON</v>
          </cell>
          <cell r="J1052" t="str">
            <v>ABIDJAN</v>
          </cell>
          <cell r="K1052" t="str">
            <v>ABIDJAN</v>
          </cell>
          <cell r="L1052" t="str">
            <v>ABIDJAN</v>
          </cell>
          <cell r="M1052" t="str">
            <v>YOPOUGON FICGAYO</v>
          </cell>
          <cell r="N1052" t="str">
            <v>ABIDJAN</v>
          </cell>
        </row>
        <row r="1053">
          <cell r="B1053" t="str">
            <v>ET087</v>
          </cell>
          <cell r="C1053" t="str">
            <v>ROUTE_SONGON</v>
          </cell>
          <cell r="D1053" t="str">
            <v>-4.156709</v>
          </cell>
          <cell r="E1053" t="str">
            <v>5.341776</v>
          </cell>
          <cell r="F1053" t="str">
            <v>2G/3G/4G</v>
          </cell>
          <cell r="G1053" t="str">
            <v>ERICSSON</v>
          </cell>
          <cell r="H1053" t="str">
            <v>MOOV</v>
          </cell>
          <cell r="I1053" t="str">
            <v>SONGON</v>
          </cell>
          <cell r="J1053" t="str">
            <v>SONGON</v>
          </cell>
          <cell r="K1053" t="str">
            <v>ABIDJAN</v>
          </cell>
          <cell r="L1053" t="str">
            <v>ABIDJAN</v>
          </cell>
          <cell r="M1053" t="str">
            <v>YOPOUGON FICGAYO</v>
          </cell>
          <cell r="N1053" t="str">
            <v>ABIDJAN</v>
          </cell>
        </row>
        <row r="1054">
          <cell r="B1054" t="str">
            <v>ET088</v>
          </cell>
          <cell r="C1054" t="str">
            <v>NEM_CAMP_MILITAIRE</v>
          </cell>
          <cell r="D1054" t="str">
            <v>-4.06148</v>
          </cell>
          <cell r="E1054" t="str">
            <v>5.31624</v>
          </cell>
          <cell r="F1054" t="str">
            <v>2G/3G/4G</v>
          </cell>
          <cell r="G1054" t="str">
            <v>ERICSSON</v>
          </cell>
          <cell r="H1054" t="str">
            <v>MOOV</v>
          </cell>
          <cell r="I1054" t="str">
            <v>YOPOUGON</v>
          </cell>
          <cell r="J1054" t="str">
            <v>ABIDJAN</v>
          </cell>
          <cell r="K1054" t="str">
            <v>ABIDJAN</v>
          </cell>
          <cell r="L1054" t="str">
            <v>ABIDJAN</v>
          </cell>
          <cell r="M1054" t="str">
            <v>YOPOUGON SABLE</v>
          </cell>
          <cell r="N1054" t="str">
            <v>ABIDJAN</v>
          </cell>
        </row>
        <row r="1055">
          <cell r="B1055" t="str">
            <v>ET090</v>
          </cell>
          <cell r="C1055" t="str">
            <v>CIMAF</v>
          </cell>
          <cell r="D1055" t="str">
            <v>-4.075253</v>
          </cell>
          <cell r="E1055" t="str">
            <v>5.380435</v>
          </cell>
          <cell r="F1055" t="str">
            <v>2G/3G/4G</v>
          </cell>
          <cell r="G1055" t="str">
            <v>ERICSSON</v>
          </cell>
          <cell r="H1055" t="str">
            <v>IHS</v>
          </cell>
          <cell r="I1055" t="str">
            <v>YOPOUGON</v>
          </cell>
          <cell r="J1055" t="str">
            <v>ABIDJAN</v>
          </cell>
          <cell r="K1055" t="str">
            <v>ABIDJAN</v>
          </cell>
          <cell r="L1055" t="str">
            <v>ABIDJAN</v>
          </cell>
          <cell r="M1055" t="str">
            <v>YOPOUGON SABLE</v>
          </cell>
          <cell r="N1055" t="str">
            <v>ABIDJAN</v>
          </cell>
        </row>
        <row r="1056">
          <cell r="B1056" t="str">
            <v>ET091</v>
          </cell>
          <cell r="C1056" t="str">
            <v>PALETUVIER</v>
          </cell>
          <cell r="D1056" t="str">
            <v>-3.978675</v>
          </cell>
          <cell r="E1056" t="str">
            <v>5.328513888</v>
          </cell>
          <cell r="F1056" t="str">
            <v>2G/3G/4G/5G</v>
          </cell>
          <cell r="G1056" t="str">
            <v>ERICSSON</v>
          </cell>
          <cell r="H1056" t="str">
            <v>IHS</v>
          </cell>
          <cell r="I1056" t="str">
            <v>COCODY</v>
          </cell>
          <cell r="J1056" t="str">
            <v>ABIDJAN</v>
          </cell>
          <cell r="K1056" t="str">
            <v>ABIDJAN</v>
          </cell>
          <cell r="L1056" t="str">
            <v>ABIDJAN</v>
          </cell>
          <cell r="M1056" t="str">
            <v>COCODY CENTRE</v>
          </cell>
          <cell r="N1056" t="str">
            <v>ABIDJAN</v>
          </cell>
        </row>
        <row r="1057">
          <cell r="B1057" t="str">
            <v>ET092</v>
          </cell>
          <cell r="C1057" t="str">
            <v>SAMAKE</v>
          </cell>
          <cell r="D1057" t="str">
            <v>-4.00226</v>
          </cell>
          <cell r="E1057" t="str">
            <v>5.41566</v>
          </cell>
          <cell r="F1057" t="str">
            <v>2G/3G/4G</v>
          </cell>
          <cell r="G1057" t="str">
            <v>ERICSSON</v>
          </cell>
          <cell r="H1057" t="str">
            <v>MOOV</v>
          </cell>
          <cell r="I1057" t="str">
            <v>ABOBO</v>
          </cell>
          <cell r="J1057" t="str">
            <v>ABIDJAN</v>
          </cell>
          <cell r="K1057" t="str">
            <v>ABIDJAN</v>
          </cell>
          <cell r="L1057" t="str">
            <v>ABIDJAN</v>
          </cell>
          <cell r="M1057" t="str">
            <v>ABOBO</v>
          </cell>
          <cell r="N1057" t="str">
            <v>ABIDJAN</v>
          </cell>
        </row>
        <row r="1058">
          <cell r="B1058" t="str">
            <v>ET093</v>
          </cell>
          <cell r="C1058" t="str">
            <v>DAKOURITROHOUIN</v>
          </cell>
          <cell r="D1058" t="str">
            <v>-5.59627777777778</v>
          </cell>
          <cell r="E1058" t="str">
            <v>5.97247222222222</v>
          </cell>
          <cell r="F1058" t="str">
            <v>2G/3G/4G</v>
          </cell>
          <cell r="G1058" t="str">
            <v>ERICSSON</v>
          </cell>
          <cell r="H1058" t="str">
            <v>IHS</v>
          </cell>
          <cell r="I1058" t="str">
            <v>DAKOURITROHOUIN</v>
          </cell>
          <cell r="J1058" t="str">
            <v>LAKOTA</v>
          </cell>
          <cell r="K1058" t="str">
            <v>LAKOTA</v>
          </cell>
          <cell r="L1058" t="str">
            <v>LOH-DJIBOUA</v>
          </cell>
          <cell r="M1058" t="str">
            <v>DIVO</v>
          </cell>
          <cell r="N1058" t="str">
            <v>UPCOUNTRY</v>
          </cell>
        </row>
        <row r="1059">
          <cell r="B1059" t="str">
            <v>ET094</v>
          </cell>
          <cell r="C1059" t="str">
            <v>BONDOUKOU2</v>
          </cell>
          <cell r="D1059" t="str">
            <v>-2.80880555555556</v>
          </cell>
          <cell r="E1059" t="str">
            <v>8.04505555555555</v>
          </cell>
          <cell r="F1059" t="str">
            <v>2G/3G/4G</v>
          </cell>
          <cell r="G1059" t="str">
            <v>ERICSSON</v>
          </cell>
          <cell r="H1059" t="str">
            <v>IHS</v>
          </cell>
          <cell r="I1059" t="str">
            <v>BONDOUKOU</v>
          </cell>
          <cell r="J1059" t="str">
            <v>BONDOUKOU</v>
          </cell>
          <cell r="K1059" t="str">
            <v>BONDOUKOU</v>
          </cell>
          <cell r="L1059" t="str">
            <v>GONTOUGO</v>
          </cell>
          <cell r="M1059" t="str">
            <v>ABENGOUROU</v>
          </cell>
          <cell r="N1059" t="str">
            <v>UPCOUNTRY</v>
          </cell>
        </row>
        <row r="1060">
          <cell r="B1060" t="str">
            <v>ET095</v>
          </cell>
          <cell r="C1060" t="str">
            <v>DIVO_RTE_LAKOTA</v>
          </cell>
          <cell r="D1060" t="str">
            <v>-5.39297222222222</v>
          </cell>
          <cell r="E1060" t="str">
            <v>5.83252777777778</v>
          </cell>
          <cell r="F1060" t="str">
            <v>2G/3G/4G</v>
          </cell>
          <cell r="G1060" t="str">
            <v>ERICSSON</v>
          </cell>
          <cell r="H1060" t="str">
            <v>IHS</v>
          </cell>
          <cell r="I1060" t="str">
            <v>DIVO</v>
          </cell>
          <cell r="J1060" t="str">
            <v>DIVO</v>
          </cell>
          <cell r="K1060" t="str">
            <v>DIVO</v>
          </cell>
          <cell r="L1060" t="str">
            <v>LOH-DJIBOUA</v>
          </cell>
          <cell r="M1060" t="str">
            <v>DIVO</v>
          </cell>
          <cell r="N1060" t="str">
            <v>UPCOUNTRY</v>
          </cell>
        </row>
        <row r="1061">
          <cell r="B1061" t="str">
            <v>ET096</v>
          </cell>
          <cell r="C1061" t="str">
            <v>MARCHE_COLA</v>
          </cell>
          <cell r="D1061" t="str">
            <v>-4.04765</v>
          </cell>
          <cell r="E1061" t="str">
            <v>5.48733</v>
          </cell>
          <cell r="F1061" t="str">
            <v>2G/3G/4G</v>
          </cell>
          <cell r="G1061" t="str">
            <v>ERICSSON</v>
          </cell>
          <cell r="H1061" t="str">
            <v>MOOV</v>
          </cell>
          <cell r="I1061" t="str">
            <v>ANYAMA</v>
          </cell>
          <cell r="J1061" t="str">
            <v>ANYAMA</v>
          </cell>
          <cell r="K1061" t="str">
            <v>ABIDJAN</v>
          </cell>
          <cell r="L1061" t="str">
            <v>ABIDJAN</v>
          </cell>
          <cell r="M1061" t="str">
            <v>ABOBO</v>
          </cell>
          <cell r="N1061" t="str">
            <v>ABIDJAN</v>
          </cell>
        </row>
        <row r="1062">
          <cell r="B1062" t="str">
            <v>ET097</v>
          </cell>
          <cell r="C1062" t="str">
            <v>ABENG_AGNI_EXT</v>
          </cell>
          <cell r="D1062" t="str">
            <v>-3.480457</v>
          </cell>
          <cell r="E1062" t="str">
            <v>6.71815</v>
          </cell>
          <cell r="F1062" t="str">
            <v>2G/3G/4G</v>
          </cell>
          <cell r="G1062" t="str">
            <v>ERICSSON</v>
          </cell>
          <cell r="H1062" t="str">
            <v>IHS</v>
          </cell>
          <cell r="I1062" t="str">
            <v>ABENGOUROU</v>
          </cell>
          <cell r="J1062" t="str">
            <v>ABENGOUROU</v>
          </cell>
          <cell r="K1062" t="str">
            <v>ABENGOUROU</v>
          </cell>
          <cell r="L1062" t="str">
            <v>INDENIE-DJUABLIN</v>
          </cell>
          <cell r="M1062" t="str">
            <v>ABENGOUROU</v>
          </cell>
          <cell r="N1062" t="str">
            <v>UPCOUNTRY</v>
          </cell>
        </row>
        <row r="1063">
          <cell r="B1063" t="str">
            <v>ET098</v>
          </cell>
          <cell r="C1063" t="str">
            <v>BONOUA_PROVIDENCE</v>
          </cell>
          <cell r="D1063" t="str">
            <v>-3.59044</v>
          </cell>
          <cell r="E1063" t="str">
            <v>5.28172</v>
          </cell>
          <cell r="F1063" t="str">
            <v>2G/3G/4G</v>
          </cell>
          <cell r="G1063" t="str">
            <v>HUAWEI</v>
          </cell>
          <cell r="H1063" t="str">
            <v>IHS</v>
          </cell>
          <cell r="I1063" t="str">
            <v>BONOUA</v>
          </cell>
          <cell r="J1063" t="str">
            <v>BONOUA</v>
          </cell>
          <cell r="K1063" t="str">
            <v>GRAND-BASSAM</v>
          </cell>
          <cell r="L1063" t="str">
            <v>SUD-COMOE</v>
          </cell>
          <cell r="M1063" t="str">
            <v>MARCORY</v>
          </cell>
          <cell r="N1063" t="str">
            <v>UPCOUNTRY</v>
          </cell>
        </row>
        <row r="1064">
          <cell r="B1064" t="str">
            <v>ET099</v>
          </cell>
          <cell r="C1064" t="str">
            <v>GENIE2000</v>
          </cell>
          <cell r="D1064" t="str">
            <v>-3.93495</v>
          </cell>
          <cell r="E1064" t="str">
            <v>5.3759</v>
          </cell>
          <cell r="F1064" t="str">
            <v>2G/3G/4G</v>
          </cell>
          <cell r="G1064" t="str">
            <v>ERICSSON</v>
          </cell>
          <cell r="H1064" t="str">
            <v>IHS</v>
          </cell>
          <cell r="I1064" t="str">
            <v>COCODY</v>
          </cell>
          <cell r="J1064" t="str">
            <v>ABIDJAN</v>
          </cell>
          <cell r="K1064" t="str">
            <v>ABIDJAN</v>
          </cell>
          <cell r="L1064" t="str">
            <v>ABIDJAN</v>
          </cell>
          <cell r="M1064" t="str">
            <v>COCODY LATRILLE</v>
          </cell>
          <cell r="N1064" t="str">
            <v>ABIDJAN</v>
          </cell>
        </row>
        <row r="1065">
          <cell r="B1065" t="str">
            <v>ET100</v>
          </cell>
          <cell r="C1065" t="str">
            <v>SECODIS</v>
          </cell>
          <cell r="D1065" t="str">
            <v>-4.00695939</v>
          </cell>
          <cell r="E1065" t="str">
            <v>5.2619509</v>
          </cell>
          <cell r="F1065" t="str">
            <v>2G/3G/4G</v>
          </cell>
          <cell r="G1065" t="str">
            <v>ERICSSON</v>
          </cell>
          <cell r="H1065" t="str">
            <v>IHS</v>
          </cell>
          <cell r="I1065" t="str">
            <v>TREICHVILLE</v>
          </cell>
          <cell r="J1065" t="str">
            <v>ABIDJAN</v>
          </cell>
          <cell r="K1065" t="str">
            <v>ABIDJAN</v>
          </cell>
          <cell r="L1065" t="str">
            <v>ABIDJAN</v>
          </cell>
          <cell r="M1065" t="str">
            <v>PLATEAU</v>
          </cell>
          <cell r="N1065" t="str">
            <v>ABIDJAN</v>
          </cell>
        </row>
        <row r="1066">
          <cell r="B1066" t="str">
            <v>ET101</v>
          </cell>
          <cell r="C1066" t="str">
            <v>TOUMODI_RESIDENTIEL</v>
          </cell>
          <cell r="D1066" t="str">
            <v>-5.013863</v>
          </cell>
          <cell r="E1066" t="str">
            <v>6.565038</v>
          </cell>
          <cell r="F1066" t="str">
            <v>2G/3G/4G</v>
          </cell>
          <cell r="G1066" t="str">
            <v>HUAWEI</v>
          </cell>
          <cell r="H1066" t="str">
            <v>MOOV</v>
          </cell>
          <cell r="I1066" t="str">
            <v>TOUMODI</v>
          </cell>
          <cell r="J1066" t="str">
            <v>TOUMODI</v>
          </cell>
          <cell r="K1066" t="str">
            <v>TOUMODI</v>
          </cell>
          <cell r="L1066" t="str">
            <v>BELIER</v>
          </cell>
          <cell r="M1066" t="str">
            <v>YAMOUSSOUKRO</v>
          </cell>
          <cell r="N1066" t="str">
            <v>UPCOUNTRY</v>
          </cell>
        </row>
        <row r="1067">
          <cell r="B1067" t="str">
            <v>ET102</v>
          </cell>
          <cell r="C1067" t="str">
            <v>DAL_ABATTOIR_2</v>
          </cell>
          <cell r="D1067" t="str">
            <v>-6.42796</v>
          </cell>
          <cell r="E1067" t="str">
            <v>6.85927</v>
          </cell>
          <cell r="F1067" t="str">
            <v>2G/3G/4G</v>
          </cell>
          <cell r="G1067" t="str">
            <v>HUAWEI</v>
          </cell>
          <cell r="H1067" t="str">
            <v>GREEN</v>
          </cell>
          <cell r="I1067" t="str">
            <v>DALOA</v>
          </cell>
          <cell r="J1067" t="str">
            <v>DALOA</v>
          </cell>
          <cell r="K1067" t="str">
            <v>DALOA</v>
          </cell>
          <cell r="L1067" t="str">
            <v>HAUT-SASSANDRA</v>
          </cell>
          <cell r="M1067" t="str">
            <v>DALOA</v>
          </cell>
          <cell r="N1067" t="str">
            <v>UPCOUNTRY</v>
          </cell>
        </row>
        <row r="1068">
          <cell r="B1068" t="str">
            <v>ET103</v>
          </cell>
          <cell r="C1068" t="str">
            <v>BKE_NDAKRO</v>
          </cell>
          <cell r="D1068" t="str">
            <v>-5.0735333</v>
          </cell>
          <cell r="E1068" t="str">
            <v>7.6698596</v>
          </cell>
          <cell r="F1068" t="str">
            <v>2G/3G/4G</v>
          </cell>
          <cell r="G1068" t="str">
            <v>HUAWEI</v>
          </cell>
          <cell r="H1068" t="str">
            <v>MOOV</v>
          </cell>
          <cell r="I1068" t="str">
            <v>BOUAKE</v>
          </cell>
          <cell r="J1068" t="str">
            <v>BOUAKE</v>
          </cell>
          <cell r="K1068" t="str">
            <v>BOUAKE</v>
          </cell>
          <cell r="L1068" t="str">
            <v>GBEKE</v>
          </cell>
          <cell r="M1068" t="str">
            <v>BOUAKE</v>
          </cell>
          <cell r="N1068" t="str">
            <v>UPCOUNTRY</v>
          </cell>
        </row>
        <row r="1069">
          <cell r="B1069" t="str">
            <v>ET104</v>
          </cell>
          <cell r="C1069" t="str">
            <v>COLLEGE_SINGA2</v>
          </cell>
          <cell r="D1069" t="str">
            <v>-4.09230556</v>
          </cell>
          <cell r="E1069" t="str">
            <v>5.33886111</v>
          </cell>
          <cell r="F1069" t="str">
            <v>2G/3G/4G</v>
          </cell>
          <cell r="G1069" t="str">
            <v>ERICSSON</v>
          </cell>
          <cell r="H1069" t="str">
            <v>IHS</v>
          </cell>
          <cell r="I1069" t="str">
            <v>YOPOUGON</v>
          </cell>
          <cell r="J1069" t="str">
            <v>ABIDJAN</v>
          </cell>
          <cell r="K1069" t="str">
            <v>ABIDJAN</v>
          </cell>
          <cell r="L1069" t="str">
            <v>ABIDJAN</v>
          </cell>
          <cell r="M1069" t="str">
            <v>YOPOUGON FICGAYO</v>
          </cell>
          <cell r="N1069" t="str">
            <v>ABIDJAN</v>
          </cell>
        </row>
        <row r="1070">
          <cell r="B1070" t="str">
            <v>ET105</v>
          </cell>
          <cell r="C1070" t="str">
            <v>ABOUDE_KOUASSIKRO</v>
          </cell>
          <cell r="D1070" t="str">
            <v>-4.551056</v>
          </cell>
          <cell r="E1070" t="str">
            <v>5.895472</v>
          </cell>
          <cell r="F1070" t="str">
            <v>2G/3G/4G</v>
          </cell>
          <cell r="G1070" t="str">
            <v>ERICSSON</v>
          </cell>
          <cell r="H1070" t="str">
            <v>IHS</v>
          </cell>
          <cell r="I1070" t="str">
            <v>ABOUDE-KOUASSIKRO</v>
          </cell>
          <cell r="J1070" t="str">
            <v>ABOUDE</v>
          </cell>
          <cell r="K1070" t="str">
            <v>AGBOVILLE</v>
          </cell>
          <cell r="L1070" t="str">
            <v>AGNEBY-TIASSA</v>
          </cell>
          <cell r="M1070" t="str">
            <v>ABOBO</v>
          </cell>
          <cell r="N1070" t="str">
            <v>UPCOUNTRY</v>
          </cell>
        </row>
        <row r="1071">
          <cell r="B1071" t="str">
            <v>ET106</v>
          </cell>
          <cell r="C1071" t="str">
            <v>DANGUIRA</v>
          </cell>
          <cell r="D1071" t="str">
            <v>-3.759972</v>
          </cell>
          <cell r="E1071" t="str">
            <v>5.671833</v>
          </cell>
          <cell r="F1071" t="str">
            <v>2G/3G/4G</v>
          </cell>
          <cell r="G1071" t="str">
            <v>ERICSSON</v>
          </cell>
          <cell r="H1071" t="str">
            <v>IHS</v>
          </cell>
          <cell r="I1071" t="str">
            <v>DANGUIRA</v>
          </cell>
          <cell r="J1071" t="str">
            <v>DANGUIRA</v>
          </cell>
          <cell r="K1071" t="str">
            <v>ALEPE</v>
          </cell>
          <cell r="L1071" t="str">
            <v>LA ME</v>
          </cell>
          <cell r="M1071" t="str">
            <v>ABOBO</v>
          </cell>
          <cell r="N1071" t="str">
            <v>UPCOUNTRY</v>
          </cell>
        </row>
        <row r="1072">
          <cell r="B1072" t="str">
            <v>ET107</v>
          </cell>
          <cell r="C1072" t="str">
            <v>DZEUDJI</v>
          </cell>
          <cell r="D1072" t="str">
            <v>-3.849889</v>
          </cell>
          <cell r="E1072" t="str">
            <v>5.596917</v>
          </cell>
          <cell r="F1072" t="str">
            <v>2G/3G/4G</v>
          </cell>
          <cell r="G1072" t="str">
            <v>ERICSSON</v>
          </cell>
          <cell r="H1072" t="str">
            <v>IHS</v>
          </cell>
          <cell r="I1072" t="str">
            <v>DZEUDJI</v>
          </cell>
          <cell r="J1072" t="str">
            <v>DANGUIRA</v>
          </cell>
          <cell r="K1072" t="str">
            <v>ALEPE</v>
          </cell>
          <cell r="L1072" t="str">
            <v>LA ME</v>
          </cell>
          <cell r="M1072" t="str">
            <v>ABOBO</v>
          </cell>
          <cell r="N1072" t="str">
            <v>UPCOUNTRY</v>
          </cell>
        </row>
        <row r="1073">
          <cell r="B1073" t="str">
            <v>ET108</v>
          </cell>
          <cell r="C1073" t="str">
            <v>ABONGOUA</v>
          </cell>
          <cell r="D1073" t="str">
            <v>-3.54872222222222</v>
          </cell>
          <cell r="E1073" t="str">
            <v>6.24708333333333</v>
          </cell>
          <cell r="F1073" t="str">
            <v>2G/3G/4G</v>
          </cell>
          <cell r="G1073" t="str">
            <v>ERICSSON</v>
          </cell>
          <cell r="H1073" t="str">
            <v>IHS</v>
          </cell>
          <cell r="I1073" t="str">
            <v>ABONGOUA</v>
          </cell>
          <cell r="J1073" t="str">
            <v>ABONGOUA</v>
          </cell>
          <cell r="K1073" t="str">
            <v>YAKASSE-ATTOBROU</v>
          </cell>
          <cell r="L1073" t="str">
            <v>LA ME</v>
          </cell>
          <cell r="M1073" t="str">
            <v>ABENGOUROU</v>
          </cell>
          <cell r="N1073" t="str">
            <v>UPCOUNTRY</v>
          </cell>
        </row>
        <row r="1074">
          <cell r="B1074" t="str">
            <v>ET109</v>
          </cell>
          <cell r="C1074" t="str">
            <v>ANANGUIE_ADZOPE</v>
          </cell>
          <cell r="D1074" t="str">
            <v>-3.76437</v>
          </cell>
          <cell r="E1074" t="str">
            <v>6.22523</v>
          </cell>
          <cell r="F1074" t="str">
            <v>2G/3G/4G</v>
          </cell>
          <cell r="G1074" t="str">
            <v>ERICSSON</v>
          </cell>
          <cell r="H1074" t="str">
            <v>IHS</v>
          </cell>
          <cell r="I1074" t="str">
            <v>ANANGUIE ADZOPE</v>
          </cell>
          <cell r="J1074" t="str">
            <v>ADZOPE</v>
          </cell>
          <cell r="K1074" t="str">
            <v>ADZOPE</v>
          </cell>
          <cell r="L1074" t="str">
            <v>LA ME</v>
          </cell>
          <cell r="M1074" t="str">
            <v>ABENGOUROU</v>
          </cell>
          <cell r="N1074" t="str">
            <v>UPCOUNTRY</v>
          </cell>
        </row>
        <row r="1075">
          <cell r="B1075" t="str">
            <v>ET110</v>
          </cell>
          <cell r="C1075" t="str">
            <v>MOROKRO</v>
          </cell>
          <cell r="D1075" t="str">
            <v>-4.70933</v>
          </cell>
          <cell r="E1075" t="str">
            <v>6.07257</v>
          </cell>
          <cell r="F1075" t="str">
            <v>2G/3G/4G</v>
          </cell>
          <cell r="G1075" t="str">
            <v>ERICSSON</v>
          </cell>
          <cell r="H1075" t="str">
            <v>IHS</v>
          </cell>
          <cell r="I1075" t="str">
            <v>MOROKRO</v>
          </cell>
          <cell r="J1075" t="str">
            <v>MOROKRO</v>
          </cell>
          <cell r="K1075" t="str">
            <v>TIASSALE</v>
          </cell>
          <cell r="L1075" t="str">
            <v>AGNEBY-TIASSA</v>
          </cell>
          <cell r="M1075" t="str">
            <v>YOPOUGON SABLE</v>
          </cell>
          <cell r="N1075" t="str">
            <v>UPCOUNTRY</v>
          </cell>
        </row>
        <row r="1076">
          <cell r="B1076" t="str">
            <v>ET111</v>
          </cell>
          <cell r="C1076" t="str">
            <v>ABY</v>
          </cell>
          <cell r="D1076" t="str">
            <v>-3.169725</v>
          </cell>
          <cell r="E1076" t="str">
            <v>5.296973</v>
          </cell>
          <cell r="F1076" t="str">
            <v>2G/3G/4G</v>
          </cell>
          <cell r="G1076" t="str">
            <v>ERICSSON</v>
          </cell>
          <cell r="H1076" t="str">
            <v>MOOV</v>
          </cell>
          <cell r="I1076" t="str">
            <v>ABY</v>
          </cell>
          <cell r="J1076" t="str">
            <v>ETUEBOUE</v>
          </cell>
          <cell r="K1076" t="str">
            <v>ADIAKE</v>
          </cell>
          <cell r="L1076" t="str">
            <v>SUD-COMOE</v>
          </cell>
          <cell r="M1076" t="str">
            <v>MARCORY</v>
          </cell>
          <cell r="N1076" t="str">
            <v>UPCOUNTRY</v>
          </cell>
        </row>
        <row r="1077">
          <cell r="B1077" t="str">
            <v>ET112</v>
          </cell>
          <cell r="C1077" t="str">
            <v>AFFIENOU</v>
          </cell>
          <cell r="D1077" t="str">
            <v>-2.92791666666667</v>
          </cell>
          <cell r="E1077" t="str">
            <v>5.40627777777778</v>
          </cell>
          <cell r="F1077" t="str">
            <v>2G/3G/4G</v>
          </cell>
          <cell r="G1077" t="str">
            <v>ERICSSON</v>
          </cell>
          <cell r="H1077" t="str">
            <v>IHS</v>
          </cell>
          <cell r="I1077" t="str">
            <v>AFFIENOU</v>
          </cell>
          <cell r="J1077" t="str">
            <v>KOUAKRO</v>
          </cell>
          <cell r="K1077" t="str">
            <v>ABOISSO</v>
          </cell>
          <cell r="L1077" t="str">
            <v>SUD-COMOE</v>
          </cell>
          <cell r="M1077" t="str">
            <v>MARCORY</v>
          </cell>
          <cell r="N1077" t="str">
            <v>UPCOUNTRY</v>
          </cell>
        </row>
        <row r="1078">
          <cell r="B1078" t="str">
            <v>ET113</v>
          </cell>
          <cell r="C1078" t="str">
            <v>SATIKRAN</v>
          </cell>
          <cell r="D1078" t="str">
            <v>-3.747722</v>
          </cell>
          <cell r="E1078" t="str">
            <v>6.830139</v>
          </cell>
          <cell r="F1078" t="str">
            <v>2G/3G/4G</v>
          </cell>
          <cell r="G1078" t="str">
            <v>ERICSSON</v>
          </cell>
          <cell r="H1078" t="str">
            <v>IHS</v>
          </cell>
          <cell r="I1078" t="str">
            <v>SATIKRAN</v>
          </cell>
          <cell r="J1078" t="str">
            <v>ANIASSUE</v>
          </cell>
          <cell r="K1078" t="str">
            <v>ABENGOUROU</v>
          </cell>
          <cell r="L1078" t="str">
            <v>INDENIE-DJUABLIN</v>
          </cell>
          <cell r="M1078" t="str">
            <v>ABENGOUROU</v>
          </cell>
          <cell r="N1078" t="str">
            <v>UPCOUNTRY</v>
          </cell>
        </row>
        <row r="1079">
          <cell r="B1079" t="str">
            <v>ET114</v>
          </cell>
          <cell r="C1079" t="str">
            <v>AMORIAKRO</v>
          </cell>
          <cell r="D1079" t="str">
            <v>-3.52425</v>
          </cell>
          <cell r="E1079" t="str">
            <v>7.092556</v>
          </cell>
          <cell r="F1079" t="str">
            <v>2G/3G/4G</v>
          </cell>
          <cell r="G1079" t="str">
            <v>ERICSSON</v>
          </cell>
          <cell r="H1079" t="str">
            <v>IHS</v>
          </cell>
          <cell r="I1079" t="str">
            <v>AMORIAKRO</v>
          </cell>
          <cell r="J1079" t="str">
            <v>DUFFREBO</v>
          </cell>
          <cell r="K1079" t="str">
            <v>AGNIBILEKROU</v>
          </cell>
          <cell r="L1079" t="str">
            <v>INDENIE-DJUABLIN</v>
          </cell>
          <cell r="M1079" t="str">
            <v>ABENGOUROU</v>
          </cell>
          <cell r="N1079" t="str">
            <v>UPCOUNTRY</v>
          </cell>
        </row>
        <row r="1080">
          <cell r="B1080" t="str">
            <v>ET115</v>
          </cell>
          <cell r="C1080" t="str">
            <v>NGUESS_ESSUIKRO</v>
          </cell>
          <cell r="D1080" t="str">
            <v>-4.30211</v>
          </cell>
          <cell r="E1080" t="str">
            <v>6.63911</v>
          </cell>
          <cell r="F1080" t="str">
            <v>2G/3G/4G</v>
          </cell>
          <cell r="G1080" t="str">
            <v>HUAWEI</v>
          </cell>
          <cell r="H1080" t="str">
            <v>IHS</v>
          </cell>
          <cell r="I1080" t="str">
            <v>ESSUIKRO</v>
          </cell>
          <cell r="J1080" t="str">
            <v>N'GUESSANKRO</v>
          </cell>
          <cell r="K1080" t="str">
            <v>BONGOUANOU</v>
          </cell>
          <cell r="L1080" t="str">
            <v>MORONOU</v>
          </cell>
          <cell r="M1080" t="str">
            <v>YAMOUSSOUKRO</v>
          </cell>
          <cell r="N1080" t="str">
            <v>UPCOUNTRY</v>
          </cell>
        </row>
        <row r="1081">
          <cell r="B1081" t="str">
            <v>ET116</v>
          </cell>
          <cell r="C1081" t="str">
            <v>NZUEKOKORE</v>
          </cell>
          <cell r="D1081" t="str">
            <v>-4.28458</v>
          </cell>
          <cell r="E1081" t="str">
            <v>6.57039</v>
          </cell>
          <cell r="F1081" t="str">
            <v>2G/3G/4G</v>
          </cell>
          <cell r="G1081" t="str">
            <v>HUAWEI</v>
          </cell>
          <cell r="H1081" t="str">
            <v>IHS</v>
          </cell>
          <cell r="I1081" t="str">
            <v>NZUEKOKORE</v>
          </cell>
          <cell r="J1081" t="str">
            <v>N'GUESSANKRO</v>
          </cell>
          <cell r="K1081" t="str">
            <v>BONGOUANOU</v>
          </cell>
          <cell r="L1081" t="str">
            <v>MORONOU</v>
          </cell>
          <cell r="M1081" t="str">
            <v>ABENGOUROU</v>
          </cell>
          <cell r="N1081" t="str">
            <v>UPCOUNTRY</v>
          </cell>
        </row>
        <row r="1082">
          <cell r="B1082" t="str">
            <v>ET117</v>
          </cell>
          <cell r="C1082" t="str">
            <v>TOUMODI_SAKASSOU</v>
          </cell>
          <cell r="D1082" t="str">
            <v>-5.5690788</v>
          </cell>
          <cell r="E1082" t="str">
            <v>7.4022383</v>
          </cell>
          <cell r="F1082" t="str">
            <v>2G/3G/4G</v>
          </cell>
          <cell r="G1082" t="str">
            <v>HUAWEI</v>
          </cell>
          <cell r="H1082" t="str">
            <v>IHS</v>
          </cell>
          <cell r="I1082" t="str">
            <v>TOUMODI-SAKASSOU</v>
          </cell>
          <cell r="J1082" t="str">
            <v>TOUMODI-SAKASSOU</v>
          </cell>
          <cell r="K1082" t="str">
            <v>SAKASSOU</v>
          </cell>
          <cell r="L1082" t="str">
            <v>GBEKE</v>
          </cell>
          <cell r="M1082" t="str">
            <v>BOUAKE</v>
          </cell>
          <cell r="N1082" t="str">
            <v>UPCOUNTRY</v>
          </cell>
        </row>
        <row r="1083">
          <cell r="B1083" t="str">
            <v>ET118</v>
          </cell>
          <cell r="C1083" t="str">
            <v>MARAHUI</v>
          </cell>
          <cell r="D1083" t="str">
            <v>-2.750381</v>
          </cell>
          <cell r="E1083" t="str">
            <v>8.614583</v>
          </cell>
          <cell r="F1083" t="str">
            <v>2G/3G/4G</v>
          </cell>
          <cell r="G1083" t="str">
            <v>ERICSSON</v>
          </cell>
          <cell r="H1083" t="str">
            <v>IHS</v>
          </cell>
          <cell r="I1083" t="str">
            <v>MARAHUI</v>
          </cell>
          <cell r="J1083" t="str">
            <v>TAGADI</v>
          </cell>
          <cell r="K1083" t="str">
            <v>BONDOUKOU</v>
          </cell>
          <cell r="L1083" t="str">
            <v>GONTOUGO</v>
          </cell>
          <cell r="M1083" t="str">
            <v>ABENGOUROU</v>
          </cell>
          <cell r="N1083" t="str">
            <v>UPCOUNTRY</v>
          </cell>
        </row>
        <row r="1084">
          <cell r="B1084" t="str">
            <v>ET119</v>
          </cell>
          <cell r="C1084" t="str">
            <v>AGBAOU</v>
          </cell>
          <cell r="D1084" t="str">
            <v>-5.215989</v>
          </cell>
          <cell r="E1084" t="str">
            <v>6.080406</v>
          </cell>
          <cell r="F1084" t="str">
            <v>2G/3G/4G</v>
          </cell>
          <cell r="G1084" t="str">
            <v>ERICSSON</v>
          </cell>
          <cell r="H1084" t="str">
            <v>IHS</v>
          </cell>
          <cell r="I1084" t="str">
            <v>AGBAOU</v>
          </cell>
          <cell r="J1084" t="str">
            <v>DIDOKO</v>
          </cell>
          <cell r="K1084" t="str">
            <v>DIVO</v>
          </cell>
          <cell r="L1084" t="str">
            <v>LOH-DJIBOUA</v>
          </cell>
          <cell r="M1084" t="str">
            <v>DIVO</v>
          </cell>
          <cell r="N1084" t="str">
            <v>UPCOUNTRY</v>
          </cell>
        </row>
        <row r="1085">
          <cell r="B1085" t="str">
            <v>ET120</v>
          </cell>
          <cell r="C1085" t="str">
            <v>ASSIE_KOUMASSI</v>
          </cell>
          <cell r="D1085" t="str">
            <v>-4.28603</v>
          </cell>
          <cell r="E1085" t="str">
            <v>6.76972</v>
          </cell>
          <cell r="F1085" t="str">
            <v>2G/3G/4G</v>
          </cell>
          <cell r="G1085" t="str">
            <v>HUAWEI</v>
          </cell>
          <cell r="H1085" t="str">
            <v>IHS</v>
          </cell>
          <cell r="I1085" t="str">
            <v>ASSIE-KOYEKRO</v>
          </cell>
          <cell r="J1085" t="str">
            <v>ASSIE-KOUMASSI</v>
          </cell>
          <cell r="K1085" t="str">
            <v>BONGOUANOU</v>
          </cell>
          <cell r="L1085" t="str">
            <v>MORONOU</v>
          </cell>
          <cell r="M1085" t="str">
            <v>ABENGOUROU</v>
          </cell>
          <cell r="N1085" t="str">
            <v>UPCOUNTRY</v>
          </cell>
        </row>
        <row r="1086">
          <cell r="B1086" t="str">
            <v>ET121</v>
          </cell>
          <cell r="C1086" t="str">
            <v>USINE_PALMCI_V3</v>
          </cell>
          <cell r="D1086" t="str">
            <v>-3.039638889</v>
          </cell>
          <cell r="E1086" t="str">
            <v>5.199555556</v>
          </cell>
          <cell r="F1086" t="str">
            <v>2G/3G/4G</v>
          </cell>
          <cell r="G1086" t="str">
            <v>ERICSSON</v>
          </cell>
          <cell r="H1086" t="str">
            <v>IHS</v>
          </cell>
          <cell r="I1086" t="str">
            <v>EHANIA V3</v>
          </cell>
          <cell r="J1086" t="str">
            <v>ADJOUAN</v>
          </cell>
          <cell r="K1086" t="str">
            <v>ABOISSO</v>
          </cell>
          <cell r="L1086" t="str">
            <v>SUD-COMOE</v>
          </cell>
          <cell r="M1086" t="str">
            <v>MARCORY</v>
          </cell>
          <cell r="N1086" t="str">
            <v>UPCOUNTRY</v>
          </cell>
        </row>
        <row r="1087">
          <cell r="B1087" t="str">
            <v>ET122</v>
          </cell>
          <cell r="C1087" t="str">
            <v>NANGOUNKAHA</v>
          </cell>
          <cell r="D1087" t="str">
            <v>-5.53447</v>
          </cell>
          <cell r="E1087" t="str">
            <v>9.493</v>
          </cell>
          <cell r="F1087" t="str">
            <v>2G/3G/4G</v>
          </cell>
          <cell r="G1087" t="str">
            <v>HUAWEI</v>
          </cell>
          <cell r="H1087" t="str">
            <v>IHS</v>
          </cell>
          <cell r="I1087" t="str">
            <v>NANGOUNKAHA</v>
          </cell>
          <cell r="J1087" t="str">
            <v>KARAKORO</v>
          </cell>
          <cell r="K1087" t="str">
            <v>KORHOGO</v>
          </cell>
          <cell r="L1087" t="str">
            <v>PORO</v>
          </cell>
          <cell r="M1087" t="str">
            <v>KORHOGO</v>
          </cell>
          <cell r="N1087" t="str">
            <v>UPCOUNTRY</v>
          </cell>
        </row>
        <row r="1088">
          <cell r="B1088" t="str">
            <v>ET123</v>
          </cell>
          <cell r="C1088" t="str">
            <v>TOUMBOKRO</v>
          </cell>
          <cell r="D1088" t="str">
            <v>-5.501807</v>
          </cell>
          <cell r="E1088" t="str">
            <v>6.927326</v>
          </cell>
          <cell r="F1088" t="str">
            <v>2G/3G/4G</v>
          </cell>
          <cell r="G1088" t="str">
            <v>HUAWEI</v>
          </cell>
          <cell r="H1088" t="str">
            <v>IHS</v>
          </cell>
          <cell r="I1088" t="str">
            <v>TOUMBOKRO</v>
          </cell>
          <cell r="J1088" t="str">
            <v>KOSSOU</v>
          </cell>
          <cell r="K1088" t="str">
            <v>YAMOUSSOUKRO</v>
          </cell>
          <cell r="L1088" t="str">
            <v>YAMOUSSOUKRO</v>
          </cell>
          <cell r="M1088" t="str">
            <v>YAMOUSSOUKRO</v>
          </cell>
          <cell r="N1088" t="str">
            <v>UPCOUNTRY</v>
          </cell>
        </row>
        <row r="1089">
          <cell r="B1089" t="str">
            <v>ET124</v>
          </cell>
          <cell r="C1089" t="str">
            <v>KANZRA</v>
          </cell>
          <cell r="D1089" t="str">
            <v>-6.21722</v>
          </cell>
          <cell r="E1089" t="str">
            <v>7.32565</v>
          </cell>
          <cell r="F1089" t="str">
            <v>2G/3G/4G</v>
          </cell>
          <cell r="G1089" t="str">
            <v>HUAWEI</v>
          </cell>
          <cell r="H1089" t="str">
            <v>IHS</v>
          </cell>
          <cell r="I1089" t="str">
            <v>KANZRA</v>
          </cell>
          <cell r="J1089" t="str">
            <v>KANZRA</v>
          </cell>
          <cell r="K1089" t="str">
            <v>ZUENOULA</v>
          </cell>
          <cell r="L1089" t="str">
            <v>MARAHOUE</v>
          </cell>
          <cell r="M1089" t="str">
            <v>DALOA</v>
          </cell>
          <cell r="N1089" t="str">
            <v>UPCOUNTRY</v>
          </cell>
        </row>
        <row r="1090">
          <cell r="B1090" t="str">
            <v>ET125</v>
          </cell>
          <cell r="C1090" t="str">
            <v>KOREGUHE</v>
          </cell>
          <cell r="D1090" t="str">
            <v>-6.66406</v>
          </cell>
          <cell r="E1090" t="str">
            <v>6.17283</v>
          </cell>
          <cell r="F1090" t="str">
            <v>2G/3G/4G</v>
          </cell>
          <cell r="G1090" t="str">
            <v>HUAWEI</v>
          </cell>
          <cell r="H1090" t="str">
            <v>IHS</v>
          </cell>
          <cell r="I1090" t="str">
            <v>KOREGUHE</v>
          </cell>
          <cell r="J1090" t="str">
            <v>GRAND-ZATTRY</v>
          </cell>
          <cell r="K1090" t="str">
            <v>SOUBRE</v>
          </cell>
          <cell r="L1090" t="str">
            <v>NAWA</v>
          </cell>
          <cell r="M1090" t="str">
            <v>SOUBRE</v>
          </cell>
          <cell r="N1090" t="str">
            <v>UPCOUNTRY</v>
          </cell>
        </row>
        <row r="1091">
          <cell r="B1091" t="str">
            <v>ET126</v>
          </cell>
          <cell r="C1091" t="str">
            <v>GNABOYA_V4</v>
          </cell>
          <cell r="D1091" t="str">
            <v>-6.93136</v>
          </cell>
          <cell r="E1091" t="str">
            <v>6.07892</v>
          </cell>
          <cell r="F1091" t="str">
            <v>2G/3G/4G</v>
          </cell>
          <cell r="G1091" t="str">
            <v>HUAWEI</v>
          </cell>
          <cell r="H1091" t="str">
            <v>IHS</v>
          </cell>
          <cell r="I1091" t="str">
            <v>GNAGBOYAV4</v>
          </cell>
          <cell r="J1091" t="str">
            <v>DAPEOUA</v>
          </cell>
          <cell r="K1091" t="str">
            <v>BUYO</v>
          </cell>
          <cell r="L1091" t="str">
            <v>NAWA</v>
          </cell>
          <cell r="M1091" t="str">
            <v>SOUBRE</v>
          </cell>
          <cell r="N1091" t="str">
            <v>UPCOUNTRY</v>
          </cell>
        </row>
        <row r="1092">
          <cell r="B1092" t="str">
            <v>ET127</v>
          </cell>
          <cell r="C1092" t="str">
            <v>DJIGBAGUI</v>
          </cell>
          <cell r="D1092" t="str">
            <v>-6.87199</v>
          </cell>
          <cell r="E1092" t="str">
            <v>5.61461</v>
          </cell>
          <cell r="F1092" t="str">
            <v>2G/3G/4G</v>
          </cell>
          <cell r="G1092" t="str">
            <v>HUAWEI</v>
          </cell>
          <cell r="H1092" t="str">
            <v>IHS</v>
          </cell>
          <cell r="I1092" t="str">
            <v>DJIGBAGUI</v>
          </cell>
          <cell r="J1092" t="str">
            <v>GNANMANGUI</v>
          </cell>
          <cell r="K1092" t="str">
            <v>MEAGUI</v>
          </cell>
          <cell r="L1092" t="str">
            <v>NAWA</v>
          </cell>
          <cell r="M1092" t="str">
            <v>SOUBRE</v>
          </cell>
          <cell r="N1092" t="str">
            <v>UPCOUNTRY</v>
          </cell>
        </row>
        <row r="1093">
          <cell r="B1093" t="str">
            <v>ET128</v>
          </cell>
          <cell r="C1093" t="str">
            <v>DOUKOUYO</v>
          </cell>
          <cell r="D1093" t="str">
            <v>-5.961507</v>
          </cell>
          <cell r="E1093" t="str">
            <v>5.827410</v>
          </cell>
          <cell r="F1093" t="str">
            <v>2G/3G/4G</v>
          </cell>
          <cell r="G1093" t="str">
            <v>HUAWEI</v>
          </cell>
          <cell r="H1093" t="str">
            <v>IHS</v>
          </cell>
          <cell r="I1093" t="str">
            <v>DOUKOUYO</v>
          </cell>
          <cell r="J1093" t="str">
            <v>DOUKOUYO</v>
          </cell>
          <cell r="K1093" t="str">
            <v>GAGNOA</v>
          </cell>
          <cell r="L1093" t="str">
            <v>GOH</v>
          </cell>
          <cell r="M1093" t="str">
            <v>GAGNOA</v>
          </cell>
          <cell r="N1093" t="str">
            <v>UPCOUNTRY</v>
          </cell>
        </row>
        <row r="1094">
          <cell r="B1094" t="str">
            <v>ET129</v>
          </cell>
          <cell r="C1094" t="str">
            <v>TCHETALY</v>
          </cell>
          <cell r="D1094" t="str">
            <v>-7.06906</v>
          </cell>
          <cell r="E1094" t="str">
            <v>6.18097</v>
          </cell>
          <cell r="F1094" t="str">
            <v>2G/3G/4G</v>
          </cell>
          <cell r="G1094" t="str">
            <v>HUAWEI</v>
          </cell>
          <cell r="H1094" t="str">
            <v>IHS</v>
          </cell>
          <cell r="I1094" t="str">
            <v>TCHETALY</v>
          </cell>
          <cell r="J1094" t="str">
            <v>BUYO</v>
          </cell>
          <cell r="K1094" t="str">
            <v>BUYO</v>
          </cell>
          <cell r="L1094" t="str">
            <v>NAWA</v>
          </cell>
          <cell r="M1094" t="str">
            <v>SOUBRE</v>
          </cell>
          <cell r="N1094" t="str">
            <v>UPCOUNTRY</v>
          </cell>
        </row>
        <row r="1095">
          <cell r="B1095" t="str">
            <v>ET130</v>
          </cell>
          <cell r="C1095" t="str">
            <v>WONSEALY_V2</v>
          </cell>
          <cell r="D1095" t="str">
            <v>-7.03967</v>
          </cell>
          <cell r="E1095" t="str">
            <v>6.17136</v>
          </cell>
          <cell r="F1095" t="str">
            <v>2G/3G/4G</v>
          </cell>
          <cell r="G1095" t="str">
            <v>HUAWEI</v>
          </cell>
          <cell r="H1095" t="str">
            <v>IHS</v>
          </cell>
          <cell r="I1095" t="str">
            <v>WONSEALY</v>
          </cell>
          <cell r="J1095" t="str">
            <v>BUYO</v>
          </cell>
          <cell r="K1095" t="str">
            <v>BUYO</v>
          </cell>
          <cell r="L1095" t="str">
            <v>NAWA</v>
          </cell>
          <cell r="M1095" t="str">
            <v>SOUBRE</v>
          </cell>
          <cell r="N1095" t="str">
            <v>UPCOUNTRY</v>
          </cell>
        </row>
        <row r="1096">
          <cell r="B1096" t="str">
            <v>ET131</v>
          </cell>
          <cell r="C1096" t="str">
            <v>GBOGUHE</v>
          </cell>
          <cell r="D1096" t="str">
            <v>-6.58535</v>
          </cell>
          <cell r="E1096" t="str">
            <v>6.75474</v>
          </cell>
          <cell r="F1096" t="str">
            <v>2G/3G/4G</v>
          </cell>
          <cell r="G1096" t="str">
            <v>HUAWEI</v>
          </cell>
          <cell r="H1096" t="str">
            <v>IHS</v>
          </cell>
          <cell r="I1096" t="str">
            <v>GBOGUHE</v>
          </cell>
          <cell r="J1096" t="str">
            <v>GBOGUHE</v>
          </cell>
          <cell r="K1096" t="str">
            <v>DALOA</v>
          </cell>
          <cell r="L1096" t="str">
            <v>HAUT-SASSANDRA</v>
          </cell>
          <cell r="M1096" t="str">
            <v>DALOA</v>
          </cell>
          <cell r="N1096" t="str">
            <v>UPCOUNTRY</v>
          </cell>
        </row>
        <row r="1097">
          <cell r="B1097" t="str">
            <v>ET132</v>
          </cell>
          <cell r="C1097" t="str">
            <v>MONOKO_ZOHI</v>
          </cell>
          <cell r="D1097" t="str">
            <v>-6.845894</v>
          </cell>
          <cell r="E1097" t="str">
            <v>7.061757</v>
          </cell>
          <cell r="F1097" t="str">
            <v>2G/3G/4G</v>
          </cell>
          <cell r="G1097" t="str">
            <v>HUAWEI</v>
          </cell>
          <cell r="H1097" t="str">
            <v>IHS</v>
          </cell>
          <cell r="I1097" t="str">
            <v>MONOKO-ZOHI</v>
          </cell>
          <cell r="J1097" t="str">
            <v>Dania</v>
          </cell>
          <cell r="K1097" t="str">
            <v>VAVOUA</v>
          </cell>
          <cell r="L1097" t="str">
            <v>HAUT-SASSANDRA</v>
          </cell>
          <cell r="M1097" t="str">
            <v>DALOA</v>
          </cell>
          <cell r="N1097" t="str">
            <v>UPCOUNTRY</v>
          </cell>
        </row>
        <row r="1098">
          <cell r="B1098" t="str">
            <v>ET133</v>
          </cell>
          <cell r="C1098" t="str">
            <v>PELEZI</v>
          </cell>
          <cell r="D1098" t="str">
            <v>-6.80289</v>
          </cell>
          <cell r="E1098" t="str">
            <v>7.28494</v>
          </cell>
          <cell r="F1098" t="str">
            <v>2G/3G/4G</v>
          </cell>
          <cell r="G1098" t="str">
            <v>HUAWEI</v>
          </cell>
          <cell r="H1098" t="str">
            <v>IHS</v>
          </cell>
          <cell r="I1098" t="str">
            <v>PELEZI</v>
          </cell>
          <cell r="J1098" t="str">
            <v>DANIA</v>
          </cell>
          <cell r="K1098" t="str">
            <v>VAVOUA</v>
          </cell>
          <cell r="L1098" t="str">
            <v>HAUT-SASSANDRA</v>
          </cell>
          <cell r="M1098" t="str">
            <v>DALOA</v>
          </cell>
          <cell r="N1098" t="str">
            <v>UPCOUNTRY</v>
          </cell>
        </row>
        <row r="1099">
          <cell r="B1099" t="str">
            <v>ET134</v>
          </cell>
          <cell r="C1099" t="str">
            <v>ZOUGOUZOA</v>
          </cell>
          <cell r="D1099" t="str">
            <v>-6.59069</v>
          </cell>
          <cell r="E1099" t="str">
            <v>6.21097</v>
          </cell>
          <cell r="F1099" t="str">
            <v>2G/3G/4G</v>
          </cell>
          <cell r="G1099" t="str">
            <v>HUAWEI</v>
          </cell>
          <cell r="H1099" t="str">
            <v>IHS</v>
          </cell>
          <cell r="I1099" t="str">
            <v>ZOUGOUZOA</v>
          </cell>
          <cell r="J1099" t="str">
            <v>GRAND-ZATTRY</v>
          </cell>
          <cell r="K1099" t="str">
            <v>SOUBRE</v>
          </cell>
          <cell r="L1099" t="str">
            <v>NAWA</v>
          </cell>
          <cell r="M1099" t="str">
            <v>SOUBRE</v>
          </cell>
          <cell r="N1099" t="str">
            <v>UPCOUNTRY</v>
          </cell>
        </row>
        <row r="1100">
          <cell r="B1100" t="str">
            <v>ET135</v>
          </cell>
          <cell r="C1100" t="str">
            <v>ANGOVIA</v>
          </cell>
          <cell r="D1100" t="str">
            <v>-5.527977</v>
          </cell>
          <cell r="E1100" t="str">
            <v>7.03598</v>
          </cell>
          <cell r="F1100" t="str">
            <v>2G/3G/4G</v>
          </cell>
          <cell r="G1100" t="str">
            <v>HUAWEI</v>
          </cell>
          <cell r="H1100" t="str">
            <v>IHS</v>
          </cell>
          <cell r="I1100" t="str">
            <v>ANGOVIA</v>
          </cell>
          <cell r="J1100" t="str">
            <v>BEGBESSOU</v>
          </cell>
          <cell r="K1100" t="str">
            <v>BOUAFLE</v>
          </cell>
          <cell r="L1100" t="str">
            <v>MARAHOUE</v>
          </cell>
          <cell r="M1100" t="str">
            <v>YAMOUSSOUKRO</v>
          </cell>
          <cell r="N1100" t="str">
            <v>UPCOUNTRY</v>
          </cell>
        </row>
        <row r="1101">
          <cell r="B1101" t="str">
            <v>ET136</v>
          </cell>
          <cell r="C1101" t="str">
            <v>BAMIEOUA</v>
          </cell>
          <cell r="D1101" t="str">
            <v>-6.16156</v>
          </cell>
          <cell r="E1101" t="str">
            <v>6.32147</v>
          </cell>
          <cell r="F1101" t="str">
            <v>2G/3G/4G</v>
          </cell>
          <cell r="G1101" t="str">
            <v>HUAWEI</v>
          </cell>
          <cell r="H1101" t="str">
            <v>IHS</v>
          </cell>
          <cell r="I1101" t="str">
            <v>ZOHOA</v>
          </cell>
          <cell r="J1101" t="str">
            <v>GUIBEROUA</v>
          </cell>
          <cell r="K1101" t="str">
            <v>GAGNOA</v>
          </cell>
          <cell r="L1101" t="str">
            <v>GOH</v>
          </cell>
          <cell r="M1101" t="str">
            <v>GAGNOA</v>
          </cell>
          <cell r="N1101" t="str">
            <v>UPCOUNTRY</v>
          </cell>
        </row>
        <row r="1102">
          <cell r="B1102" t="str">
            <v>ET137</v>
          </cell>
          <cell r="C1102" t="str">
            <v>OFFA</v>
          </cell>
          <cell r="D1102" t="str">
            <v>-4.363774</v>
          </cell>
          <cell r="E1102" t="str">
            <v>5.934664</v>
          </cell>
          <cell r="F1102" t="str">
            <v>2G/3G/4G</v>
          </cell>
          <cell r="G1102" t="str">
            <v>ERICSSON</v>
          </cell>
          <cell r="H1102" t="str">
            <v>IHS</v>
          </cell>
          <cell r="I1102" t="str">
            <v>OFFA</v>
          </cell>
          <cell r="J1102" t="str">
            <v>AGBOVILLE</v>
          </cell>
          <cell r="K1102" t="str">
            <v>AGBOVILLE</v>
          </cell>
          <cell r="L1102" t="str">
            <v>AGNEBY-TIASSA</v>
          </cell>
          <cell r="M1102" t="str">
            <v>ABOBO</v>
          </cell>
          <cell r="N1102" t="str">
            <v>UPCOUNTRY</v>
          </cell>
        </row>
        <row r="1103">
          <cell r="B1103" t="str">
            <v>ET138</v>
          </cell>
          <cell r="C1103" t="str">
            <v>MIGNORE</v>
          </cell>
          <cell r="D1103" t="str">
            <v>-6.78877</v>
          </cell>
          <cell r="E1103" t="str">
            <v>7.4926</v>
          </cell>
          <cell r="F1103" t="str">
            <v>2G/3G/4G</v>
          </cell>
          <cell r="G1103" t="str">
            <v>HUAWEI</v>
          </cell>
          <cell r="H1103" t="str">
            <v>IHS</v>
          </cell>
          <cell r="I1103" t="str">
            <v>MIGNORE</v>
          </cell>
          <cell r="J1103" t="str">
            <v>SEITIFLA</v>
          </cell>
          <cell r="K1103" t="str">
            <v>VAVOUA</v>
          </cell>
          <cell r="L1103" t="str">
            <v>HAUT-SASSANDRA</v>
          </cell>
          <cell r="M1103" t="str">
            <v>DALOA</v>
          </cell>
          <cell r="N1103" t="str">
            <v>UPCOUNTRY</v>
          </cell>
        </row>
        <row r="1104">
          <cell r="B1104" t="str">
            <v>ET139</v>
          </cell>
          <cell r="C1104" t="str">
            <v>BAOULIFLA</v>
          </cell>
          <cell r="D1104" t="str">
            <v>-6.47244</v>
          </cell>
          <cell r="E1104" t="str">
            <v>7.23398</v>
          </cell>
          <cell r="F1104" t="str">
            <v>2G/3G/4G</v>
          </cell>
          <cell r="G1104" t="str">
            <v>HUAWEI</v>
          </cell>
          <cell r="H1104" t="str">
            <v>IHS</v>
          </cell>
          <cell r="I1104" t="str">
            <v>BAOULIFLA</v>
          </cell>
          <cell r="J1104" t="str">
            <v>VAVOUA</v>
          </cell>
          <cell r="K1104" t="str">
            <v>VAVOUA</v>
          </cell>
          <cell r="L1104" t="str">
            <v>HAUT-SASSANDRA</v>
          </cell>
          <cell r="M1104" t="str">
            <v>DALOA</v>
          </cell>
          <cell r="N1104" t="str">
            <v>UPCOUNTRY</v>
          </cell>
        </row>
        <row r="1105">
          <cell r="B1105" t="str">
            <v>ET140</v>
          </cell>
          <cell r="C1105" t="str">
            <v>ZOUKPANGBEU</v>
          </cell>
          <cell r="D1105" t="str">
            <v>-6.76922</v>
          </cell>
          <cell r="E1105" t="str">
            <v>6.79706</v>
          </cell>
          <cell r="F1105" t="str">
            <v>2G/3G/4G</v>
          </cell>
          <cell r="G1105" t="str">
            <v>HUAWEI</v>
          </cell>
          <cell r="H1105" t="str">
            <v>IHS</v>
          </cell>
          <cell r="I1105" t="str">
            <v>ZOUKPANGBEU</v>
          </cell>
          <cell r="J1105" t="str">
            <v>GREGBEU</v>
          </cell>
          <cell r="K1105" t="str">
            <v>ZOUKOUGBEU</v>
          </cell>
          <cell r="L1105" t="str">
            <v>HAUT-SASSANDRA</v>
          </cell>
          <cell r="M1105" t="str">
            <v>DALOA</v>
          </cell>
          <cell r="N1105" t="str">
            <v>UPCOUNTRY</v>
          </cell>
        </row>
        <row r="1106">
          <cell r="B1106" t="str">
            <v>ET141</v>
          </cell>
          <cell r="C1106" t="str">
            <v>CHIEPO</v>
          </cell>
          <cell r="D1106" t="str">
            <v>-5.058944</v>
          </cell>
          <cell r="E1106" t="str">
            <v>5.701611</v>
          </cell>
          <cell r="F1106" t="str">
            <v>2G/3G/4G</v>
          </cell>
          <cell r="G1106" t="str">
            <v>ERICSSON</v>
          </cell>
          <cell r="H1106" t="str">
            <v>IHS</v>
          </cell>
          <cell r="I1106" t="str">
            <v>CHIEPO</v>
          </cell>
          <cell r="J1106" t="str">
            <v>CHIEPO</v>
          </cell>
          <cell r="K1106" t="str">
            <v>DIVO</v>
          </cell>
          <cell r="L1106" t="str">
            <v>LOH-DJIBOUA</v>
          </cell>
          <cell r="M1106" t="str">
            <v>DIVO</v>
          </cell>
          <cell r="N1106" t="str">
            <v>UPCOUNTRY</v>
          </cell>
        </row>
        <row r="1107">
          <cell r="B1107" t="str">
            <v>ET142</v>
          </cell>
          <cell r="C1107" t="str">
            <v>DIGAKO</v>
          </cell>
          <cell r="D1107" t="str">
            <v>-5.57641666666667</v>
          </cell>
          <cell r="E1107" t="str">
            <v>6.05522222222222</v>
          </cell>
          <cell r="F1107" t="str">
            <v>2G/3G/4G</v>
          </cell>
          <cell r="G1107" t="str">
            <v>ERICSSON</v>
          </cell>
          <cell r="H1107" t="str">
            <v>IHS</v>
          </cell>
          <cell r="I1107" t="str">
            <v>DIGAKO</v>
          </cell>
          <cell r="J1107" t="str">
            <v>GAGORE</v>
          </cell>
          <cell r="K1107" t="str">
            <v>LAKOTA</v>
          </cell>
          <cell r="L1107" t="str">
            <v>LOH-DJIBOUA</v>
          </cell>
          <cell r="M1107" t="str">
            <v>DIVO</v>
          </cell>
          <cell r="N1107" t="str">
            <v>UPCOUNTRY</v>
          </cell>
        </row>
        <row r="1108">
          <cell r="B1108" t="str">
            <v>ET143</v>
          </cell>
          <cell r="C1108" t="str">
            <v>GALEBRE</v>
          </cell>
          <cell r="D1108" t="str">
            <v>-6.28903</v>
          </cell>
          <cell r="E1108" t="str">
            <v>6.004565</v>
          </cell>
          <cell r="F1108" t="str">
            <v>2G/3G/4G</v>
          </cell>
          <cell r="G1108" t="str">
            <v>HUAWEI</v>
          </cell>
          <cell r="H1108" t="str">
            <v>MOOV</v>
          </cell>
          <cell r="I1108" t="str">
            <v>GALEBRE</v>
          </cell>
          <cell r="J1108" t="str">
            <v>GALEBRE</v>
          </cell>
          <cell r="K1108" t="str">
            <v>GAGNOA</v>
          </cell>
          <cell r="L1108" t="str">
            <v>GOH</v>
          </cell>
          <cell r="M1108" t="str">
            <v>GAGNOA</v>
          </cell>
          <cell r="N1108" t="str">
            <v>UPCOUNTRY</v>
          </cell>
        </row>
        <row r="1109">
          <cell r="B1109" t="str">
            <v>ET144</v>
          </cell>
          <cell r="C1109" t="str">
            <v>BRABODOUGOU</v>
          </cell>
          <cell r="D1109" t="str">
            <v>-5.30121</v>
          </cell>
          <cell r="E1109" t="str">
            <v>5.80263</v>
          </cell>
          <cell r="F1109" t="str">
            <v>2G/3G/4G</v>
          </cell>
          <cell r="G1109" t="str">
            <v>ERICSSON</v>
          </cell>
          <cell r="H1109" t="str">
            <v>IHS</v>
          </cell>
          <cell r="I1109" t="str">
            <v>BRABODOUGOU</v>
          </cell>
          <cell r="J1109" t="str">
            <v>DIVO</v>
          </cell>
          <cell r="K1109" t="str">
            <v>DIVO</v>
          </cell>
          <cell r="L1109" t="str">
            <v>LOH-DJIBOUA</v>
          </cell>
          <cell r="M1109" t="str">
            <v>DIVO</v>
          </cell>
          <cell r="N1109" t="str">
            <v>UPCOUNTRY</v>
          </cell>
        </row>
        <row r="1110">
          <cell r="B1110" t="str">
            <v>ET145</v>
          </cell>
          <cell r="C1110" t="str">
            <v>GNATROA</v>
          </cell>
          <cell r="D1110" t="str">
            <v>-6.15339</v>
          </cell>
          <cell r="E1110" t="str">
            <v>5.92139</v>
          </cell>
          <cell r="F1110" t="str">
            <v>2G/3G/4G</v>
          </cell>
          <cell r="G1110" t="str">
            <v>HUAWEI</v>
          </cell>
          <cell r="H1110" t="str">
            <v>IHS</v>
          </cell>
          <cell r="I1110" t="str">
            <v>GNATROA</v>
          </cell>
          <cell r="J1110" t="str">
            <v>SERIHIO</v>
          </cell>
          <cell r="K1110" t="str">
            <v>GAGNOA</v>
          </cell>
          <cell r="L1110" t="str">
            <v>GOH</v>
          </cell>
          <cell r="M1110" t="str">
            <v>GAGNOA</v>
          </cell>
          <cell r="N1110" t="str">
            <v>UPCOUNTRY</v>
          </cell>
        </row>
        <row r="1111">
          <cell r="B1111" t="str">
            <v>ET146</v>
          </cell>
          <cell r="C1111" t="str">
            <v>DAIRO_DIDIZO</v>
          </cell>
          <cell r="D1111" t="str">
            <v>-5.472389</v>
          </cell>
          <cell r="E1111" t="str">
            <v>5.662361</v>
          </cell>
          <cell r="F1111" t="str">
            <v>2G/3G/4G</v>
          </cell>
          <cell r="G1111" t="str">
            <v>ERICSSON</v>
          </cell>
          <cell r="H1111" t="str">
            <v>IHS</v>
          </cell>
          <cell r="I1111" t="str">
            <v>DAIRO - DIDIZO</v>
          </cell>
          <cell r="J1111" t="str">
            <v>DAIRO-DIDIZO</v>
          </cell>
          <cell r="K1111" t="str">
            <v>GUITRY</v>
          </cell>
          <cell r="L1111" t="str">
            <v>LOH-DJIBOUA</v>
          </cell>
          <cell r="M1111" t="str">
            <v>DIVO</v>
          </cell>
          <cell r="N1111" t="str">
            <v>UPCOUNTRY</v>
          </cell>
        </row>
        <row r="1112">
          <cell r="B1112" t="str">
            <v>ET147</v>
          </cell>
          <cell r="C1112" t="str">
            <v>GLY_SUR_LES_RAILS</v>
          </cell>
          <cell r="D1112" t="str">
            <v>-5.28366666666667</v>
          </cell>
          <cell r="E1112" t="str">
            <v>5.70902777777778</v>
          </cell>
          <cell r="F1112" t="str">
            <v>2G/3G/4G</v>
          </cell>
          <cell r="G1112" t="str">
            <v>ERICSSON</v>
          </cell>
          <cell r="H1112" t="str">
            <v>IHS</v>
          </cell>
          <cell r="I1112" t="str">
            <v>SUR LES RAILS</v>
          </cell>
          <cell r="J1112" t="str">
            <v>DIVO</v>
          </cell>
          <cell r="K1112" t="str">
            <v>DIVO</v>
          </cell>
          <cell r="L1112" t="str">
            <v>LOH-DJIBOUA</v>
          </cell>
          <cell r="M1112" t="str">
            <v>DIVO</v>
          </cell>
          <cell r="N1112" t="str">
            <v>UPCOUNTRY</v>
          </cell>
        </row>
        <row r="1113">
          <cell r="B1113" t="str">
            <v>ET148</v>
          </cell>
          <cell r="C1113" t="str">
            <v>GOUDI</v>
          </cell>
          <cell r="D1113" t="str">
            <v>-5.10305</v>
          </cell>
          <cell r="E1113" t="str">
            <v>6.11742</v>
          </cell>
          <cell r="F1113" t="str">
            <v>2G/3G/4G</v>
          </cell>
          <cell r="G1113" t="str">
            <v>ERICSSON</v>
          </cell>
          <cell r="H1113" t="str">
            <v>IHS</v>
          </cell>
          <cell r="I1113" t="str">
            <v>GOUDI</v>
          </cell>
          <cell r="J1113" t="str">
            <v>ZEGO</v>
          </cell>
          <cell r="K1113" t="str">
            <v>DIVO</v>
          </cell>
          <cell r="L1113" t="str">
            <v>LOH-DJIBOUA</v>
          </cell>
          <cell r="M1113" t="str">
            <v>YAMOUSSOUKRO</v>
          </cell>
          <cell r="N1113" t="str">
            <v>UPCOUNTRY</v>
          </cell>
        </row>
        <row r="1114">
          <cell r="B1114" t="str">
            <v>ET149</v>
          </cell>
          <cell r="C1114" t="str">
            <v>EBOINDA</v>
          </cell>
          <cell r="D1114" t="str">
            <v>-3.10494444</v>
          </cell>
          <cell r="E1114" t="str">
            <v>5.15322222</v>
          </cell>
          <cell r="F1114" t="str">
            <v>2G/3G/4G</v>
          </cell>
          <cell r="G1114" t="str">
            <v>ERICSSON</v>
          </cell>
          <cell r="H1114" t="str">
            <v>IHS</v>
          </cell>
          <cell r="I1114" t="str">
            <v>EBOINDA</v>
          </cell>
          <cell r="J1114" t="str">
            <v>TIAPOUM</v>
          </cell>
          <cell r="K1114" t="str">
            <v>TIAPOUM</v>
          </cell>
          <cell r="L1114" t="str">
            <v>SUD-COMOE</v>
          </cell>
          <cell r="M1114" t="str">
            <v>MARCORY</v>
          </cell>
          <cell r="N1114" t="str">
            <v>UPCOUNTRY</v>
          </cell>
        </row>
        <row r="1115">
          <cell r="B1115" t="str">
            <v>ET150</v>
          </cell>
          <cell r="C1115" t="str">
            <v>AKRIDOU_LASSE</v>
          </cell>
          <cell r="D1115" t="str">
            <v>-5.60363</v>
          </cell>
          <cell r="E1115" t="str">
            <v>5.63485</v>
          </cell>
          <cell r="F1115" t="str">
            <v>2G/3G/4G</v>
          </cell>
          <cell r="G1115" t="str">
            <v>ERICSSON</v>
          </cell>
          <cell r="H1115" t="str">
            <v>IHS</v>
          </cell>
          <cell r="I1115" t="str">
            <v>KAZERIBERI/KAZEBERY</v>
          </cell>
          <cell r="J1115" t="str">
            <v>GOUDOUKO</v>
          </cell>
          <cell r="K1115" t="str">
            <v>LAKOTA</v>
          </cell>
          <cell r="L1115" t="str">
            <v>LOH-DJIBOUA</v>
          </cell>
          <cell r="M1115" t="str">
            <v>DIVO</v>
          </cell>
          <cell r="N1115" t="str">
            <v>UPCOUNTRY</v>
          </cell>
        </row>
        <row r="1116">
          <cell r="B1116" t="str">
            <v>ET151</v>
          </cell>
          <cell r="C1116" t="str">
            <v>KOTCHERI</v>
          </cell>
          <cell r="D1116" t="str">
            <v>-5.613364</v>
          </cell>
          <cell r="E1116" t="str">
            <v>5.737467</v>
          </cell>
          <cell r="F1116" t="str">
            <v>2G/3G/4G</v>
          </cell>
          <cell r="G1116" t="str">
            <v>ERICSSON</v>
          </cell>
          <cell r="H1116" t="str">
            <v>IHS</v>
          </cell>
          <cell r="I1116" t="str">
            <v>GOUDOUKO</v>
          </cell>
          <cell r="J1116" t="str">
            <v>GOUDOUKO</v>
          </cell>
          <cell r="K1116" t="str">
            <v>LAKOTA</v>
          </cell>
          <cell r="L1116" t="str">
            <v>LOH-DJIBOUA</v>
          </cell>
          <cell r="M1116" t="str">
            <v>DIVO</v>
          </cell>
          <cell r="N1116" t="str">
            <v>UPCOUNTRY</v>
          </cell>
        </row>
        <row r="1117">
          <cell r="B1117" t="str">
            <v>ET152</v>
          </cell>
          <cell r="C1117" t="str">
            <v>GNABODOUGNOA</v>
          </cell>
          <cell r="D1117" t="str">
            <v>-5.84142</v>
          </cell>
          <cell r="E1117" t="str">
            <v>5.96578</v>
          </cell>
          <cell r="F1117" t="str">
            <v>2G/3G/4G</v>
          </cell>
          <cell r="G1117" t="str">
            <v>HUAWEI</v>
          </cell>
          <cell r="H1117" t="str">
            <v>IHS</v>
          </cell>
          <cell r="I1117" t="str">
            <v>GNABODOUGNOA</v>
          </cell>
          <cell r="J1117" t="str">
            <v>GNAGBODOUGNOA</v>
          </cell>
          <cell r="K1117" t="str">
            <v>GAGNOA</v>
          </cell>
          <cell r="L1117" t="str">
            <v>GOH</v>
          </cell>
          <cell r="M1117" t="str">
            <v>GAGNOA</v>
          </cell>
          <cell r="N1117" t="str">
            <v>UPCOUNTRY</v>
          </cell>
        </row>
        <row r="1118">
          <cell r="B1118" t="str">
            <v>ET153</v>
          </cell>
          <cell r="C1118" t="str">
            <v>KOUNTIGUISSO</v>
          </cell>
          <cell r="D1118" t="str">
            <v>-7.37633</v>
          </cell>
          <cell r="E1118" t="str">
            <v>8.51425</v>
          </cell>
          <cell r="F1118" t="str">
            <v>2G/3G/4G</v>
          </cell>
          <cell r="G1118" t="str">
            <v>HUAWEI</v>
          </cell>
          <cell r="H1118" t="str">
            <v>IHS</v>
          </cell>
          <cell r="I1118" t="str">
            <v>KOUNTIGUISSO</v>
          </cell>
          <cell r="J1118" t="str">
            <v>KORO</v>
          </cell>
          <cell r="K1118" t="str">
            <v>KORO</v>
          </cell>
          <cell r="L1118" t="str">
            <v>BAFING</v>
          </cell>
          <cell r="M1118" t="str">
            <v>MAN</v>
          </cell>
          <cell r="N1118" t="str">
            <v>UPCOUNTRY</v>
          </cell>
        </row>
        <row r="1119">
          <cell r="B1119" t="str">
            <v>ET154</v>
          </cell>
          <cell r="C1119" t="str">
            <v>DOUKOUYA</v>
          </cell>
          <cell r="D1119" t="str">
            <v>-5.561046</v>
          </cell>
          <cell r="E1119" t="str">
            <v>6.418198</v>
          </cell>
          <cell r="F1119" t="str">
            <v>2G/3G/4G</v>
          </cell>
          <cell r="G1119" t="str">
            <v>HUAWEI</v>
          </cell>
          <cell r="H1119" t="str">
            <v>IHS</v>
          </cell>
          <cell r="I1119" t="str">
            <v>DOUKOUYA</v>
          </cell>
          <cell r="J1119" t="str">
            <v>OUME</v>
          </cell>
          <cell r="K1119" t="str">
            <v>OUME</v>
          </cell>
          <cell r="L1119" t="str">
            <v>GOH</v>
          </cell>
          <cell r="M1119" t="str">
            <v>GAGNOA</v>
          </cell>
          <cell r="N1119" t="str">
            <v>UPCOUNTRY</v>
          </cell>
        </row>
        <row r="1120">
          <cell r="B1120" t="str">
            <v>ET155</v>
          </cell>
          <cell r="C1120" t="str">
            <v>GABIA</v>
          </cell>
          <cell r="D1120" t="str">
            <v>-5.380052</v>
          </cell>
          <cell r="E1120" t="str">
            <v>6.308904</v>
          </cell>
          <cell r="F1120" t="str">
            <v>2G/3G/4G</v>
          </cell>
          <cell r="G1120" t="str">
            <v>HUAWEI</v>
          </cell>
          <cell r="H1120" t="str">
            <v>IHS</v>
          </cell>
          <cell r="I1120" t="str">
            <v>GABIA</v>
          </cell>
          <cell r="J1120" t="str">
            <v>OUME</v>
          </cell>
          <cell r="K1120" t="str">
            <v>OUME</v>
          </cell>
          <cell r="L1120" t="str">
            <v>GOH</v>
          </cell>
          <cell r="M1120" t="str">
            <v>GAGNOA</v>
          </cell>
          <cell r="N1120" t="str">
            <v>UPCOUNTRY</v>
          </cell>
        </row>
        <row r="1121">
          <cell r="B1121" t="str">
            <v>ET156</v>
          </cell>
          <cell r="C1121" t="str">
            <v>SAKAHOUO</v>
          </cell>
          <cell r="D1121" t="str">
            <v>-5.693</v>
          </cell>
          <cell r="E1121" t="str">
            <v>6.45883</v>
          </cell>
          <cell r="F1121" t="str">
            <v>2G/3G/4G</v>
          </cell>
          <cell r="G1121" t="str">
            <v>HUAWEI</v>
          </cell>
          <cell r="H1121" t="str">
            <v>IHS</v>
          </cell>
          <cell r="I1121" t="str">
            <v>SAKAHOUO</v>
          </cell>
          <cell r="J1121" t="str">
            <v>GUEPAHOUO</v>
          </cell>
          <cell r="K1121" t="str">
            <v>OUME</v>
          </cell>
          <cell r="L1121" t="str">
            <v>GOH</v>
          </cell>
          <cell r="M1121" t="str">
            <v>GAGNOA</v>
          </cell>
          <cell r="N1121" t="str">
            <v>UPCOUNTRY</v>
          </cell>
        </row>
        <row r="1122">
          <cell r="B1122" t="str">
            <v>ET157</v>
          </cell>
          <cell r="C1122" t="str">
            <v>KOUAMEFLA</v>
          </cell>
          <cell r="D1122" t="str">
            <v>-5.42097</v>
          </cell>
          <cell r="E1122" t="str">
            <v>6.58767</v>
          </cell>
          <cell r="F1122" t="str">
            <v>2G/3G/4G</v>
          </cell>
          <cell r="G1122" t="str">
            <v>HUAWEI</v>
          </cell>
          <cell r="H1122" t="str">
            <v>IHS</v>
          </cell>
          <cell r="I1122" t="str">
            <v>KOUAMEFLA</v>
          </cell>
          <cell r="J1122" t="str">
            <v>OUME</v>
          </cell>
          <cell r="K1122" t="str">
            <v>OUME</v>
          </cell>
          <cell r="L1122" t="str">
            <v>GOH</v>
          </cell>
          <cell r="M1122" t="str">
            <v>GAGNOA</v>
          </cell>
          <cell r="N1122" t="str">
            <v>UPCOUNTRY</v>
          </cell>
        </row>
        <row r="1123">
          <cell r="B1123" t="str">
            <v>ET158</v>
          </cell>
          <cell r="C1123" t="str">
            <v>DIGNAGO</v>
          </cell>
          <cell r="D1123" t="str">
            <v>-6.27322</v>
          </cell>
          <cell r="E1123" t="str">
            <v>6.29086</v>
          </cell>
          <cell r="F1123" t="str">
            <v>2G/3G/4G</v>
          </cell>
          <cell r="G1123" t="str">
            <v>HUAWEI</v>
          </cell>
          <cell r="H1123" t="str">
            <v>IHS</v>
          </cell>
          <cell r="I1123" t="str">
            <v>DIGNAGO</v>
          </cell>
          <cell r="J1123" t="str">
            <v>DIGNAGO</v>
          </cell>
          <cell r="K1123" t="str">
            <v>GAGNOA</v>
          </cell>
          <cell r="L1123" t="str">
            <v>GOH</v>
          </cell>
          <cell r="M1123" t="str">
            <v>GAGNOA</v>
          </cell>
          <cell r="N1123" t="str">
            <v>UPCOUNTRY</v>
          </cell>
        </row>
        <row r="1124">
          <cell r="B1124" t="str">
            <v>ET159</v>
          </cell>
          <cell r="C1124" t="str">
            <v>LAMADOUGOU</v>
          </cell>
          <cell r="D1124" t="str">
            <v>-5.9326935</v>
          </cell>
          <cell r="E1124" t="str">
            <v>8.1456542</v>
          </cell>
          <cell r="F1124" t="str">
            <v>2G/3G/4G</v>
          </cell>
          <cell r="G1124" t="str">
            <v>HUAWEI</v>
          </cell>
          <cell r="H1124" t="str">
            <v>IHS</v>
          </cell>
          <cell r="I1124" t="str">
            <v>LAMADOUGOU</v>
          </cell>
          <cell r="J1124" t="str">
            <v>TIENINGBOUE</v>
          </cell>
          <cell r="K1124" t="str">
            <v>MANKONO</v>
          </cell>
          <cell r="L1124" t="str">
            <v>BERE</v>
          </cell>
          <cell r="M1124" t="str">
            <v>BOUAKE</v>
          </cell>
          <cell r="N1124" t="str">
            <v>UPCOUNTRY</v>
          </cell>
        </row>
        <row r="1125">
          <cell r="B1125" t="str">
            <v>ET160</v>
          </cell>
          <cell r="C1125" t="str">
            <v>KPATA</v>
          </cell>
          <cell r="D1125" t="str">
            <v>-7.55048</v>
          </cell>
          <cell r="E1125" t="str">
            <v>7.71128</v>
          </cell>
          <cell r="F1125" t="str">
            <v>2G/3G/4G</v>
          </cell>
          <cell r="G1125" t="str">
            <v>HUAWEI</v>
          </cell>
          <cell r="H1125" t="str">
            <v>IHS</v>
          </cell>
          <cell r="I1125" t="str">
            <v>KPATA</v>
          </cell>
          <cell r="J1125" t="str">
            <v>KPATA</v>
          </cell>
          <cell r="K1125" t="str">
            <v>BIANKOUMA</v>
          </cell>
          <cell r="L1125" t="str">
            <v>TONKPI</v>
          </cell>
          <cell r="M1125" t="str">
            <v>MAN</v>
          </cell>
          <cell r="N1125" t="str">
            <v>UPCOUNTRY</v>
          </cell>
        </row>
        <row r="1126">
          <cell r="B1126" t="str">
            <v>ET161</v>
          </cell>
          <cell r="C1126" t="str">
            <v>GLANGLEU</v>
          </cell>
          <cell r="D1126" t="str">
            <v>-8.2519444</v>
          </cell>
          <cell r="E1126" t="str">
            <v>6.85335278</v>
          </cell>
          <cell r="F1126" t="str">
            <v>2G/3G/4G</v>
          </cell>
          <cell r="G1126" t="str">
            <v>HUAWEI</v>
          </cell>
          <cell r="H1126" t="str">
            <v>IHS</v>
          </cell>
          <cell r="I1126" t="str">
            <v>GLANGLEU</v>
          </cell>
          <cell r="J1126" t="str">
            <v>ZOUAN-HOUNIEN</v>
          </cell>
          <cell r="K1126" t="str">
            <v>ZOUAN-HOUNIEN</v>
          </cell>
          <cell r="L1126" t="str">
            <v>TONKPI</v>
          </cell>
          <cell r="M1126" t="str">
            <v>MAN</v>
          </cell>
          <cell r="N1126" t="str">
            <v>UPCOUNTRY</v>
          </cell>
        </row>
        <row r="1127">
          <cell r="B1127" t="str">
            <v>ET162</v>
          </cell>
          <cell r="C1127" t="str">
            <v>BORON</v>
          </cell>
          <cell r="D1127" t="str">
            <v>-5.423658</v>
          </cell>
          <cell r="E1127" t="str">
            <v>8.062993</v>
          </cell>
          <cell r="F1127" t="str">
            <v>2G/3G/4G</v>
          </cell>
          <cell r="G1127" t="str">
            <v>HUAWEI</v>
          </cell>
          <cell r="H1127" t="str">
            <v>IHS</v>
          </cell>
          <cell r="I1127" t="str">
            <v>BORON</v>
          </cell>
          <cell r="J1127" t="str">
            <v>MARABADJASSA</v>
          </cell>
          <cell r="K1127" t="str">
            <v>BEOUMI</v>
          </cell>
          <cell r="L1127" t="str">
            <v>GBEKE</v>
          </cell>
          <cell r="M1127" t="str">
            <v>BOUAKE</v>
          </cell>
          <cell r="N1127" t="str">
            <v>UPCOUNTRY</v>
          </cell>
        </row>
        <row r="1128">
          <cell r="B1128" t="str">
            <v>ET163</v>
          </cell>
          <cell r="C1128" t="str">
            <v>THANRY_SND</v>
          </cell>
          <cell r="D1128" t="str">
            <v>-7.2402256</v>
          </cell>
          <cell r="E1128" t="str">
            <v>6.7431345</v>
          </cell>
          <cell r="F1128" t="str">
            <v>2G/3G/4G</v>
          </cell>
          <cell r="G1128" t="str">
            <v>HUAWEI</v>
          </cell>
          <cell r="H1128" t="str">
            <v>IHS</v>
          </cell>
          <cell r="I1128" t="str">
            <v>TAHABLYGLODEHE</v>
          </cell>
          <cell r="J1128" t="str">
            <v>GUEZON</v>
          </cell>
          <cell r="K1128" t="str">
            <v>DUEKOUE</v>
          </cell>
          <cell r="L1128" t="str">
            <v>GUEMON</v>
          </cell>
          <cell r="M1128" t="str">
            <v>MAN</v>
          </cell>
          <cell r="N1128" t="str">
            <v>UPCOUNTRY</v>
          </cell>
        </row>
        <row r="1129">
          <cell r="B1129" t="str">
            <v>ET164</v>
          </cell>
          <cell r="C1129" t="str">
            <v>FENGOLO</v>
          </cell>
          <cell r="D1129" t="str">
            <v>-7.397694</v>
          </cell>
          <cell r="E1129" t="str">
            <v>6.787362</v>
          </cell>
          <cell r="F1129" t="str">
            <v>2G/3G/4G</v>
          </cell>
          <cell r="G1129" t="str">
            <v>HUAWEI</v>
          </cell>
          <cell r="H1129" t="str">
            <v>IHS</v>
          </cell>
          <cell r="I1129" t="str">
            <v>FENGOLO</v>
          </cell>
          <cell r="J1129" t="str">
            <v>DUEKOUE</v>
          </cell>
          <cell r="K1129" t="str">
            <v>DUEKOUE</v>
          </cell>
          <cell r="L1129" t="str">
            <v>GUEMON</v>
          </cell>
          <cell r="M1129" t="str">
            <v>MAN</v>
          </cell>
          <cell r="N1129" t="str">
            <v>UPCOUNTRY</v>
          </cell>
        </row>
        <row r="1130">
          <cell r="B1130" t="str">
            <v>ET165</v>
          </cell>
          <cell r="C1130" t="str">
            <v>GUIGLO_PONAN</v>
          </cell>
          <cell r="D1130" t="str">
            <v>-7.548724</v>
          </cell>
          <cell r="E1130" t="str">
            <v>6.406404</v>
          </cell>
          <cell r="F1130" t="str">
            <v>2G/3G/4G</v>
          </cell>
          <cell r="G1130" t="str">
            <v>HUAWEI</v>
          </cell>
          <cell r="H1130" t="str">
            <v>IHS</v>
          </cell>
          <cell r="I1130" t="str">
            <v>PONA</v>
          </cell>
          <cell r="J1130" t="str">
            <v>GUIGLO</v>
          </cell>
          <cell r="K1130" t="str">
            <v>GUIGLO</v>
          </cell>
          <cell r="L1130" t="str">
            <v>CAVALLY</v>
          </cell>
          <cell r="M1130" t="str">
            <v>MAN</v>
          </cell>
          <cell r="N1130" t="str">
            <v>UPCOUNTRY</v>
          </cell>
        </row>
        <row r="1131">
          <cell r="B1131" t="str">
            <v>ET166</v>
          </cell>
          <cell r="C1131" t="str">
            <v>TONGON_VILLAGE</v>
          </cell>
          <cell r="D1131" t="str">
            <v>-5.702667</v>
          </cell>
          <cell r="E1131" t="str">
            <v>9.936833</v>
          </cell>
          <cell r="F1131" t="str">
            <v>2G/3G/4G</v>
          </cell>
          <cell r="G1131" t="str">
            <v>HUAWEI</v>
          </cell>
          <cell r="H1131" t="str">
            <v>IHS</v>
          </cell>
          <cell r="I1131" t="str">
            <v>TONGON</v>
          </cell>
          <cell r="J1131" t="str">
            <v>M'BENGUE</v>
          </cell>
          <cell r="K1131" t="str">
            <v>M'BENGUE</v>
          </cell>
          <cell r="L1131" t="str">
            <v>PORO</v>
          </cell>
          <cell r="M1131" t="str">
            <v>KORHOGO</v>
          </cell>
          <cell r="N1131" t="str">
            <v>UPCOUNTRY</v>
          </cell>
        </row>
        <row r="1132">
          <cell r="B1132" t="str">
            <v>ET167</v>
          </cell>
          <cell r="C1132" t="str">
            <v>DOMANGBEU</v>
          </cell>
          <cell r="D1132" t="str">
            <v>-7.024794</v>
          </cell>
          <cell r="E1132" t="str">
            <v>6.876677</v>
          </cell>
          <cell r="F1132" t="str">
            <v>2G/3G/4G</v>
          </cell>
          <cell r="G1132" t="str">
            <v>HUAWEI</v>
          </cell>
          <cell r="H1132" t="str">
            <v>IHS</v>
          </cell>
          <cell r="I1132" t="str">
            <v>DOMANGBEU</v>
          </cell>
          <cell r="J1132" t="str">
            <v>DOMANGBEU</v>
          </cell>
          <cell r="K1132" t="str">
            <v>ZOUKOUGBEU</v>
          </cell>
          <cell r="L1132" t="str">
            <v>HAUT-SASSANDRA</v>
          </cell>
          <cell r="M1132" t="str">
            <v>DALOA</v>
          </cell>
          <cell r="N1132" t="str">
            <v>UPCOUNTRY</v>
          </cell>
        </row>
        <row r="1133">
          <cell r="B1133" t="str">
            <v>ET168</v>
          </cell>
          <cell r="C1133" t="str">
            <v>ZEAGLO</v>
          </cell>
          <cell r="D1133" t="str">
            <v>-7.83559</v>
          </cell>
          <cell r="E1133" t="str">
            <v>6.55699</v>
          </cell>
          <cell r="F1133" t="str">
            <v>2G/3G/4G</v>
          </cell>
          <cell r="G1133" t="str">
            <v>HUAWEI</v>
          </cell>
          <cell r="H1133" t="str">
            <v>IHS</v>
          </cell>
          <cell r="I1133" t="str">
            <v>ZEAGLO</v>
          </cell>
          <cell r="J1133" t="str">
            <v>ZEAGLO</v>
          </cell>
          <cell r="K1133" t="str">
            <v>BLOLEQUIN</v>
          </cell>
          <cell r="L1133" t="str">
            <v>CAVALLY</v>
          </cell>
          <cell r="M1133" t="str">
            <v>MAN</v>
          </cell>
          <cell r="N1133" t="str">
            <v>UPCOUNTRY</v>
          </cell>
        </row>
        <row r="1134">
          <cell r="B1134" t="str">
            <v>ET169</v>
          </cell>
          <cell r="C1134" t="str">
            <v>OFFOMPO</v>
          </cell>
          <cell r="D1134" t="str">
            <v>-4.459806</v>
          </cell>
          <cell r="E1134" t="str">
            <v>5.96075</v>
          </cell>
          <cell r="F1134" t="str">
            <v>2G/3G/4G</v>
          </cell>
          <cell r="G1134" t="str">
            <v>ERICSSON</v>
          </cell>
          <cell r="H1134" t="str">
            <v>IHS</v>
          </cell>
          <cell r="I1134" t="str">
            <v>OFFOMPO</v>
          </cell>
          <cell r="J1134" t="str">
            <v>AGBOVILLE</v>
          </cell>
          <cell r="K1134" t="str">
            <v>AGBOVILLE</v>
          </cell>
          <cell r="L1134" t="str">
            <v>AGNEBY-TIASSA</v>
          </cell>
          <cell r="M1134" t="str">
            <v>ABOBO</v>
          </cell>
          <cell r="N1134" t="str">
            <v>UPCOUNTRY</v>
          </cell>
        </row>
        <row r="1135">
          <cell r="B1135" t="str">
            <v>ET170</v>
          </cell>
          <cell r="C1135" t="str">
            <v>VAOU</v>
          </cell>
          <cell r="D1135" t="str">
            <v>-6.984927</v>
          </cell>
          <cell r="E1135" t="str">
            <v>7.438997</v>
          </cell>
          <cell r="F1135" t="str">
            <v>2G/3G/4G</v>
          </cell>
          <cell r="G1135" t="str">
            <v>HUAWEI</v>
          </cell>
          <cell r="H1135" t="str">
            <v>IHS</v>
          </cell>
          <cell r="I1135" t="str">
            <v>VAOU</v>
          </cell>
          <cell r="J1135" t="str">
            <v>DANIA</v>
          </cell>
          <cell r="K1135" t="str">
            <v>VAVOUA</v>
          </cell>
          <cell r="L1135" t="str">
            <v>HAUT-SASSANDRA</v>
          </cell>
          <cell r="M1135" t="str">
            <v>DALOA</v>
          </cell>
          <cell r="N1135" t="str">
            <v>UPCOUNTRY</v>
          </cell>
        </row>
        <row r="1136">
          <cell r="B1136" t="str">
            <v>ET171</v>
          </cell>
          <cell r="C1136" t="str">
            <v>KOUIBLY</v>
          </cell>
          <cell r="D1136" t="str">
            <v>-7.230834</v>
          </cell>
          <cell r="E1136" t="str">
            <v>7.253891</v>
          </cell>
          <cell r="F1136" t="str">
            <v>2G/3G/4G</v>
          </cell>
          <cell r="G1136" t="str">
            <v>HUAWEI</v>
          </cell>
          <cell r="H1136" t="str">
            <v>IHS</v>
          </cell>
          <cell r="I1136" t="str">
            <v>KOUIBLY</v>
          </cell>
          <cell r="J1136" t="str">
            <v>KOUIBLY</v>
          </cell>
          <cell r="K1136" t="str">
            <v>KOUIBLY</v>
          </cell>
          <cell r="L1136" t="str">
            <v>GUEMON</v>
          </cell>
          <cell r="M1136" t="str">
            <v>MAN</v>
          </cell>
          <cell r="N1136" t="str">
            <v>UPCOUNTRY</v>
          </cell>
        </row>
        <row r="1137">
          <cell r="B1137" t="str">
            <v>ET172</v>
          </cell>
          <cell r="C1137" t="str">
            <v>NEW_SIPILOU</v>
          </cell>
          <cell r="D1137" t="str">
            <v>-8.098945</v>
          </cell>
          <cell r="E1137" t="str">
            <v>7.851816</v>
          </cell>
          <cell r="F1137" t="str">
            <v>2G/3G/4G</v>
          </cell>
          <cell r="G1137" t="str">
            <v>HUAWEI</v>
          </cell>
          <cell r="H1137" t="str">
            <v>IHS</v>
          </cell>
          <cell r="I1137" t="str">
            <v>SIPILOU</v>
          </cell>
          <cell r="J1137" t="str">
            <v>SIPILOU</v>
          </cell>
          <cell r="K1137" t="str">
            <v>SIPILOU</v>
          </cell>
          <cell r="L1137" t="str">
            <v>TONKPI</v>
          </cell>
          <cell r="M1137" t="str">
            <v>MAN</v>
          </cell>
          <cell r="N1137" t="str">
            <v>UPCOUNTRY</v>
          </cell>
        </row>
        <row r="1138">
          <cell r="B1138" t="str">
            <v>ET173</v>
          </cell>
          <cell r="C1138" t="str">
            <v>KOTOUBA</v>
          </cell>
          <cell r="D1138" t="str">
            <v>-3.18433333333333</v>
          </cell>
          <cell r="E1138" t="str">
            <v>8.69338888888889</v>
          </cell>
          <cell r="F1138" t="str">
            <v>2G/3G/4G</v>
          </cell>
          <cell r="G1138" t="str">
            <v>ERICSSON</v>
          </cell>
          <cell r="H1138" t="str">
            <v>IHS</v>
          </cell>
          <cell r="I1138" t="str">
            <v>KOTOUBA</v>
          </cell>
          <cell r="J1138" t="str">
            <v>KOTOUBA</v>
          </cell>
          <cell r="K1138" t="str">
            <v>NASSIAN</v>
          </cell>
          <cell r="L1138" t="str">
            <v>BOUNKANI</v>
          </cell>
          <cell r="M1138" t="str">
            <v>ABENGOUROU</v>
          </cell>
          <cell r="N1138" t="str">
            <v>UPCOUNTRY</v>
          </cell>
        </row>
        <row r="1139">
          <cell r="B1139" t="str">
            <v>ET174</v>
          </cell>
          <cell r="C1139" t="str">
            <v>ANCIEN_PROZI</v>
          </cell>
          <cell r="D1139" t="str">
            <v>-6.964306</v>
          </cell>
          <cell r="E1139" t="str">
            <v>7.663266</v>
          </cell>
          <cell r="F1139" t="str">
            <v>2G/3G/4G</v>
          </cell>
          <cell r="G1139" t="str">
            <v>HUAWEI</v>
          </cell>
          <cell r="H1139" t="str">
            <v>IHS</v>
          </cell>
          <cell r="I1139" t="str">
            <v>ANCIEN - PROZI</v>
          </cell>
          <cell r="J1139" t="str">
            <v>SEITIFLA</v>
          </cell>
          <cell r="K1139" t="str">
            <v>VAVOUA</v>
          </cell>
          <cell r="L1139" t="str">
            <v>HAUT-SASSANDRA</v>
          </cell>
          <cell r="M1139" t="str">
            <v>DALOA</v>
          </cell>
          <cell r="N1139" t="str">
            <v>UPCOUNTRY</v>
          </cell>
        </row>
        <row r="1140">
          <cell r="B1140" t="str">
            <v>ET175</v>
          </cell>
          <cell r="C1140" t="str">
            <v>GOMENEBERI</v>
          </cell>
          <cell r="D1140" t="str">
            <v>-5.520222</v>
          </cell>
          <cell r="E1140" t="str">
            <v>5.380889</v>
          </cell>
          <cell r="F1140" t="str">
            <v>2G/3G/4G</v>
          </cell>
          <cell r="G1140" t="str">
            <v>ERICSSON</v>
          </cell>
          <cell r="H1140" t="str">
            <v>IHS</v>
          </cell>
          <cell r="I1140" t="str">
            <v>GOMENEBERI</v>
          </cell>
          <cell r="J1140" t="str">
            <v>DAHIRI</v>
          </cell>
          <cell r="K1140" t="str">
            <v>GBOKLE</v>
          </cell>
          <cell r="L1140" t="str">
            <v>GBOKLE</v>
          </cell>
          <cell r="M1140" t="str">
            <v>SAN-PEDRO</v>
          </cell>
          <cell r="N1140" t="str">
            <v>UPCOUNTRY</v>
          </cell>
        </row>
        <row r="1141">
          <cell r="B1141" t="str">
            <v>ET176</v>
          </cell>
          <cell r="C1141" t="str">
            <v>AKANDJE</v>
          </cell>
          <cell r="D1141" t="str">
            <v>-3.89841666666667</v>
          </cell>
          <cell r="E1141" t="str">
            <v>5.41525</v>
          </cell>
          <cell r="F1141" t="str">
            <v>2G/3G/4G</v>
          </cell>
          <cell r="G1141" t="str">
            <v>ERICSSON</v>
          </cell>
          <cell r="H1141" t="str">
            <v>IHS</v>
          </cell>
          <cell r="I1141" t="str">
            <v>AKANDJE</v>
          </cell>
          <cell r="J1141" t="str">
            <v>BINGERVILLE</v>
          </cell>
          <cell r="K1141" t="str">
            <v>ABIDJAN</v>
          </cell>
          <cell r="L1141" t="str">
            <v>ABIDJAN</v>
          </cell>
          <cell r="M1141" t="str">
            <v>COCODY LATRILLE</v>
          </cell>
          <cell r="N1141" t="str">
            <v>ABIDJAN</v>
          </cell>
        </row>
        <row r="1142">
          <cell r="B1142" t="str">
            <v>ET177</v>
          </cell>
          <cell r="C1142" t="str">
            <v>THE</v>
          </cell>
          <cell r="D1142" t="str">
            <v>-7.5732</v>
          </cell>
          <cell r="E1142" t="str">
            <v>7.67882</v>
          </cell>
          <cell r="F1142" t="str">
            <v>2G/3G/4G</v>
          </cell>
          <cell r="G1142" t="str">
            <v>HUAWEI</v>
          </cell>
          <cell r="H1142" t="str">
            <v>IHS</v>
          </cell>
          <cell r="I1142" t="str">
            <v>THE</v>
          </cell>
          <cell r="J1142" t="str">
            <v>BIANKOUMA</v>
          </cell>
          <cell r="K1142" t="str">
            <v>BIANKOUMA</v>
          </cell>
          <cell r="L1142" t="str">
            <v>TONKPI</v>
          </cell>
          <cell r="M1142" t="str">
            <v>MAN</v>
          </cell>
          <cell r="N1142" t="str">
            <v>UPCOUNTRY</v>
          </cell>
        </row>
        <row r="1143">
          <cell r="B1143" t="str">
            <v>ET178</v>
          </cell>
          <cell r="C1143" t="str">
            <v>PARA</v>
          </cell>
          <cell r="D1143" t="str">
            <v>-7.323056</v>
          </cell>
          <cell r="E1143" t="str">
            <v>5.518333</v>
          </cell>
          <cell r="F1143" t="str">
            <v>2G/3G/4G</v>
          </cell>
          <cell r="G1143" t="str">
            <v>ERICSSON</v>
          </cell>
          <cell r="H1143" t="str">
            <v>IHS</v>
          </cell>
          <cell r="I1143" t="str">
            <v>PARA</v>
          </cell>
          <cell r="J1143" t="str">
            <v>DJOUROUTOU</v>
          </cell>
          <cell r="K1143" t="str">
            <v>TABOU</v>
          </cell>
          <cell r="L1143" t="str">
            <v>SAN-PEDRO</v>
          </cell>
          <cell r="M1143" t="str">
            <v>SAN-PEDRO</v>
          </cell>
          <cell r="N1143" t="str">
            <v>UPCOUNTRY</v>
          </cell>
        </row>
        <row r="1144">
          <cell r="B1144" t="str">
            <v>ET179</v>
          </cell>
          <cell r="C1144" t="str">
            <v>ADJAMENE</v>
          </cell>
          <cell r="D1144" t="str">
            <v>-6.855178</v>
          </cell>
          <cell r="E1144" t="str">
            <v>4.766317</v>
          </cell>
          <cell r="F1144" t="str">
            <v>2G/3G/4G</v>
          </cell>
          <cell r="G1144" t="str">
            <v>ERICSSON</v>
          </cell>
          <cell r="H1144" t="str">
            <v>IHS</v>
          </cell>
          <cell r="I1144" t="str">
            <v>ADJAMENE</v>
          </cell>
          <cell r="J1144" t="str">
            <v>GRAND-BEREBY</v>
          </cell>
          <cell r="K1144" t="str">
            <v>SAN-PEDRO</v>
          </cell>
          <cell r="L1144" t="str">
            <v>SAN-PEDRO</v>
          </cell>
          <cell r="M1144" t="str">
            <v>SAN-PEDRO</v>
          </cell>
          <cell r="N1144" t="str">
            <v>UPCOUNTRY</v>
          </cell>
        </row>
        <row r="1145">
          <cell r="B1145" t="str">
            <v>ET180</v>
          </cell>
          <cell r="C1145" t="str">
            <v>MOQUEVILLE</v>
          </cell>
          <cell r="D1145" t="str">
            <v>-3.765172</v>
          </cell>
          <cell r="E1145" t="str">
            <v>5.225132</v>
          </cell>
          <cell r="F1145" t="str">
            <v>2G/3G/4G</v>
          </cell>
          <cell r="G1145" t="str">
            <v>HUAWEI</v>
          </cell>
          <cell r="H1145" t="str">
            <v>IHS</v>
          </cell>
          <cell r="I1145" t="str">
            <v>GRAND-BASSAM</v>
          </cell>
          <cell r="J1145" t="str">
            <v>GRAND-BASSAM</v>
          </cell>
          <cell r="K1145" t="str">
            <v>GRAND-BASSAM</v>
          </cell>
          <cell r="L1145" t="str">
            <v>SUD-COMOE</v>
          </cell>
          <cell r="M1145" t="str">
            <v>MARCORY</v>
          </cell>
          <cell r="N1145" t="str">
            <v>UPCOUNTRY</v>
          </cell>
        </row>
        <row r="1146">
          <cell r="B1146" t="str">
            <v>ET181</v>
          </cell>
          <cell r="C1146" t="str">
            <v>SOGB_HEKE</v>
          </cell>
          <cell r="D1146" t="str">
            <v>-7.11699167</v>
          </cell>
          <cell r="E1146" t="str">
            <v>4.75033333</v>
          </cell>
          <cell r="F1146" t="str">
            <v>2G/3G/4G</v>
          </cell>
          <cell r="G1146" t="str">
            <v>ERICSSON</v>
          </cell>
          <cell r="H1146" t="str">
            <v>IHS</v>
          </cell>
          <cell r="I1146" t="str">
            <v>HEKE-VILLAGE</v>
          </cell>
          <cell r="J1146" t="str">
            <v>GRAND-BEREBY</v>
          </cell>
          <cell r="K1146" t="str">
            <v>SAN-PEDRO</v>
          </cell>
          <cell r="L1146" t="str">
            <v>SAN-PEDRO</v>
          </cell>
          <cell r="M1146" t="str">
            <v>SAN-PEDRO</v>
          </cell>
          <cell r="N1146" t="str">
            <v>UPCOUNTRY</v>
          </cell>
        </row>
        <row r="1147">
          <cell r="B1147" t="str">
            <v>ET182</v>
          </cell>
          <cell r="C1147" t="str">
            <v>NERO_BROUSSE</v>
          </cell>
          <cell r="D1147" t="str">
            <v>-6.923864</v>
          </cell>
          <cell r="E1147" t="str">
            <v>4.824722</v>
          </cell>
          <cell r="F1147" t="str">
            <v>2G/3G/4G</v>
          </cell>
          <cell r="G1147" t="str">
            <v>ERICSSON</v>
          </cell>
          <cell r="H1147" t="str">
            <v>IHS</v>
          </cell>
          <cell r="I1147" t="str">
            <v>NERO-BROUSSE</v>
          </cell>
          <cell r="J1147" t="str">
            <v>GRAND-BEREBY</v>
          </cell>
          <cell r="K1147" t="str">
            <v>SAN-PEDRO</v>
          </cell>
          <cell r="L1147" t="str">
            <v>SAN-PEDRO</v>
          </cell>
          <cell r="M1147" t="str">
            <v>SAN-PEDRO</v>
          </cell>
          <cell r="N1147" t="str">
            <v>UPCOUNTRY</v>
          </cell>
        </row>
        <row r="1148">
          <cell r="B1148" t="str">
            <v>ET183</v>
          </cell>
          <cell r="C1148" t="str">
            <v>DJIDJIDOU</v>
          </cell>
          <cell r="D1148" t="str">
            <v>-5.05236111</v>
          </cell>
          <cell r="E1148" t="str">
            <v>5.76970833</v>
          </cell>
          <cell r="F1148" t="str">
            <v>2G/3G/4G</v>
          </cell>
          <cell r="G1148" t="str">
            <v>ERICSSON</v>
          </cell>
          <cell r="H1148" t="str">
            <v>IHS</v>
          </cell>
          <cell r="I1148" t="str">
            <v>DJIDJIDOU</v>
          </cell>
          <cell r="J1148" t="str">
            <v>CHIEPO</v>
          </cell>
          <cell r="K1148" t="str">
            <v>DIVO</v>
          </cell>
          <cell r="L1148" t="str">
            <v>LOH-DJIBOUA</v>
          </cell>
          <cell r="M1148" t="str">
            <v>DIVO</v>
          </cell>
          <cell r="N1148" t="str">
            <v>UPCOUNTRY</v>
          </cell>
        </row>
        <row r="1149">
          <cell r="B1149" t="str">
            <v>ET184</v>
          </cell>
          <cell r="C1149" t="str">
            <v>CARR_ZEGBAN</v>
          </cell>
          <cell r="D1149" t="str">
            <v>-5.589056</v>
          </cell>
          <cell r="E1149" t="str">
            <v>5.165556</v>
          </cell>
          <cell r="F1149" t="str">
            <v>2G/3G/4G</v>
          </cell>
          <cell r="G1149" t="str">
            <v>ERICSSON</v>
          </cell>
          <cell r="H1149" t="str">
            <v>IHS</v>
          </cell>
          <cell r="I1149" t="str">
            <v>ZEGBAN 1</v>
          </cell>
          <cell r="J1149" t="str">
            <v>FRESCO</v>
          </cell>
          <cell r="K1149" t="str">
            <v>GBOKLE</v>
          </cell>
          <cell r="L1149" t="str">
            <v>GBOKLE</v>
          </cell>
          <cell r="M1149" t="str">
            <v>SAN-PEDRO</v>
          </cell>
          <cell r="N1149" t="str">
            <v>UPCOUNTRY</v>
          </cell>
        </row>
        <row r="1150">
          <cell r="B1150" t="str">
            <v>ET185</v>
          </cell>
          <cell r="C1150" t="str">
            <v>DABOUYO</v>
          </cell>
          <cell r="D1150" t="str">
            <v>-6.039922</v>
          </cell>
          <cell r="E1150" t="str">
            <v>5.543334</v>
          </cell>
          <cell r="F1150" t="str">
            <v>2G/3G/4G</v>
          </cell>
          <cell r="G1150" t="str">
            <v>HUAWEI</v>
          </cell>
          <cell r="H1150" t="str">
            <v>IHS</v>
          </cell>
          <cell r="I1150" t="str">
            <v>DABOUYO</v>
          </cell>
          <cell r="J1150" t="str">
            <v>DABOUYO</v>
          </cell>
          <cell r="K1150" t="str">
            <v>GUEYO</v>
          </cell>
          <cell r="L1150" t="str">
            <v>NAWA</v>
          </cell>
          <cell r="M1150" t="str">
            <v>SOUBRE</v>
          </cell>
          <cell r="N1150" t="str">
            <v>UPCOUNTRY</v>
          </cell>
        </row>
        <row r="1151">
          <cell r="B1151" t="str">
            <v>ET186</v>
          </cell>
          <cell r="C1151" t="str">
            <v>MANGOUIN</v>
          </cell>
          <cell r="D1151" t="str">
            <v>-7.6041944</v>
          </cell>
          <cell r="E1151" t="str">
            <v>7.64213889</v>
          </cell>
          <cell r="F1151" t="str">
            <v>2G/3G/4G</v>
          </cell>
          <cell r="G1151" t="str">
            <v>HUAWEI</v>
          </cell>
          <cell r="H1151" t="str">
            <v>IHS</v>
          </cell>
          <cell r="I1151" t="str">
            <v>MANGOUIN</v>
          </cell>
          <cell r="J1151" t="str">
            <v>BIANKOUMA</v>
          </cell>
          <cell r="K1151" t="str">
            <v>BIANKOUMA</v>
          </cell>
          <cell r="L1151" t="str">
            <v>TONKPI</v>
          </cell>
          <cell r="M1151" t="str">
            <v>MAN</v>
          </cell>
          <cell r="N1151" t="str">
            <v>UPCOUNTRY</v>
          </cell>
        </row>
        <row r="1152">
          <cell r="B1152" t="str">
            <v>ET187</v>
          </cell>
          <cell r="C1152" t="str">
            <v>HANNIE</v>
          </cell>
          <cell r="D1152" t="str">
            <v>-6.961503</v>
          </cell>
          <cell r="E1152" t="str">
            <v>4.697997</v>
          </cell>
          <cell r="F1152" t="str">
            <v>2G/3G/4G</v>
          </cell>
          <cell r="G1152" t="str">
            <v>ERICSSON</v>
          </cell>
          <cell r="H1152" t="str">
            <v>IHS</v>
          </cell>
          <cell r="I1152" t="str">
            <v>HANNIE</v>
          </cell>
          <cell r="J1152" t="str">
            <v>GRAND-BEREBY</v>
          </cell>
          <cell r="K1152" t="str">
            <v>SAN-PEDRO</v>
          </cell>
          <cell r="L1152" t="str">
            <v>SAN-PEDRO</v>
          </cell>
          <cell r="M1152" t="str">
            <v>SAN-PEDRO</v>
          </cell>
          <cell r="N1152" t="str">
            <v>UPCOUNTRY</v>
          </cell>
        </row>
        <row r="1153">
          <cell r="B1153" t="str">
            <v>ET188</v>
          </cell>
          <cell r="C1153" t="str">
            <v>SELIGBANGAN</v>
          </cell>
          <cell r="D1153" t="str">
            <v>-6.70952</v>
          </cell>
          <cell r="E1153" t="str">
            <v>5.53297</v>
          </cell>
          <cell r="F1153" t="str">
            <v>2G/3G/4G</v>
          </cell>
          <cell r="G1153" t="str">
            <v>HUAWEI</v>
          </cell>
          <cell r="H1153" t="str">
            <v>IHS</v>
          </cell>
          <cell r="I1153" t="str">
            <v>SERIGBANGAN</v>
          </cell>
          <cell r="J1153" t="str">
            <v>OUPOYO</v>
          </cell>
          <cell r="K1153" t="str">
            <v>MEAGUI</v>
          </cell>
          <cell r="L1153" t="str">
            <v>NAWA</v>
          </cell>
          <cell r="M1153" t="str">
            <v>SOUBRE</v>
          </cell>
          <cell r="N1153" t="str">
            <v>UPCOUNTRY</v>
          </cell>
        </row>
        <row r="1154">
          <cell r="B1154" t="str">
            <v>ET189</v>
          </cell>
          <cell r="C1154" t="str">
            <v>ZONE_CENTRALE</v>
          </cell>
          <cell r="D1154" t="str">
            <v>-7.08055555555556</v>
          </cell>
          <cell r="E1154" t="str">
            <v>4.67180555555556</v>
          </cell>
          <cell r="F1154" t="str">
            <v>2G/3G/4G</v>
          </cell>
          <cell r="G1154" t="str">
            <v>ERICSSON</v>
          </cell>
          <cell r="H1154" t="str">
            <v>IHS</v>
          </cell>
          <cell r="I1154" t="str">
            <v>SOGB (ZONE CENTRALE)</v>
          </cell>
          <cell r="J1154" t="str">
            <v>GRAND-BEREBY</v>
          </cell>
          <cell r="K1154" t="str">
            <v>SAN-PEDRO</v>
          </cell>
          <cell r="L1154" t="str">
            <v>SAN-PEDRO</v>
          </cell>
          <cell r="M1154" t="str">
            <v>SAN-PEDRO</v>
          </cell>
          <cell r="N1154" t="str">
            <v>UPCOUNTRY</v>
          </cell>
        </row>
        <row r="1155">
          <cell r="B1155" t="str">
            <v>ET190</v>
          </cell>
          <cell r="C1155" t="str">
            <v>PETIT_BONDOUKOU</v>
          </cell>
          <cell r="D1155" t="str">
            <v>-6.652856</v>
          </cell>
          <cell r="E1155" t="str">
            <v>5.599744</v>
          </cell>
          <cell r="F1155" t="str">
            <v>2G/3G/4G</v>
          </cell>
          <cell r="G1155" t="str">
            <v>HUAWEI</v>
          </cell>
          <cell r="H1155" t="str">
            <v>IHS</v>
          </cell>
          <cell r="I1155" t="str">
            <v>PETIT-BONDOUKOU</v>
          </cell>
          <cell r="J1155" t="str">
            <v>OUPOYO</v>
          </cell>
          <cell r="K1155" t="str">
            <v>MEAGUI</v>
          </cell>
          <cell r="L1155" t="str">
            <v>NAWA</v>
          </cell>
          <cell r="M1155" t="str">
            <v>SOUBRE</v>
          </cell>
          <cell r="N1155" t="str">
            <v>UPCOUNTRY</v>
          </cell>
        </row>
        <row r="1156">
          <cell r="B1156" t="str">
            <v>ET191</v>
          </cell>
          <cell r="C1156" t="str">
            <v>DJIRO_GNEPAHIO</v>
          </cell>
          <cell r="D1156" t="str">
            <v>-6.62948</v>
          </cell>
          <cell r="E1156" t="str">
            <v>4.84862</v>
          </cell>
          <cell r="F1156" t="str">
            <v>2G/3G/4G</v>
          </cell>
          <cell r="G1156" t="str">
            <v>ERICSSON</v>
          </cell>
          <cell r="H1156" t="str">
            <v>MOOV</v>
          </cell>
          <cell r="I1156" t="str">
            <v>DJIRO-GNEPAHIO/CAMPEMENT BERNARD</v>
          </cell>
          <cell r="J1156" t="str">
            <v>SAN-PEDRO</v>
          </cell>
          <cell r="K1156" t="str">
            <v>SAN-PEDRO</v>
          </cell>
          <cell r="L1156" t="str">
            <v>SAN-PEDRO</v>
          </cell>
          <cell r="M1156" t="str">
            <v>SAN-PEDRO</v>
          </cell>
          <cell r="N1156" t="str">
            <v>UPCOUNTRY</v>
          </cell>
        </row>
        <row r="1157">
          <cell r="B1157" t="str">
            <v>ET192</v>
          </cell>
          <cell r="C1157" t="str">
            <v>IDEFOR</v>
          </cell>
          <cell r="D1157" t="str">
            <v>-5.22741666666667</v>
          </cell>
          <cell r="E1157" t="str">
            <v>5.77844444444444</v>
          </cell>
          <cell r="F1157" t="str">
            <v>2G/3G/4G</v>
          </cell>
          <cell r="G1157" t="str">
            <v>ERICSSON</v>
          </cell>
          <cell r="H1157" t="str">
            <v>IHS</v>
          </cell>
          <cell r="I1157" t="str">
            <v>IDEFOR</v>
          </cell>
          <cell r="J1157" t="str">
            <v>DIVO</v>
          </cell>
          <cell r="K1157" t="str">
            <v>DIVO</v>
          </cell>
          <cell r="L1157" t="str">
            <v>LOH-DJIBOUA</v>
          </cell>
          <cell r="M1157" t="str">
            <v>DIVO</v>
          </cell>
          <cell r="N1157" t="str">
            <v>UPCOUNTRY</v>
          </cell>
        </row>
        <row r="1158">
          <cell r="B1158" t="str">
            <v>ET193</v>
          </cell>
          <cell r="C1158" t="str">
            <v>ZIKI_DIES</v>
          </cell>
          <cell r="D1158" t="str">
            <v>-5.44633333</v>
          </cell>
          <cell r="E1158" t="str">
            <v>5.75661111</v>
          </cell>
          <cell r="F1158" t="str">
            <v>2G/3G/4G</v>
          </cell>
          <cell r="G1158" t="str">
            <v>ERICSSON</v>
          </cell>
          <cell r="H1158" t="str">
            <v>IHS</v>
          </cell>
          <cell r="I1158" t="str">
            <v>ZIKI DIES</v>
          </cell>
          <cell r="J1158" t="str">
            <v>DIVO</v>
          </cell>
          <cell r="K1158" t="str">
            <v>DIVO</v>
          </cell>
          <cell r="L1158" t="str">
            <v>LOH-DJIBOUA</v>
          </cell>
          <cell r="M1158" t="str">
            <v>DIVO</v>
          </cell>
          <cell r="N1158" t="str">
            <v>UPCOUNTRY</v>
          </cell>
        </row>
        <row r="1159">
          <cell r="B1159" t="str">
            <v>ET194</v>
          </cell>
          <cell r="C1159" t="str">
            <v>GOH</v>
          </cell>
          <cell r="D1159" t="str">
            <v>-6.637167</v>
          </cell>
          <cell r="E1159" t="str">
            <v>5.233436</v>
          </cell>
          <cell r="F1159" t="str">
            <v>2G/3G/4G</v>
          </cell>
          <cell r="G1159" t="str">
            <v>HUAWEI</v>
          </cell>
          <cell r="H1159" t="str">
            <v>IHS</v>
          </cell>
          <cell r="I1159" t="str">
            <v>GOH</v>
          </cell>
          <cell r="J1159" t="str">
            <v>DOBA</v>
          </cell>
          <cell r="K1159" t="str">
            <v>SAN-PEDRO</v>
          </cell>
          <cell r="L1159" t="str">
            <v>SAN-PEDRO</v>
          </cell>
          <cell r="M1159" t="str">
            <v>SOUBRE</v>
          </cell>
          <cell r="N1159" t="str">
            <v>UPCOUNTRY</v>
          </cell>
        </row>
        <row r="1160">
          <cell r="B1160" t="str">
            <v>ET195</v>
          </cell>
          <cell r="C1160" t="str">
            <v>BALOKUYA</v>
          </cell>
          <cell r="D1160" t="str">
            <v>-6.352309</v>
          </cell>
          <cell r="E1160" t="str">
            <v>5.208639</v>
          </cell>
          <cell r="F1160" t="str">
            <v>2G/3G/4G</v>
          </cell>
          <cell r="G1160" t="str">
            <v>ERICSSON</v>
          </cell>
          <cell r="H1160" t="str">
            <v>IHS</v>
          </cell>
          <cell r="I1160" t="str">
            <v>BALOKUYA</v>
          </cell>
          <cell r="J1160" t="str">
            <v>LOBAKUYA</v>
          </cell>
          <cell r="K1160" t="str">
            <v>SASSANDRA</v>
          </cell>
          <cell r="L1160" t="str">
            <v>GBOKLE</v>
          </cell>
          <cell r="M1160" t="str">
            <v>SAN-PEDRO</v>
          </cell>
          <cell r="N1160" t="str">
            <v>UPCOUNTRY</v>
          </cell>
        </row>
        <row r="1161">
          <cell r="B1161" t="str">
            <v>ET196</v>
          </cell>
          <cell r="C1161" t="str">
            <v>NIAMBEZARIA</v>
          </cell>
          <cell r="D1161" t="str">
            <v>-5.75408333333333</v>
          </cell>
          <cell r="E1161" t="str">
            <v>5.65063888888889</v>
          </cell>
          <cell r="F1161" t="str">
            <v>2G/3G/4G</v>
          </cell>
          <cell r="G1161" t="str">
            <v>ERICSSON</v>
          </cell>
          <cell r="H1161" t="str">
            <v>IHS</v>
          </cell>
          <cell r="I1161" t="str">
            <v>NIAMBEZARIA</v>
          </cell>
          <cell r="J1161" t="str">
            <v>NIAMBEZARIA</v>
          </cell>
          <cell r="K1161" t="str">
            <v>LAKOTA</v>
          </cell>
          <cell r="L1161" t="str">
            <v>LOH-DJIBOUA</v>
          </cell>
          <cell r="M1161" t="str">
            <v>DIVO</v>
          </cell>
          <cell r="N1161" t="str">
            <v>UPCOUNTRY</v>
          </cell>
        </row>
        <row r="1162">
          <cell r="B1162" t="str">
            <v>ET197</v>
          </cell>
          <cell r="C1162" t="str">
            <v>DOUGODOU</v>
          </cell>
          <cell r="D1162" t="str">
            <v>-5.34891667</v>
          </cell>
          <cell r="E1162" t="str">
            <v>5.28060833</v>
          </cell>
          <cell r="F1162" t="str">
            <v>2G/3G/4G</v>
          </cell>
          <cell r="G1162" t="str">
            <v>ERICSSON</v>
          </cell>
          <cell r="H1162" t="str">
            <v>IHS</v>
          </cell>
          <cell r="I1162" t="str">
            <v>DOUGODOU</v>
          </cell>
          <cell r="J1162" t="str">
            <v>LAUZOUA</v>
          </cell>
          <cell r="K1162" t="str">
            <v>GUITRY</v>
          </cell>
          <cell r="L1162" t="str">
            <v>LOH-DJIBOUA</v>
          </cell>
          <cell r="M1162" t="str">
            <v>SAN-PEDRO</v>
          </cell>
          <cell r="N1162" t="str">
            <v>UPCOUNTRY</v>
          </cell>
        </row>
        <row r="1163">
          <cell r="B1163" t="str">
            <v>ET198</v>
          </cell>
          <cell r="C1163" t="str">
            <v>GNAGO_2</v>
          </cell>
          <cell r="D1163" t="str">
            <v>-5.783467</v>
          </cell>
          <cell r="E1163" t="str">
            <v>5.192075</v>
          </cell>
          <cell r="F1163" t="str">
            <v>2G/3G/4G</v>
          </cell>
          <cell r="G1163" t="str">
            <v>ERICSSON</v>
          </cell>
          <cell r="H1163" t="str">
            <v>IHS</v>
          </cell>
          <cell r="I1163" t="str">
            <v>GNAGO 2</v>
          </cell>
          <cell r="J1163" t="str">
            <v>SAGO</v>
          </cell>
          <cell r="K1163" t="str">
            <v>SASSANDRA</v>
          </cell>
          <cell r="L1163" t="str">
            <v>GBOKLE</v>
          </cell>
          <cell r="M1163" t="str">
            <v>SAN-PEDRO</v>
          </cell>
          <cell r="N1163" t="str">
            <v>UPCOUNTRY</v>
          </cell>
        </row>
        <row r="1164">
          <cell r="B1164" t="str">
            <v>ET199</v>
          </cell>
          <cell r="C1164" t="str">
            <v>GNITY_ECOLE</v>
          </cell>
          <cell r="D1164" t="str">
            <v>-6.571275</v>
          </cell>
          <cell r="E1164" t="str">
            <v>5.13941</v>
          </cell>
          <cell r="F1164" t="str">
            <v>2G/3G/4G</v>
          </cell>
          <cell r="G1164" t="str">
            <v>HUAWEI</v>
          </cell>
          <cell r="H1164" t="str">
            <v>IHS</v>
          </cell>
          <cell r="I1164" t="str">
            <v>GNITY ECOLE</v>
          </cell>
          <cell r="J1164" t="str">
            <v>GABIADJI</v>
          </cell>
          <cell r="K1164" t="str">
            <v>SAN-PEDRO</v>
          </cell>
          <cell r="L1164" t="str">
            <v>SAN-PEDRO</v>
          </cell>
          <cell r="M1164" t="str">
            <v>SAN-PEDRO</v>
          </cell>
          <cell r="N1164" t="str">
            <v>UPCOUNTRY</v>
          </cell>
        </row>
        <row r="1165">
          <cell r="B1165" t="str">
            <v>ET200</v>
          </cell>
          <cell r="C1165" t="str">
            <v>AKATI</v>
          </cell>
          <cell r="D1165" t="str">
            <v>-3.20606</v>
          </cell>
          <cell r="E1165" t="str">
            <v>6.40358</v>
          </cell>
          <cell r="F1165" t="str">
            <v>2G/3G/4G</v>
          </cell>
          <cell r="G1165" t="str">
            <v>ERICSSON</v>
          </cell>
          <cell r="H1165" t="str">
            <v>IHS</v>
          </cell>
          <cell r="I1165" t="str">
            <v>AKATI</v>
          </cell>
          <cell r="J1165" t="str">
            <v>EBILASSOKRO</v>
          </cell>
          <cell r="K1165" t="str">
            <v>ABENGOUROU</v>
          </cell>
          <cell r="L1165" t="str">
            <v>INDENIE-DJUABLIN</v>
          </cell>
          <cell r="M1165" t="str">
            <v>ABENGOUROU</v>
          </cell>
          <cell r="N1165" t="str">
            <v>UPCOUNTRY</v>
          </cell>
        </row>
        <row r="1166">
          <cell r="B1166" t="str">
            <v>ET201</v>
          </cell>
          <cell r="C1166" t="str">
            <v>KOKOLOPPOZO</v>
          </cell>
          <cell r="D1166" t="str">
            <v>-6.08758333333333</v>
          </cell>
          <cell r="E1166" t="str">
            <v>5.1405</v>
          </cell>
          <cell r="F1166" t="str">
            <v>2G/3G/4G</v>
          </cell>
          <cell r="G1166" t="str">
            <v>ERICSSON</v>
          </cell>
          <cell r="H1166" t="str">
            <v>IHS</v>
          </cell>
          <cell r="I1166" t="str">
            <v>KOKOLOPPOZO</v>
          </cell>
          <cell r="J1166" t="str">
            <v>DAKPADOU</v>
          </cell>
          <cell r="K1166" t="str">
            <v>SASSANDRA</v>
          </cell>
          <cell r="L1166" t="str">
            <v>GBOKLE</v>
          </cell>
          <cell r="M1166" t="str">
            <v>SAN-PEDRO</v>
          </cell>
          <cell r="N1166" t="str">
            <v>UPCOUNTRY</v>
          </cell>
        </row>
        <row r="1167">
          <cell r="B1167" t="str">
            <v>ET202</v>
          </cell>
          <cell r="C1167" t="str">
            <v>LABAKUYA</v>
          </cell>
          <cell r="D1167" t="str">
            <v>-6.35084</v>
          </cell>
          <cell r="E1167" t="str">
            <v>5.13626</v>
          </cell>
          <cell r="F1167" t="str">
            <v>2G/3G/4G</v>
          </cell>
          <cell r="G1167" t="str">
            <v>ERICSSON</v>
          </cell>
          <cell r="H1167" t="str">
            <v>IHS</v>
          </cell>
          <cell r="I1167" t="str">
            <v>LABAKUYA</v>
          </cell>
          <cell r="J1167" t="str">
            <v>LOBAKUYA</v>
          </cell>
          <cell r="K1167" t="str">
            <v>SASSANDRA</v>
          </cell>
          <cell r="L1167" t="str">
            <v>GBOKLE</v>
          </cell>
          <cell r="M1167" t="str">
            <v>SAN-PEDRO</v>
          </cell>
          <cell r="N1167" t="str">
            <v>UPCOUNTRY</v>
          </cell>
        </row>
        <row r="1168">
          <cell r="B1168" t="str">
            <v>ET203</v>
          </cell>
          <cell r="C1168" t="str">
            <v>EDJAMBO</v>
          </cell>
          <cell r="D1168" t="str">
            <v>-2.96583333</v>
          </cell>
          <cell r="E1168" t="str">
            <v>5.20013889</v>
          </cell>
          <cell r="F1168" t="str">
            <v>2G/3G/4G</v>
          </cell>
          <cell r="G1168" t="str">
            <v>ERICSSON</v>
          </cell>
          <cell r="H1168" t="str">
            <v>IHS</v>
          </cell>
          <cell r="I1168" t="str">
            <v>EDJAMBO</v>
          </cell>
          <cell r="J1168" t="str">
            <v>TIAPOUM</v>
          </cell>
          <cell r="K1168" t="str">
            <v>TIAPOUM</v>
          </cell>
          <cell r="L1168" t="str">
            <v>SUD-COMOE</v>
          </cell>
          <cell r="M1168" t="str">
            <v>MARCORY</v>
          </cell>
          <cell r="N1168" t="str">
            <v>UPCOUNTRY</v>
          </cell>
        </row>
        <row r="1169">
          <cell r="B1169" t="str">
            <v>ET204</v>
          </cell>
          <cell r="C1169" t="str">
            <v>GNAGBODOUGNOA</v>
          </cell>
          <cell r="D1169" t="str">
            <v>-5.984028°</v>
          </cell>
          <cell r="E1169" t="str">
            <v>5.709917°</v>
          </cell>
          <cell r="F1169" t="str">
            <v>2G/3G/4G</v>
          </cell>
          <cell r="G1169" t="str">
            <v>HUAWEI</v>
          </cell>
          <cell r="H1169" t="str">
            <v>IHS</v>
          </cell>
          <cell r="I1169" t="str">
            <v>NIAKOBLOGNOA</v>
          </cell>
          <cell r="J1169" t="str">
            <v>GNAGBODOUGNOA</v>
          </cell>
          <cell r="K1169" t="str">
            <v>GAGNOA</v>
          </cell>
          <cell r="L1169" t="str">
            <v>GOH</v>
          </cell>
          <cell r="M1169" t="str">
            <v>DIVO</v>
          </cell>
          <cell r="N1169" t="str">
            <v>UPCOUNTRY</v>
          </cell>
        </row>
        <row r="1170">
          <cell r="B1170" t="str">
            <v>ET205</v>
          </cell>
          <cell r="C1170" t="str">
            <v>PAULY_BROUSSE</v>
          </cell>
          <cell r="D1170" t="str">
            <v>-6.189694</v>
          </cell>
          <cell r="E1170" t="str">
            <v>4.964806</v>
          </cell>
          <cell r="F1170" t="str">
            <v>2G/3G/4G</v>
          </cell>
          <cell r="G1170" t="str">
            <v>ERICSSON</v>
          </cell>
          <cell r="H1170" t="str">
            <v>IHS</v>
          </cell>
          <cell r="I1170" t="str">
            <v>PAULY-BROUSSE</v>
          </cell>
          <cell r="J1170" t="str">
            <v>SASSANDRA</v>
          </cell>
          <cell r="K1170" t="str">
            <v>SASSANDRA</v>
          </cell>
          <cell r="L1170" t="str">
            <v>GBOKLE</v>
          </cell>
          <cell r="M1170" t="str">
            <v>SAN-PEDRO</v>
          </cell>
          <cell r="N1170" t="str">
            <v>UPCOUNTRY</v>
          </cell>
        </row>
        <row r="1171">
          <cell r="B1171" t="str">
            <v>ET206</v>
          </cell>
          <cell r="C1171" t="str">
            <v>SAHOUA</v>
          </cell>
          <cell r="D1171" t="str">
            <v>-6.254393</v>
          </cell>
          <cell r="E1171" t="str">
            <v>5.058109</v>
          </cell>
          <cell r="F1171" t="str">
            <v>2G/3G/4G</v>
          </cell>
          <cell r="G1171" t="str">
            <v>ERICSSON</v>
          </cell>
          <cell r="H1171" t="str">
            <v>IHS</v>
          </cell>
          <cell r="I1171" t="str">
            <v>SAHOUA</v>
          </cell>
          <cell r="J1171" t="str">
            <v>LOBAKUYA</v>
          </cell>
          <cell r="K1171" t="str">
            <v>SASSANDRA</v>
          </cell>
          <cell r="L1171" t="str">
            <v>GBOKLE</v>
          </cell>
          <cell r="M1171" t="str">
            <v>SAN-PEDRO</v>
          </cell>
          <cell r="N1171" t="str">
            <v>UPCOUNTRY</v>
          </cell>
        </row>
        <row r="1172">
          <cell r="B1172" t="str">
            <v>ET207</v>
          </cell>
          <cell r="C1172" t="str">
            <v>BOLO_V1</v>
          </cell>
          <cell r="D1172" t="str">
            <v>-6.037278</v>
          </cell>
          <cell r="E1172" t="str">
            <v>5.303199</v>
          </cell>
          <cell r="F1172" t="str">
            <v>2G/3G/4G</v>
          </cell>
          <cell r="G1172" t="str">
            <v>ERICSSON</v>
          </cell>
          <cell r="H1172" t="str">
            <v>IHS</v>
          </cell>
          <cell r="I1172" t="str">
            <v>BOLO V1</v>
          </cell>
          <cell r="J1172" t="str">
            <v>DAKPADOU</v>
          </cell>
          <cell r="K1172" t="str">
            <v>SASSANDRA</v>
          </cell>
          <cell r="L1172" t="str">
            <v>GBOKLE</v>
          </cell>
          <cell r="M1172" t="str">
            <v>SAN-PEDRO</v>
          </cell>
          <cell r="N1172" t="str">
            <v>UPCOUNTRY</v>
          </cell>
        </row>
        <row r="1173">
          <cell r="B1173" t="str">
            <v>ET208</v>
          </cell>
          <cell r="C1173" t="str">
            <v>GBALEBOUO</v>
          </cell>
          <cell r="D1173" t="str">
            <v>-6.347556</v>
          </cell>
          <cell r="E1173" t="str">
            <v>5.742306</v>
          </cell>
          <cell r="F1173" t="str">
            <v>2G/3G/4G</v>
          </cell>
          <cell r="G1173" t="str">
            <v>HUAWEI</v>
          </cell>
          <cell r="H1173" t="str">
            <v>IHS</v>
          </cell>
          <cell r="I1173" t="str">
            <v>GBALEBOUO</v>
          </cell>
          <cell r="J1173" t="str">
            <v>OKROUYO</v>
          </cell>
          <cell r="K1173" t="str">
            <v>SOUBRE</v>
          </cell>
          <cell r="L1173" t="str">
            <v>NAWA</v>
          </cell>
          <cell r="M1173" t="str">
            <v>SOUBRE</v>
          </cell>
          <cell r="N1173" t="str">
            <v>UPCOUNTRY</v>
          </cell>
        </row>
        <row r="1174">
          <cell r="B1174" t="str">
            <v>ET209</v>
          </cell>
          <cell r="C1174" t="str">
            <v>TIMBE</v>
          </cell>
          <cell r="D1174" t="str">
            <v>-4.9451913</v>
          </cell>
          <cell r="E1174" t="str">
            <v>8.165046</v>
          </cell>
          <cell r="F1174" t="str">
            <v>2G/3G/4G</v>
          </cell>
          <cell r="G1174" t="str">
            <v>HUAWEI</v>
          </cell>
          <cell r="H1174" t="str">
            <v>IHS</v>
          </cell>
          <cell r="I1174" t="str">
            <v>TIMBE</v>
          </cell>
          <cell r="J1174" t="str">
            <v>TIMBE</v>
          </cell>
          <cell r="K1174" t="str">
            <v>KATIOLA</v>
          </cell>
          <cell r="L1174" t="str">
            <v>HAMBOL</v>
          </cell>
          <cell r="M1174" t="str">
            <v>BOUAKE</v>
          </cell>
          <cell r="N1174" t="str">
            <v>UPCOUNTRY</v>
          </cell>
        </row>
        <row r="1175">
          <cell r="B1175" t="str">
            <v>ET210</v>
          </cell>
          <cell r="C1175" t="str">
            <v>KPADA</v>
          </cell>
          <cell r="D1175" t="str">
            <v>-6.485</v>
          </cell>
          <cell r="E1175" t="str">
            <v>5.776778</v>
          </cell>
          <cell r="F1175" t="str">
            <v>2G/3G/4G</v>
          </cell>
          <cell r="G1175" t="str">
            <v>HUAWEI</v>
          </cell>
          <cell r="H1175" t="str">
            <v>IHS</v>
          </cell>
          <cell r="I1175" t="str">
            <v>KPADA</v>
          </cell>
          <cell r="J1175" t="str">
            <v>OKROUYO</v>
          </cell>
          <cell r="K1175" t="str">
            <v>SOUBRE</v>
          </cell>
          <cell r="L1175" t="str">
            <v>NAWA</v>
          </cell>
          <cell r="M1175" t="str">
            <v>SOUBRE</v>
          </cell>
          <cell r="N1175" t="str">
            <v>UPCOUNTRY</v>
          </cell>
        </row>
        <row r="1176">
          <cell r="B1176" t="str">
            <v>ET211</v>
          </cell>
          <cell r="C1176" t="str">
            <v>MABEHIRI_1</v>
          </cell>
          <cell r="D1176" t="str">
            <v>-6.416564</v>
          </cell>
          <cell r="E1176" t="str">
            <v>5.6811</v>
          </cell>
          <cell r="F1176" t="str">
            <v>2G/3G/4G</v>
          </cell>
          <cell r="G1176" t="str">
            <v>HUAWEI</v>
          </cell>
          <cell r="H1176" t="str">
            <v>IHS</v>
          </cell>
          <cell r="I1176" t="str">
            <v>MABEHIRI 1</v>
          </cell>
          <cell r="J1176" t="str">
            <v>OKROUYO</v>
          </cell>
          <cell r="K1176" t="str">
            <v>SOUBRE</v>
          </cell>
          <cell r="L1176" t="str">
            <v>NAWA</v>
          </cell>
          <cell r="M1176" t="str">
            <v>SOUBRE</v>
          </cell>
          <cell r="N1176" t="str">
            <v>UPCOUNTRY</v>
          </cell>
        </row>
        <row r="1177">
          <cell r="B1177" t="str">
            <v>ET212</v>
          </cell>
          <cell r="C1177" t="str">
            <v>PTT_OUAGA</v>
          </cell>
          <cell r="D1177" t="str">
            <v>-6.8305</v>
          </cell>
          <cell r="E1177" t="str">
            <v>6.02111111</v>
          </cell>
          <cell r="F1177" t="str">
            <v>2G/3G/4G</v>
          </cell>
          <cell r="G1177" t="str">
            <v>HUAWEI</v>
          </cell>
          <cell r="H1177" t="str">
            <v>IHS</v>
          </cell>
          <cell r="I1177" t="str">
            <v>PTT OUAGA</v>
          </cell>
          <cell r="J1177" t="str">
            <v>DAPEOUA</v>
          </cell>
          <cell r="K1177" t="str">
            <v>BUYO</v>
          </cell>
          <cell r="L1177" t="str">
            <v>NAWA</v>
          </cell>
          <cell r="M1177" t="str">
            <v>SOUBRE</v>
          </cell>
          <cell r="N1177" t="str">
            <v>UPCOUNTRY</v>
          </cell>
        </row>
        <row r="1178">
          <cell r="B1178" t="str">
            <v>ET213</v>
          </cell>
          <cell r="C1178" t="str">
            <v>SAGBOYA_V6</v>
          </cell>
          <cell r="D1178" t="str">
            <v>-6.917239</v>
          </cell>
          <cell r="E1178" t="str">
            <v>5.973775</v>
          </cell>
          <cell r="F1178" t="str">
            <v>2G/3G/4G</v>
          </cell>
          <cell r="G1178" t="str">
            <v>HUAWEI</v>
          </cell>
          <cell r="H1178" t="str">
            <v>IHS</v>
          </cell>
          <cell r="I1178" t="str">
            <v>SAGBOYAV6</v>
          </cell>
          <cell r="J1178" t="str">
            <v>DAPEOUA</v>
          </cell>
          <cell r="K1178" t="str">
            <v>BUYO</v>
          </cell>
          <cell r="L1178" t="str">
            <v>NAWA</v>
          </cell>
          <cell r="M1178" t="str">
            <v>SOUBRE</v>
          </cell>
          <cell r="N1178" t="str">
            <v>UPCOUNTRY</v>
          </cell>
        </row>
        <row r="1179">
          <cell r="B1179" t="str">
            <v>ET214</v>
          </cell>
          <cell r="C1179" t="str">
            <v>NERO_PALMCI</v>
          </cell>
          <cell r="D1179" t="str">
            <v>-7.481385</v>
          </cell>
          <cell r="E1179" t="str">
            <v>4.560837</v>
          </cell>
          <cell r="F1179" t="str">
            <v>2G/3G/4G</v>
          </cell>
          <cell r="G1179" t="str">
            <v>ERICSSON</v>
          </cell>
          <cell r="H1179" t="str">
            <v>MOOV</v>
          </cell>
          <cell r="I1179" t="str">
            <v>NERO V2</v>
          </cell>
          <cell r="J1179" t="str">
            <v>DJAMANDIOKE</v>
          </cell>
          <cell r="K1179" t="str">
            <v>TABOU</v>
          </cell>
          <cell r="L1179" t="str">
            <v>SAN-PEDRO</v>
          </cell>
          <cell r="M1179" t="str">
            <v>SAN-PEDRO</v>
          </cell>
          <cell r="N1179" t="str">
            <v>UPCOUNTRY</v>
          </cell>
        </row>
        <row r="1180">
          <cell r="B1180" t="str">
            <v>ET215</v>
          </cell>
          <cell r="C1180" t="str">
            <v>KODJINAN</v>
          </cell>
          <cell r="D1180" t="str">
            <v>-3.60725</v>
          </cell>
          <cell r="E1180" t="str">
            <v>6.71643</v>
          </cell>
          <cell r="F1180" t="str">
            <v>2G/3G/4G</v>
          </cell>
          <cell r="G1180" t="str">
            <v>ERICSSON</v>
          </cell>
          <cell r="H1180" t="str">
            <v>IHS</v>
          </cell>
          <cell r="I1180" t="str">
            <v>KODJINAN</v>
          </cell>
          <cell r="J1180" t="str">
            <v>ABENGOUROU</v>
          </cell>
          <cell r="K1180" t="str">
            <v>ABENGOUROU</v>
          </cell>
          <cell r="L1180" t="str">
            <v>INDENIE-DJUABLIN</v>
          </cell>
          <cell r="M1180" t="str">
            <v>ABENGOUROU</v>
          </cell>
          <cell r="N1180" t="str">
            <v>UPCOUNTRY</v>
          </cell>
        </row>
        <row r="1181">
          <cell r="B1181" t="str">
            <v>ET216</v>
          </cell>
          <cell r="C1181" t="str">
            <v>BIASSO</v>
          </cell>
          <cell r="D1181" t="str">
            <v>-3.792861</v>
          </cell>
          <cell r="E1181" t="str">
            <v>6.115278</v>
          </cell>
          <cell r="F1181" t="str">
            <v>2G/3G/4G</v>
          </cell>
          <cell r="G1181" t="str">
            <v>ERICSSON</v>
          </cell>
          <cell r="H1181" t="str">
            <v>IHS</v>
          </cell>
          <cell r="I1181" t="str">
            <v>BIASSO</v>
          </cell>
          <cell r="J1181" t="str">
            <v>ADZOPE</v>
          </cell>
          <cell r="K1181" t="str">
            <v>ADZOPE</v>
          </cell>
          <cell r="L1181" t="str">
            <v>LA ME</v>
          </cell>
          <cell r="M1181" t="str">
            <v>ABENGOUROU</v>
          </cell>
          <cell r="N1181" t="str">
            <v>UPCOUNTRY</v>
          </cell>
        </row>
        <row r="1182">
          <cell r="B1182" t="str">
            <v>ET217</v>
          </cell>
          <cell r="C1182" t="str">
            <v>TRIANIKRO</v>
          </cell>
          <cell r="D1182" t="str">
            <v>-4.80717</v>
          </cell>
          <cell r="E1182" t="str">
            <v>6.85216</v>
          </cell>
          <cell r="F1182" t="str">
            <v>2G/3G/4G</v>
          </cell>
          <cell r="G1182" t="str">
            <v>HUAWEI</v>
          </cell>
          <cell r="H1182" t="str">
            <v>IHS</v>
          </cell>
          <cell r="I1182" t="str">
            <v>TRIANIKRO</v>
          </cell>
          <cell r="J1182" t="str">
            <v>ABIGUI</v>
          </cell>
          <cell r="K1182" t="str">
            <v>DIMBOKRO</v>
          </cell>
          <cell r="L1182" t="str">
            <v>N'ZI</v>
          </cell>
          <cell r="M1182" t="str">
            <v>YAMOUSSOUKRO</v>
          </cell>
          <cell r="N1182" t="str">
            <v>UPCOUNTRY</v>
          </cell>
        </row>
        <row r="1183">
          <cell r="B1183" t="str">
            <v>ET218</v>
          </cell>
          <cell r="C1183" t="str">
            <v>ORESS</v>
          </cell>
          <cell r="D1183" t="str">
            <v>-4.392028</v>
          </cell>
          <cell r="E1183" t="str">
            <v>5.738889</v>
          </cell>
          <cell r="F1183" t="str">
            <v>2G/3G/4G</v>
          </cell>
          <cell r="G1183" t="str">
            <v>ERICSSON</v>
          </cell>
          <cell r="H1183" t="str">
            <v>IHS</v>
          </cell>
          <cell r="I1183" t="str">
            <v>ORESS-KROBOU</v>
          </cell>
          <cell r="J1183" t="str">
            <v>ORESS-KROBOU</v>
          </cell>
          <cell r="K1183" t="str">
            <v>AGBOVILLE</v>
          </cell>
          <cell r="L1183" t="str">
            <v>AGNEBY-TIASSA</v>
          </cell>
          <cell r="M1183" t="str">
            <v>ABOBO</v>
          </cell>
          <cell r="N1183" t="str">
            <v>UPCOUNTRY</v>
          </cell>
        </row>
        <row r="1184">
          <cell r="B1184" t="str">
            <v>ET219</v>
          </cell>
          <cell r="C1184" t="str">
            <v>SOKO</v>
          </cell>
          <cell r="D1184" t="str">
            <v>-2.744994</v>
          </cell>
          <cell r="E1184" t="str">
            <v>7.99055</v>
          </cell>
          <cell r="F1184" t="str">
            <v>2G/3G/4G</v>
          </cell>
          <cell r="G1184" t="str">
            <v>ERICSSON</v>
          </cell>
          <cell r="H1184" t="str">
            <v>IHS</v>
          </cell>
          <cell r="I1184" t="str">
            <v>SOKO</v>
          </cell>
          <cell r="J1184" t="str">
            <v>PINDA-BOROKO</v>
          </cell>
          <cell r="K1184" t="str">
            <v>BONDOUKOU</v>
          </cell>
          <cell r="L1184" t="str">
            <v>GONTOUGO</v>
          </cell>
          <cell r="M1184" t="str">
            <v>ABENGOUROU</v>
          </cell>
          <cell r="N1184" t="str">
            <v>UPCOUNTRY</v>
          </cell>
        </row>
        <row r="1185">
          <cell r="B1185" t="str">
            <v>ET220</v>
          </cell>
          <cell r="C1185" t="str">
            <v>ABIE</v>
          </cell>
          <cell r="D1185" t="str">
            <v>-3.9215</v>
          </cell>
          <cell r="E1185" t="str">
            <v>5.868333</v>
          </cell>
          <cell r="F1185" t="str">
            <v>2G/3G/4G</v>
          </cell>
          <cell r="G1185" t="str">
            <v>ERICSSON</v>
          </cell>
          <cell r="H1185" t="str">
            <v>IHS</v>
          </cell>
          <cell r="I1185" t="str">
            <v>ABIE</v>
          </cell>
          <cell r="J1185" t="str">
            <v>YAKASSE-ME</v>
          </cell>
          <cell r="K1185" t="str">
            <v>ADZOPE</v>
          </cell>
          <cell r="L1185" t="str">
            <v>LA ME</v>
          </cell>
          <cell r="M1185" t="str">
            <v>ABOBO</v>
          </cell>
          <cell r="N1185" t="str">
            <v>UPCOUNTRY</v>
          </cell>
        </row>
        <row r="1186">
          <cell r="B1186" t="str">
            <v>ET221</v>
          </cell>
          <cell r="C1186" t="str">
            <v>KODIOUSSOU</v>
          </cell>
          <cell r="D1186" t="str">
            <v>-3.755556</v>
          </cell>
          <cell r="E1186" t="str">
            <v>5.765</v>
          </cell>
          <cell r="F1186" t="str">
            <v>2G/3G/4G</v>
          </cell>
          <cell r="G1186" t="str">
            <v>ERICSSON</v>
          </cell>
          <cell r="H1186" t="str">
            <v>IHS</v>
          </cell>
          <cell r="I1186" t="str">
            <v>KODIOUSSOU</v>
          </cell>
          <cell r="J1186" t="str">
            <v>DANGUIRA</v>
          </cell>
          <cell r="K1186" t="str">
            <v>ALEPE</v>
          </cell>
          <cell r="L1186" t="str">
            <v>LA ME</v>
          </cell>
          <cell r="M1186" t="str">
            <v>ABOBO</v>
          </cell>
          <cell r="N1186" t="str">
            <v>UPCOUNTRY</v>
          </cell>
        </row>
        <row r="1187">
          <cell r="B1187" t="str">
            <v>ET222</v>
          </cell>
          <cell r="C1187" t="str">
            <v>ANDOKEKRENOU</v>
          </cell>
          <cell r="D1187" t="str">
            <v>-5.5771824</v>
          </cell>
          <cell r="E1187" t="str">
            <v>7.507056</v>
          </cell>
          <cell r="F1187" t="str">
            <v>2G/3G/4G</v>
          </cell>
          <cell r="G1187" t="str">
            <v>HUAWEI</v>
          </cell>
          <cell r="H1187" t="str">
            <v>IHS</v>
          </cell>
          <cell r="I1187" t="str">
            <v>ANDOKEKRENOU</v>
          </cell>
          <cell r="J1187" t="str">
            <v>ANDOKEKRENOU</v>
          </cell>
          <cell r="K1187" t="str">
            <v>BEOUMI</v>
          </cell>
          <cell r="L1187" t="str">
            <v>GBEKE</v>
          </cell>
          <cell r="M1187" t="str">
            <v>BOUAKE</v>
          </cell>
          <cell r="N1187" t="str">
            <v>UPCOUNTRY</v>
          </cell>
        </row>
        <row r="1188">
          <cell r="B1188" t="str">
            <v>ET223</v>
          </cell>
          <cell r="C1188" t="str">
            <v>ANGONDA</v>
          </cell>
          <cell r="D1188" t="str">
            <v>-5.01467</v>
          </cell>
          <cell r="E1188" t="str">
            <v>6.66442</v>
          </cell>
          <cell r="F1188" t="str">
            <v>2G/3G/4G</v>
          </cell>
          <cell r="G1188" t="str">
            <v>HUAWEI</v>
          </cell>
          <cell r="H1188" t="str">
            <v>IHS</v>
          </cell>
          <cell r="I1188" t="str">
            <v>ANGONDA</v>
          </cell>
          <cell r="J1188" t="str">
            <v>ANGONDA</v>
          </cell>
          <cell r="K1188" t="str">
            <v>TOUMODI</v>
          </cell>
          <cell r="L1188" t="str">
            <v>BELIER</v>
          </cell>
          <cell r="M1188" t="str">
            <v>YAMOUSSOUKRO</v>
          </cell>
          <cell r="N1188" t="str">
            <v>UPCOUNTRY</v>
          </cell>
        </row>
        <row r="1189">
          <cell r="B1189" t="str">
            <v>ET224</v>
          </cell>
          <cell r="C1189" t="str">
            <v>MBONOUA</v>
          </cell>
          <cell r="D1189" t="str">
            <v>-4.22733333333333</v>
          </cell>
          <cell r="E1189" t="str">
            <v>5.55372222222222</v>
          </cell>
          <cell r="F1189" t="str">
            <v>2G/3G/4G</v>
          </cell>
          <cell r="G1189" t="str">
            <v>ERICSSON</v>
          </cell>
          <cell r="H1189" t="str">
            <v>IHS</v>
          </cell>
          <cell r="I1189" t="str">
            <v>ANYAMA</v>
          </cell>
          <cell r="J1189" t="str">
            <v>ANYAMA</v>
          </cell>
          <cell r="K1189" t="str">
            <v>ABIDJAN</v>
          </cell>
          <cell r="L1189" t="str">
            <v>ABIDJAN</v>
          </cell>
          <cell r="M1189" t="str">
            <v>ABOBO</v>
          </cell>
          <cell r="N1189" t="str">
            <v>ABIDJAN</v>
          </cell>
        </row>
        <row r="1190">
          <cell r="B1190" t="str">
            <v>ET225</v>
          </cell>
          <cell r="C1190" t="str">
            <v>ANNEPE</v>
          </cell>
          <cell r="D1190" t="str">
            <v>-3.76857</v>
          </cell>
          <cell r="E1190" t="str">
            <v>5.90182</v>
          </cell>
          <cell r="F1190" t="str">
            <v>2G/3G/4G</v>
          </cell>
          <cell r="G1190" t="str">
            <v>ERICSSON</v>
          </cell>
          <cell r="H1190" t="str">
            <v>IHS</v>
          </cell>
          <cell r="I1190" t="str">
            <v>ANNEPE</v>
          </cell>
          <cell r="J1190" t="str">
            <v>ANNEPE</v>
          </cell>
          <cell r="K1190" t="str">
            <v>ADZOPE</v>
          </cell>
          <cell r="L1190" t="str">
            <v>LA ME</v>
          </cell>
          <cell r="M1190" t="str">
            <v>ABENGOUROU</v>
          </cell>
          <cell r="N1190" t="str">
            <v>UPCOUNTRY</v>
          </cell>
        </row>
        <row r="1191">
          <cell r="B1191" t="str">
            <v>ET226</v>
          </cell>
          <cell r="C1191" t="str">
            <v>ASSIKOI</v>
          </cell>
          <cell r="D1191" t="str">
            <v>-3.809333</v>
          </cell>
          <cell r="E1191" t="str">
            <v>5.993333</v>
          </cell>
          <cell r="F1191" t="str">
            <v>2G/3G/4G</v>
          </cell>
          <cell r="G1191" t="str">
            <v>ERICSSON</v>
          </cell>
          <cell r="H1191" t="str">
            <v>IHS</v>
          </cell>
          <cell r="I1191" t="str">
            <v>ASSIKOI</v>
          </cell>
          <cell r="J1191" t="str">
            <v>ASSIKOI</v>
          </cell>
          <cell r="K1191" t="str">
            <v>ADZOPE</v>
          </cell>
          <cell r="L1191" t="str">
            <v>LA ME</v>
          </cell>
          <cell r="M1191" t="str">
            <v>ABENGOUROU</v>
          </cell>
          <cell r="N1191" t="str">
            <v>UPCOUNTRY</v>
          </cell>
        </row>
        <row r="1192">
          <cell r="B1192" t="str">
            <v>ET227</v>
          </cell>
          <cell r="C1192" t="str">
            <v>ATTIEGOUAKRO</v>
          </cell>
          <cell r="D1192" t="str">
            <v>-5.11583</v>
          </cell>
          <cell r="E1192" t="str">
            <v>6.770276</v>
          </cell>
          <cell r="F1192" t="str">
            <v>2G/3G/4G</v>
          </cell>
          <cell r="G1192" t="str">
            <v>HUAWEI</v>
          </cell>
          <cell r="H1192" t="str">
            <v>IHS</v>
          </cell>
          <cell r="I1192" t="str">
            <v>ATTIEGOUAKRO</v>
          </cell>
          <cell r="J1192" t="str">
            <v>ATTIEGOUAKRO</v>
          </cell>
          <cell r="K1192" t="str">
            <v>ATTIEGOUAKRO</v>
          </cell>
          <cell r="L1192" t="str">
            <v>YAMOUSSOUKRO</v>
          </cell>
          <cell r="M1192" t="str">
            <v>YAMOUSSOUKRO</v>
          </cell>
          <cell r="N1192" t="str">
            <v>UPCOUNTRY</v>
          </cell>
        </row>
        <row r="1193">
          <cell r="B1193" t="str">
            <v>ET228</v>
          </cell>
          <cell r="C1193" t="str">
            <v>AKRESSI</v>
          </cell>
          <cell r="D1193" t="str">
            <v>-3.072167</v>
          </cell>
          <cell r="E1193" t="str">
            <v>5.664889</v>
          </cell>
          <cell r="F1193" t="str">
            <v>2G/3G/4G</v>
          </cell>
          <cell r="G1193" t="str">
            <v>ERICSSON</v>
          </cell>
          <cell r="H1193" t="str">
            <v>IHS</v>
          </cell>
          <cell r="I1193" t="str">
            <v>AKRESSI</v>
          </cell>
          <cell r="J1193" t="str">
            <v>AYAME</v>
          </cell>
          <cell r="K1193" t="str">
            <v>ABOISSO</v>
          </cell>
          <cell r="L1193" t="str">
            <v>SUD-COMOE</v>
          </cell>
          <cell r="M1193" t="str">
            <v>MARCORY</v>
          </cell>
          <cell r="N1193" t="str">
            <v>UPCOUNTRY</v>
          </cell>
        </row>
        <row r="1194">
          <cell r="B1194" t="str">
            <v>ET229</v>
          </cell>
          <cell r="C1194" t="str">
            <v>EBIKRO_NDAKRO</v>
          </cell>
          <cell r="D1194" t="str">
            <v>-3.10324</v>
          </cell>
          <cell r="E1194" t="str">
            <v>5.72172</v>
          </cell>
          <cell r="F1194" t="str">
            <v>2G/3G/4G</v>
          </cell>
          <cell r="G1194" t="str">
            <v>ERICSSON</v>
          </cell>
          <cell r="H1194" t="str">
            <v>IHS</v>
          </cell>
          <cell r="I1194" t="str">
            <v>EBIKRO-NDAKRO</v>
          </cell>
          <cell r="J1194" t="str">
            <v>YAOU</v>
          </cell>
          <cell r="K1194" t="str">
            <v>ABOISSO</v>
          </cell>
          <cell r="L1194" t="str">
            <v>SUD-COMOE</v>
          </cell>
          <cell r="M1194" t="str">
            <v>MARCORY</v>
          </cell>
          <cell r="N1194" t="str">
            <v>UPCOUNTRY</v>
          </cell>
        </row>
        <row r="1195">
          <cell r="B1195" t="str">
            <v>ET230</v>
          </cell>
          <cell r="C1195" t="str">
            <v>NDRIKRO</v>
          </cell>
          <cell r="D1195" t="str">
            <v>-4.4273</v>
          </cell>
          <cell r="E1195" t="str">
            <v>6.69525</v>
          </cell>
          <cell r="F1195" t="str">
            <v>2G/3G/4G</v>
          </cell>
          <cell r="G1195" t="str">
            <v>HUAWEI</v>
          </cell>
          <cell r="H1195" t="str">
            <v>IHS</v>
          </cell>
          <cell r="I1195" t="str">
            <v>NDRIKRO</v>
          </cell>
          <cell r="J1195" t="str">
            <v>ASSAHARA</v>
          </cell>
          <cell r="K1195" t="str">
            <v>M'BATTO</v>
          </cell>
          <cell r="L1195" t="str">
            <v>MORONOU</v>
          </cell>
          <cell r="M1195" t="str">
            <v>YAMOUSSOUKRO</v>
          </cell>
          <cell r="N1195" t="str">
            <v>UPCOUNTRY</v>
          </cell>
        </row>
        <row r="1196">
          <cell r="B1196" t="str">
            <v>ET231</v>
          </cell>
          <cell r="C1196" t="str">
            <v>BAKOUBLY</v>
          </cell>
          <cell r="D1196" t="str">
            <v>-8.40697</v>
          </cell>
          <cell r="E1196" t="str">
            <v>6.46369</v>
          </cell>
          <cell r="F1196" t="str">
            <v>2G/3G/4G</v>
          </cell>
          <cell r="G1196" t="str">
            <v>HUAWEI</v>
          </cell>
          <cell r="H1196" t="str">
            <v>IHS</v>
          </cell>
          <cell r="I1196" t="str">
            <v>BAKOUBLY</v>
          </cell>
          <cell r="J1196" t="str">
            <v>BAKOUBLY</v>
          </cell>
          <cell r="K1196" t="str">
            <v>TOULEPLEU</v>
          </cell>
          <cell r="L1196" t="str">
            <v>CAVALLY</v>
          </cell>
          <cell r="M1196" t="str">
            <v>MAN</v>
          </cell>
          <cell r="N1196" t="str">
            <v>UPCOUNTRY</v>
          </cell>
        </row>
        <row r="1197">
          <cell r="B1197" t="str">
            <v>ET232</v>
          </cell>
          <cell r="C1197" t="str">
            <v>ABRADINOU</v>
          </cell>
          <cell r="D1197" t="str">
            <v>-3.457528</v>
          </cell>
          <cell r="E1197" t="str">
            <v>6.183778</v>
          </cell>
          <cell r="F1197" t="str">
            <v>2G/3G/4G</v>
          </cell>
          <cell r="G1197" t="str">
            <v>ERICSSON</v>
          </cell>
          <cell r="H1197" t="str">
            <v>IHS</v>
          </cell>
          <cell r="I1197" t="str">
            <v>ABRADINOU</v>
          </cell>
          <cell r="J1197" t="str">
            <v>BETTIE</v>
          </cell>
          <cell r="K1197" t="str">
            <v>BETTIE</v>
          </cell>
          <cell r="L1197" t="str">
            <v>INDENIE-DJUABLIN</v>
          </cell>
          <cell r="M1197" t="str">
            <v>ABENGOUROU</v>
          </cell>
          <cell r="N1197" t="str">
            <v>UPCOUNTRY</v>
          </cell>
        </row>
        <row r="1198">
          <cell r="B1198" t="str">
            <v>ET233</v>
          </cell>
          <cell r="C1198" t="str">
            <v>SAPH_SAIBE</v>
          </cell>
          <cell r="D1198" t="str">
            <v>-3.337671</v>
          </cell>
          <cell r="E1198" t="str">
            <v>6.131196</v>
          </cell>
          <cell r="F1198" t="str">
            <v>2G/3G/4G</v>
          </cell>
          <cell r="G1198" t="str">
            <v>ERICSSON</v>
          </cell>
          <cell r="H1198" t="str">
            <v>MOOV</v>
          </cell>
          <cell r="I1198" t="str">
            <v>NIOUPINBENIEKRO (SAIBE)</v>
          </cell>
          <cell r="J1198" t="str">
            <v>BETTIE</v>
          </cell>
          <cell r="K1198" t="str">
            <v>BETTIE</v>
          </cell>
          <cell r="L1198" t="str">
            <v>INDENIE-DJUABLIN</v>
          </cell>
          <cell r="M1198" t="str">
            <v>ABENGOUROU</v>
          </cell>
          <cell r="N1198" t="str">
            <v>UPCOUNTRY</v>
          </cell>
        </row>
        <row r="1199">
          <cell r="B1199" t="str">
            <v>ET234</v>
          </cell>
          <cell r="C1199" t="str">
            <v>DOKE</v>
          </cell>
          <cell r="D1199" t="str">
            <v>-8.12125</v>
          </cell>
          <cell r="E1199" t="str">
            <v>6.59628</v>
          </cell>
          <cell r="F1199" t="str">
            <v>2G/3G/4G</v>
          </cell>
          <cell r="G1199" t="str">
            <v>HUAWEI</v>
          </cell>
          <cell r="H1199" t="str">
            <v>IHS</v>
          </cell>
          <cell r="I1199" t="str">
            <v>DOKE</v>
          </cell>
          <cell r="J1199" t="str">
            <v>DOKE</v>
          </cell>
          <cell r="K1199" t="str">
            <v>BLOLEQUIN</v>
          </cell>
          <cell r="L1199" t="str">
            <v>CAVALLY</v>
          </cell>
          <cell r="M1199" t="str">
            <v>MAN</v>
          </cell>
          <cell r="N1199" t="str">
            <v>UPCOUNTRY</v>
          </cell>
        </row>
        <row r="1200">
          <cell r="B1200" t="str">
            <v>ET235</v>
          </cell>
          <cell r="C1200" t="str">
            <v>NZEKREZESSOU</v>
          </cell>
          <cell r="D1200" t="str">
            <v>-4.27267</v>
          </cell>
          <cell r="E1200" t="str">
            <v>7.06944</v>
          </cell>
          <cell r="F1200" t="str">
            <v>2G/3G/4G</v>
          </cell>
          <cell r="G1200" t="str">
            <v>HUAWEI</v>
          </cell>
          <cell r="H1200" t="str">
            <v>IHS</v>
          </cell>
          <cell r="I1200" t="str">
            <v>NZECREZESSOU</v>
          </cell>
          <cell r="J1200" t="str">
            <v>N'ZEKRESSESSOU</v>
          </cell>
          <cell r="K1200" t="str">
            <v>BOCANDA</v>
          </cell>
          <cell r="L1200" t="str">
            <v>N'ZI</v>
          </cell>
          <cell r="M1200" t="str">
            <v>YAMOUSSOUKRO</v>
          </cell>
          <cell r="N1200" t="str">
            <v>UPCOUNTRY</v>
          </cell>
        </row>
        <row r="1201">
          <cell r="B1201" t="str">
            <v>ET236</v>
          </cell>
          <cell r="C1201" t="str">
            <v>TAMBI</v>
          </cell>
          <cell r="D1201" t="str">
            <v>-2.57022222</v>
          </cell>
          <cell r="E1201" t="str">
            <v>8.226388888</v>
          </cell>
          <cell r="F1201" t="str">
            <v>2G/3G/4G</v>
          </cell>
          <cell r="G1201" t="str">
            <v>ERICSSON</v>
          </cell>
          <cell r="H1201" t="str">
            <v>IHS</v>
          </cell>
          <cell r="I1201" t="str">
            <v>TAMBI</v>
          </cell>
          <cell r="J1201" t="str">
            <v>SOROBANGO</v>
          </cell>
          <cell r="K1201" t="str">
            <v>BONDOUKOU</v>
          </cell>
          <cell r="L1201" t="str">
            <v>GONTOUGO</v>
          </cell>
          <cell r="M1201" t="str">
            <v>ABENGOUROU</v>
          </cell>
          <cell r="N1201" t="str">
            <v>UPCOUNTRY</v>
          </cell>
        </row>
        <row r="1202">
          <cell r="B1202" t="str">
            <v>ET237</v>
          </cell>
          <cell r="C1202" t="str">
            <v>BOBOSSO_TIENIGBE</v>
          </cell>
          <cell r="D1202" t="str">
            <v>-5.7843026</v>
          </cell>
          <cell r="E1202" t="str">
            <v>8.4570939</v>
          </cell>
          <cell r="F1202" t="str">
            <v>2G/3G/4G</v>
          </cell>
          <cell r="G1202" t="str">
            <v>HUAWEI</v>
          </cell>
          <cell r="H1202" t="str">
            <v>IHS</v>
          </cell>
          <cell r="I1202" t="str">
            <v>BOBOSSO-TIENIGBE</v>
          </cell>
          <cell r="J1202" t="str">
            <v>MARANDALAH</v>
          </cell>
          <cell r="K1202" t="str">
            <v>MANKONO</v>
          </cell>
          <cell r="L1202" t="str">
            <v>BERE</v>
          </cell>
          <cell r="M1202" t="str">
            <v>BOUAKE</v>
          </cell>
          <cell r="N1202" t="str">
            <v>UPCOUNTRY</v>
          </cell>
        </row>
        <row r="1203">
          <cell r="B1203" t="str">
            <v>ET238</v>
          </cell>
          <cell r="C1203" t="str">
            <v>DIANOUFLA</v>
          </cell>
          <cell r="D1203" t="str">
            <v>-6.01463</v>
          </cell>
          <cell r="E1203" t="str">
            <v>6.79996</v>
          </cell>
          <cell r="F1203" t="str">
            <v>2G/3G/4G</v>
          </cell>
          <cell r="G1203" t="str">
            <v>HUAWEI</v>
          </cell>
          <cell r="H1203" t="str">
            <v>IHS</v>
          </cell>
          <cell r="I1203" t="str">
            <v>DIANOUFLA</v>
          </cell>
          <cell r="J1203" t="str">
            <v>ZAGUIETA</v>
          </cell>
          <cell r="K1203" t="str">
            <v>BOUAFLE</v>
          </cell>
          <cell r="L1203" t="str">
            <v>MARAHOUE</v>
          </cell>
          <cell r="M1203" t="str">
            <v>DALOA</v>
          </cell>
          <cell r="N1203" t="str">
            <v>UPCOUNTRY</v>
          </cell>
        </row>
        <row r="1204">
          <cell r="B1204" t="str">
            <v>ET239</v>
          </cell>
          <cell r="C1204" t="str">
            <v>NDOUFFOUKANKRO</v>
          </cell>
          <cell r="D1204" t="str">
            <v>-5.81997</v>
          </cell>
          <cell r="E1204" t="str">
            <v>6.85994</v>
          </cell>
          <cell r="F1204" t="str">
            <v>2G/3G/4G</v>
          </cell>
          <cell r="G1204" t="str">
            <v>HUAWEI</v>
          </cell>
          <cell r="H1204" t="str">
            <v>IHS</v>
          </cell>
          <cell r="I1204" t="str">
            <v>NDOUFFOUKANKRO</v>
          </cell>
          <cell r="J1204" t="str">
            <v>N'DOUFFOUKANKRO</v>
          </cell>
          <cell r="K1204" t="str">
            <v>BOUAFLE</v>
          </cell>
          <cell r="L1204" t="str">
            <v>MARAHOUE</v>
          </cell>
          <cell r="M1204" t="str">
            <v>YAMOUSSOUKRO</v>
          </cell>
          <cell r="N1204" t="str">
            <v>UPCOUNTRY</v>
          </cell>
        </row>
        <row r="1205">
          <cell r="B1205" t="str">
            <v>ET240</v>
          </cell>
          <cell r="C1205" t="str">
            <v>PAKOUABO</v>
          </cell>
          <cell r="D1205" t="str">
            <v>-5.78619</v>
          </cell>
          <cell r="E1205" t="str">
            <v>7.17025</v>
          </cell>
          <cell r="F1205" t="str">
            <v>2G/3G/4G</v>
          </cell>
          <cell r="G1205" t="str">
            <v>HUAWEI</v>
          </cell>
          <cell r="H1205" t="str">
            <v>IHS</v>
          </cell>
          <cell r="I1205" t="str">
            <v>PAKOUABO</v>
          </cell>
          <cell r="J1205" t="str">
            <v>PAKOUABO</v>
          </cell>
          <cell r="K1205" t="str">
            <v>BOUAFLE</v>
          </cell>
          <cell r="L1205" t="str">
            <v>MARAHOUE</v>
          </cell>
          <cell r="M1205" t="str">
            <v>YAMOUSSOUKRO</v>
          </cell>
          <cell r="N1205" t="str">
            <v>UPCOUNTRY</v>
          </cell>
        </row>
        <row r="1206">
          <cell r="B1206" t="str">
            <v>ET241</v>
          </cell>
          <cell r="C1206" t="str">
            <v>LOUKOU_YAOKRO</v>
          </cell>
          <cell r="D1206" t="str">
            <v>-4.87447</v>
          </cell>
          <cell r="E1206" t="str">
            <v>6.5795</v>
          </cell>
          <cell r="F1206" t="str">
            <v>2G/3G/4G</v>
          </cell>
          <cell r="G1206" t="str">
            <v>HUAWEI</v>
          </cell>
          <cell r="H1206" t="str">
            <v>IHS</v>
          </cell>
          <cell r="I1206" t="str">
            <v>LOUKOU-YAOKRO</v>
          </cell>
          <cell r="J1206" t="str">
            <v>TOUMODI</v>
          </cell>
          <cell r="K1206" t="str">
            <v>TOUMODI</v>
          </cell>
          <cell r="L1206" t="str">
            <v>BELIER</v>
          </cell>
          <cell r="M1206" t="str">
            <v>YAMOUSSOUKRO</v>
          </cell>
          <cell r="N1206" t="str">
            <v>UPCOUNTRY</v>
          </cell>
        </row>
        <row r="1207">
          <cell r="B1207" t="str">
            <v>ET242</v>
          </cell>
          <cell r="C1207" t="str">
            <v>NOUKPOUDOU_LBS</v>
          </cell>
          <cell r="D1207" t="str">
            <v>-6.89892</v>
          </cell>
          <cell r="E1207" t="str">
            <v>6.39833</v>
          </cell>
          <cell r="F1207" t="str">
            <v>2G/3G/4G</v>
          </cell>
          <cell r="G1207" t="str">
            <v>HUAWEI</v>
          </cell>
          <cell r="H1207" t="str">
            <v>IHS</v>
          </cell>
          <cell r="I1207" t="str">
            <v>NOUKPOUDOU2</v>
          </cell>
          <cell r="J1207" t="str">
            <v>BUYO</v>
          </cell>
          <cell r="K1207" t="str">
            <v>BUYO</v>
          </cell>
          <cell r="L1207" t="str">
            <v>NAWA</v>
          </cell>
          <cell r="M1207" t="str">
            <v>SOUBRE</v>
          </cell>
          <cell r="N1207" t="str">
            <v>UPCOUNTRY</v>
          </cell>
        </row>
        <row r="1208">
          <cell r="B1208" t="str">
            <v>ET243</v>
          </cell>
          <cell r="C1208" t="str">
            <v>MBORLA_DIOULASSO</v>
          </cell>
          <cell r="D1208" t="str">
            <v>-4.481491</v>
          </cell>
          <cell r="E1208" t="str">
            <v>8.4717122</v>
          </cell>
          <cell r="F1208" t="str">
            <v>2G/3G/4G</v>
          </cell>
          <cell r="G1208" t="str">
            <v>HUAWEI</v>
          </cell>
          <cell r="H1208" t="str">
            <v>IHS</v>
          </cell>
          <cell r="I1208" t="str">
            <v>MBORLA-DIOULASSO</v>
          </cell>
          <cell r="J1208" t="str">
            <v>SOKALA-SOBARA</v>
          </cell>
          <cell r="K1208" t="str">
            <v>DABAKALA</v>
          </cell>
          <cell r="L1208" t="str">
            <v>HAMBOL</v>
          </cell>
          <cell r="M1208" t="str">
            <v>BOUAKE</v>
          </cell>
          <cell r="N1208" t="str">
            <v>UPCOUNTRY</v>
          </cell>
        </row>
        <row r="1209">
          <cell r="B1209" t="str">
            <v>ET244</v>
          </cell>
          <cell r="C1209" t="str">
            <v>AKRADIO</v>
          </cell>
          <cell r="D1209" t="str">
            <v>-4.356361</v>
          </cell>
          <cell r="E1209" t="str">
            <v>5.42065</v>
          </cell>
          <cell r="F1209" t="str">
            <v>2G/3G/4G</v>
          </cell>
          <cell r="G1209" t="str">
            <v>ERICSSON</v>
          </cell>
          <cell r="H1209" t="str">
            <v>IHS</v>
          </cell>
          <cell r="I1209" t="str">
            <v>AKRADIO</v>
          </cell>
          <cell r="J1209" t="str">
            <v>DABOU</v>
          </cell>
          <cell r="K1209" t="str">
            <v>DABOU</v>
          </cell>
          <cell r="L1209" t="str">
            <v>GRANDS-PONTS</v>
          </cell>
          <cell r="M1209" t="str">
            <v>YOPOUGON FICGAYO</v>
          </cell>
          <cell r="N1209" t="str">
            <v>UPCOUNTRY</v>
          </cell>
        </row>
        <row r="1210">
          <cell r="B1210" t="str">
            <v>ET245</v>
          </cell>
          <cell r="C1210" t="str">
            <v>DEBRIMOU</v>
          </cell>
          <cell r="D1210" t="str">
            <v>-4.385056</v>
          </cell>
          <cell r="E1210" t="str">
            <v>5.366889</v>
          </cell>
          <cell r="F1210" t="str">
            <v>2G/3G/4G</v>
          </cell>
          <cell r="G1210" t="str">
            <v>ERICSSON</v>
          </cell>
          <cell r="H1210" t="str">
            <v>IHS</v>
          </cell>
          <cell r="I1210" t="str">
            <v>DEBRIMOU</v>
          </cell>
          <cell r="J1210" t="str">
            <v>DABOU</v>
          </cell>
          <cell r="K1210" t="str">
            <v>DABOU</v>
          </cell>
          <cell r="L1210" t="str">
            <v>GRANDS-PONTS</v>
          </cell>
          <cell r="M1210" t="str">
            <v>YOPOUGON FICGAYO</v>
          </cell>
          <cell r="N1210" t="str">
            <v>UPCOUNTRY</v>
          </cell>
        </row>
        <row r="1211">
          <cell r="B1211" t="str">
            <v>ET246</v>
          </cell>
          <cell r="C1211" t="str">
            <v>AYAPRIKRO</v>
          </cell>
          <cell r="D1211" t="str">
            <v>-5.23894</v>
          </cell>
          <cell r="E1211" t="str">
            <v>7.27253</v>
          </cell>
          <cell r="F1211" t="str">
            <v>2G/3G/4G</v>
          </cell>
          <cell r="G1211" t="str">
            <v>HUAWEI</v>
          </cell>
          <cell r="H1211" t="str">
            <v>IHS</v>
          </cell>
          <cell r="I1211" t="str">
            <v>AYAPRIKRO</v>
          </cell>
          <cell r="J1211" t="str">
            <v>TIEBISSOU</v>
          </cell>
          <cell r="K1211" t="str">
            <v>TIEBISSOU</v>
          </cell>
          <cell r="L1211" t="str">
            <v>BELIER</v>
          </cell>
          <cell r="M1211" t="str">
            <v>YAMOUSSOUKRO</v>
          </cell>
          <cell r="N1211" t="str">
            <v>UPCOUNTRY</v>
          </cell>
        </row>
        <row r="1212">
          <cell r="B1212" t="str">
            <v>ET247</v>
          </cell>
          <cell r="C1212" t="str">
            <v>SONONZO</v>
          </cell>
          <cell r="D1212" t="str">
            <v>-6.134704</v>
          </cell>
          <cell r="E1212" t="str">
            <v>8.6320828</v>
          </cell>
          <cell r="F1212" t="str">
            <v>2G/3G/4G</v>
          </cell>
          <cell r="G1212" t="str">
            <v>HUAWEI</v>
          </cell>
          <cell r="H1212" t="str">
            <v>IHS</v>
          </cell>
          <cell r="I1212" t="str">
            <v>SONONZO</v>
          </cell>
          <cell r="J1212" t="str">
            <v>DIANRA-VILLAGE</v>
          </cell>
          <cell r="K1212" t="str">
            <v>DIANRA</v>
          </cell>
          <cell r="L1212" t="str">
            <v>BERE</v>
          </cell>
          <cell r="M1212" t="str">
            <v>BOUAKE</v>
          </cell>
          <cell r="N1212" t="str">
            <v>UPCOUNTRY</v>
          </cell>
        </row>
        <row r="1213">
          <cell r="B1213" t="str">
            <v>ET248</v>
          </cell>
          <cell r="C1213" t="str">
            <v>TONLA</v>
          </cell>
          <cell r="D1213" t="str">
            <v>-5.64447</v>
          </cell>
          <cell r="E1213" t="str">
            <v>6.35138</v>
          </cell>
          <cell r="F1213" t="str">
            <v>2G/3G/4G</v>
          </cell>
          <cell r="G1213" t="str">
            <v>HUAWEI</v>
          </cell>
          <cell r="H1213" t="str">
            <v>IHS</v>
          </cell>
          <cell r="I1213" t="str">
            <v>TONLA</v>
          </cell>
          <cell r="J1213" t="str">
            <v>TONLA</v>
          </cell>
          <cell r="K1213" t="str">
            <v>OUME</v>
          </cell>
          <cell r="L1213" t="str">
            <v>GOH</v>
          </cell>
          <cell r="M1213" t="str">
            <v>GAGNOA</v>
          </cell>
          <cell r="N1213" t="str">
            <v>UPCOUNTRY</v>
          </cell>
        </row>
        <row r="1214">
          <cell r="B1214" t="str">
            <v>ET249</v>
          </cell>
          <cell r="C1214" t="str">
            <v>ZADDI</v>
          </cell>
          <cell r="D1214" t="str">
            <v>-5.73306</v>
          </cell>
          <cell r="E1214" t="str">
            <v>6.33194</v>
          </cell>
          <cell r="F1214" t="str">
            <v>2G/3G/4G</v>
          </cell>
          <cell r="G1214" t="str">
            <v>HUAWEI</v>
          </cell>
          <cell r="H1214" t="str">
            <v>IHS</v>
          </cell>
          <cell r="I1214" t="str">
            <v>ZADDI</v>
          </cell>
          <cell r="J1214" t="str">
            <v>TONLA</v>
          </cell>
          <cell r="K1214" t="str">
            <v>OUME</v>
          </cell>
          <cell r="L1214" t="str">
            <v>GOH</v>
          </cell>
          <cell r="M1214" t="str">
            <v>GAGNOA</v>
          </cell>
          <cell r="N1214" t="str">
            <v>UPCOUNTRY</v>
          </cell>
        </row>
        <row r="1215">
          <cell r="B1215" t="str">
            <v>ET250</v>
          </cell>
          <cell r="C1215" t="str">
            <v>DIEOUZON</v>
          </cell>
          <cell r="D1215" t="str">
            <v>-7.3225</v>
          </cell>
          <cell r="E1215" t="str">
            <v>7.157778</v>
          </cell>
          <cell r="F1215" t="str">
            <v>2G/3G/4G</v>
          </cell>
          <cell r="G1215" t="str">
            <v>HUAWEI</v>
          </cell>
          <cell r="H1215" t="str">
            <v>IHS</v>
          </cell>
          <cell r="I1215" t="str">
            <v>DIEOUZON</v>
          </cell>
          <cell r="J1215" t="str">
            <v>DIEOUZON</v>
          </cell>
          <cell r="K1215" t="str">
            <v>BANGOLO</v>
          </cell>
          <cell r="L1215" t="str">
            <v>GUEMON</v>
          </cell>
          <cell r="M1215" t="str">
            <v>MAN</v>
          </cell>
          <cell r="N1215" t="str">
            <v>UPCOUNTRY</v>
          </cell>
        </row>
        <row r="1216">
          <cell r="B1216" t="str">
            <v>ET251</v>
          </cell>
          <cell r="C1216" t="str">
            <v>GUEZON_TAHOUAKE</v>
          </cell>
          <cell r="D1216" t="str">
            <v>-7.179584</v>
          </cell>
          <cell r="E1216" t="str">
            <v>7.083084</v>
          </cell>
          <cell r="F1216" t="str">
            <v>2G/3G/4G</v>
          </cell>
          <cell r="G1216" t="str">
            <v>HUAWEI</v>
          </cell>
          <cell r="H1216" t="str">
            <v>IHS</v>
          </cell>
          <cell r="I1216" t="str">
            <v>GUEZON-TAHOUAKE</v>
          </cell>
          <cell r="J1216" t="str">
            <v>GUINGLO-TAHOUAKE</v>
          </cell>
          <cell r="K1216" t="str">
            <v>BANGOLO</v>
          </cell>
          <cell r="L1216" t="str">
            <v>GUEMON</v>
          </cell>
          <cell r="M1216" t="str">
            <v>MAN</v>
          </cell>
          <cell r="N1216" t="str">
            <v>UPCOUNTRY</v>
          </cell>
        </row>
        <row r="1217">
          <cell r="B1217" t="str">
            <v>ET252</v>
          </cell>
          <cell r="C1217" t="str">
            <v>GROBIAKOKO</v>
          </cell>
          <cell r="D1217" t="str">
            <v>-5.51725</v>
          </cell>
          <cell r="E1217" t="str">
            <v>5.860778</v>
          </cell>
          <cell r="F1217" t="str">
            <v>2G/3G/4G</v>
          </cell>
          <cell r="G1217" t="str">
            <v>ERICSSON</v>
          </cell>
          <cell r="H1217" t="str">
            <v>IHS</v>
          </cell>
          <cell r="I1217" t="str">
            <v>GROBIAKOKO</v>
          </cell>
          <cell r="J1217" t="str">
            <v>DIVO</v>
          </cell>
          <cell r="K1217" t="str">
            <v>DIVO</v>
          </cell>
          <cell r="L1217" t="str">
            <v>LOH-DJIBOUA</v>
          </cell>
          <cell r="M1217" t="str">
            <v>DIVO</v>
          </cell>
          <cell r="N1217" t="str">
            <v>UPCOUNTRY</v>
          </cell>
        </row>
        <row r="1218">
          <cell r="B1218" t="str">
            <v>ET253</v>
          </cell>
          <cell r="C1218" t="str">
            <v>MOUYASSUE</v>
          </cell>
          <cell r="D1218" t="str">
            <v>-3.095639</v>
          </cell>
          <cell r="E1218" t="str">
            <v>5.370556</v>
          </cell>
          <cell r="F1218" t="str">
            <v>2G/3G/4G</v>
          </cell>
          <cell r="G1218" t="str">
            <v>ERICSSON</v>
          </cell>
          <cell r="H1218" t="str">
            <v>IHS</v>
          </cell>
          <cell r="I1218" t="str">
            <v>MOUYASSUE</v>
          </cell>
          <cell r="J1218" t="str">
            <v>MAFERE</v>
          </cell>
          <cell r="K1218" t="str">
            <v>ABOISSO</v>
          </cell>
          <cell r="L1218" t="str">
            <v>SUD-COMOE</v>
          </cell>
          <cell r="M1218" t="str">
            <v>MARCORY</v>
          </cell>
          <cell r="N1218" t="str">
            <v>UPCOUNTRY</v>
          </cell>
        </row>
        <row r="1219">
          <cell r="B1219" t="str">
            <v>ET254</v>
          </cell>
          <cell r="C1219" t="str">
            <v>DJIBROSSO</v>
          </cell>
          <cell r="D1219" t="str">
            <v>-6.99747</v>
          </cell>
          <cell r="E1219" t="str">
            <v>8.767976</v>
          </cell>
          <cell r="F1219" t="str">
            <v>2G/3G/4G</v>
          </cell>
          <cell r="G1219" t="str">
            <v>HUAWEI</v>
          </cell>
          <cell r="H1219" t="str">
            <v>IHS</v>
          </cell>
          <cell r="I1219" t="str">
            <v>DJIBROSSO</v>
          </cell>
          <cell r="J1219" t="str">
            <v>DJIBROSSO</v>
          </cell>
          <cell r="K1219" t="str">
            <v>KANI</v>
          </cell>
          <cell r="L1219" t="str">
            <v>WORODOUGOU</v>
          </cell>
          <cell r="M1219" t="str">
            <v>DALOA</v>
          </cell>
          <cell r="N1219" t="str">
            <v>UPCOUNTRY</v>
          </cell>
        </row>
        <row r="1220">
          <cell r="B1220" t="str">
            <v>ET255</v>
          </cell>
          <cell r="C1220" t="str">
            <v>ETTROKRO</v>
          </cell>
          <cell r="D1220" t="str">
            <v>-3.762667</v>
          </cell>
          <cell r="E1220" t="str">
            <v>7.25925</v>
          </cell>
          <cell r="F1220" t="str">
            <v>2G/3G/4G</v>
          </cell>
          <cell r="G1220" t="str">
            <v>ERICSSON</v>
          </cell>
          <cell r="H1220" t="str">
            <v>IHS</v>
          </cell>
          <cell r="I1220" t="str">
            <v>ETTROKRO</v>
          </cell>
          <cell r="J1220" t="str">
            <v>ETTROKRO</v>
          </cell>
          <cell r="K1220" t="str">
            <v>DAOUKRO</v>
          </cell>
          <cell r="L1220" t="str">
            <v>IFFOU</v>
          </cell>
          <cell r="M1220" t="str">
            <v>ABENGOUROU</v>
          </cell>
          <cell r="N1220" t="str">
            <v>UPCOUNTRY</v>
          </cell>
        </row>
        <row r="1221">
          <cell r="B1221" t="str">
            <v>ET256</v>
          </cell>
          <cell r="C1221" t="str">
            <v>ETUEBOUE</v>
          </cell>
          <cell r="D1221" t="str">
            <v>-3.21153</v>
          </cell>
          <cell r="E1221" t="str">
            <v>5.21303</v>
          </cell>
          <cell r="F1221" t="str">
            <v>2G/3G/4G</v>
          </cell>
          <cell r="G1221" t="str">
            <v>ERICSSON</v>
          </cell>
          <cell r="H1221" t="str">
            <v>IHS</v>
          </cell>
          <cell r="I1221" t="str">
            <v>ETUEBOUE</v>
          </cell>
          <cell r="J1221" t="str">
            <v>ETUEBOUE</v>
          </cell>
          <cell r="K1221" t="str">
            <v>ADIAKE</v>
          </cell>
          <cell r="L1221" t="str">
            <v>SUD-COMOE</v>
          </cell>
          <cell r="M1221" t="str">
            <v>MARCORY</v>
          </cell>
          <cell r="N1221" t="str">
            <v>UPCOUNTRY</v>
          </cell>
        </row>
        <row r="1222">
          <cell r="B1222" t="str">
            <v>ET257</v>
          </cell>
          <cell r="C1222" t="str">
            <v>DIANRA_VILLAGE</v>
          </cell>
          <cell r="D1222" t="str">
            <v>-6.2391161</v>
          </cell>
          <cell r="E1222" t="str">
            <v>8.7626403</v>
          </cell>
          <cell r="F1222" t="str">
            <v>2G/3G/4G</v>
          </cell>
          <cell r="G1222" t="str">
            <v>HUAWEI</v>
          </cell>
          <cell r="H1222" t="str">
            <v>IHS</v>
          </cell>
          <cell r="I1222" t="str">
            <v>DIANRA-VILLAGE</v>
          </cell>
          <cell r="J1222" t="str">
            <v>DIANRA-VILLAGE</v>
          </cell>
          <cell r="K1222" t="str">
            <v>DIANRA</v>
          </cell>
          <cell r="L1222" t="str">
            <v>BERE</v>
          </cell>
          <cell r="M1222" t="str">
            <v>KORHOGO</v>
          </cell>
          <cell r="N1222" t="str">
            <v>UPCOUNTRY</v>
          </cell>
        </row>
        <row r="1223">
          <cell r="B1223" t="str">
            <v>ET258</v>
          </cell>
          <cell r="C1223" t="str">
            <v>AHIZABRE</v>
          </cell>
          <cell r="D1223" t="str">
            <v>-6.094024</v>
          </cell>
          <cell r="E1223" t="str">
            <v>6.048852</v>
          </cell>
          <cell r="F1223" t="str">
            <v>2G/3G/4G</v>
          </cell>
          <cell r="G1223" t="str">
            <v>HUAWEI</v>
          </cell>
          <cell r="H1223" t="str">
            <v>IHS</v>
          </cell>
          <cell r="I1223" t="str">
            <v>AHIZABRE</v>
          </cell>
          <cell r="J1223" t="str">
            <v>GAGNOA</v>
          </cell>
          <cell r="K1223" t="str">
            <v>GAGNOA</v>
          </cell>
          <cell r="L1223" t="str">
            <v>GOH</v>
          </cell>
          <cell r="M1223" t="str">
            <v>GAGNOA</v>
          </cell>
          <cell r="N1223" t="str">
            <v>UPCOUNTRY</v>
          </cell>
        </row>
        <row r="1224">
          <cell r="B1224" t="str">
            <v>ET259</v>
          </cell>
          <cell r="C1224" t="str">
            <v>GBONNE</v>
          </cell>
          <cell r="D1224" t="str">
            <v>-7.41775</v>
          </cell>
          <cell r="E1224" t="str">
            <v>7.541667</v>
          </cell>
          <cell r="F1224" t="str">
            <v>2G/3G/4G</v>
          </cell>
          <cell r="G1224" t="str">
            <v>HUAWEI</v>
          </cell>
          <cell r="H1224" t="str">
            <v>IHS</v>
          </cell>
          <cell r="I1224" t="str">
            <v>GBONNE</v>
          </cell>
          <cell r="J1224" t="str">
            <v>GBONNE</v>
          </cell>
          <cell r="K1224" t="str">
            <v>BIANKOUMA</v>
          </cell>
          <cell r="L1224" t="str">
            <v>TONKPI</v>
          </cell>
          <cell r="M1224" t="str">
            <v>MAN</v>
          </cell>
          <cell r="N1224" t="str">
            <v>UPCOUNTRY</v>
          </cell>
        </row>
        <row r="1225">
          <cell r="B1225" t="str">
            <v>ET260</v>
          </cell>
          <cell r="C1225" t="str">
            <v>GOULIA</v>
          </cell>
          <cell r="D1225" t="str">
            <v>-7.20514</v>
          </cell>
          <cell r="E1225" t="str">
            <v>10.0159</v>
          </cell>
          <cell r="F1225" t="str">
            <v>2G/3G/4G</v>
          </cell>
          <cell r="G1225" t="str">
            <v>HUAWEI</v>
          </cell>
          <cell r="H1225" t="str">
            <v>IHS</v>
          </cell>
          <cell r="I1225" t="str">
            <v>GOULIA</v>
          </cell>
          <cell r="J1225" t="str">
            <v>GOULIA</v>
          </cell>
          <cell r="K1225" t="str">
            <v>KANIASSO</v>
          </cell>
          <cell r="L1225" t="str">
            <v>FOLON</v>
          </cell>
          <cell r="M1225" t="str">
            <v>MAN</v>
          </cell>
          <cell r="N1225" t="str">
            <v>UPCOUNTRY</v>
          </cell>
        </row>
        <row r="1226">
          <cell r="B1226" t="str">
            <v>ET261</v>
          </cell>
          <cell r="C1226" t="str">
            <v>OUREYO</v>
          </cell>
          <cell r="D1226" t="str">
            <v>-6.59683</v>
          </cell>
          <cell r="E1226" t="str">
            <v>6.02064</v>
          </cell>
          <cell r="F1226" t="str">
            <v>2G/3G/4G</v>
          </cell>
          <cell r="G1226" t="str">
            <v>HUAWEI</v>
          </cell>
          <cell r="H1226" t="str">
            <v>MOOV</v>
          </cell>
          <cell r="I1226" t="str">
            <v>OUREYO</v>
          </cell>
          <cell r="J1226" t="str">
            <v>GRAND-ZATTRY</v>
          </cell>
          <cell r="K1226" t="str">
            <v>SOUBRE</v>
          </cell>
          <cell r="L1226" t="str">
            <v>NAWA</v>
          </cell>
          <cell r="M1226" t="str">
            <v>SOUBRE</v>
          </cell>
          <cell r="N1226" t="str">
            <v>UPCOUNTRY</v>
          </cell>
        </row>
        <row r="1227">
          <cell r="B1227" t="str">
            <v>ET262</v>
          </cell>
          <cell r="C1227" t="str">
            <v>GUEHIEBLY</v>
          </cell>
          <cell r="D1227" t="str">
            <v>-7.43308</v>
          </cell>
          <cell r="E1227" t="str">
            <v>6.89125</v>
          </cell>
          <cell r="F1227" t="str">
            <v>2G/3G/4G</v>
          </cell>
          <cell r="G1227" t="str">
            <v>HUAWEI</v>
          </cell>
          <cell r="H1227" t="str">
            <v>IHS</v>
          </cell>
          <cell r="I1227" t="str">
            <v>GUEHIEBLY</v>
          </cell>
          <cell r="J1227" t="str">
            <v>GUEHIEBLY</v>
          </cell>
          <cell r="K1227" t="str">
            <v>DUEKOUE</v>
          </cell>
          <cell r="L1227" t="str">
            <v>GUEMON</v>
          </cell>
          <cell r="M1227" t="str">
            <v>MAN</v>
          </cell>
          <cell r="N1227" t="str">
            <v>UPCOUNTRY</v>
          </cell>
        </row>
        <row r="1228">
          <cell r="B1228" t="str">
            <v>ET263</v>
          </cell>
          <cell r="C1228" t="str">
            <v>MIANKOU_KOUASSIKRO</v>
          </cell>
          <cell r="D1228" t="str">
            <v>-6.14306</v>
          </cell>
          <cell r="E1228" t="str">
            <v>5.55381</v>
          </cell>
          <cell r="F1228" t="str">
            <v>2G/3G/4G</v>
          </cell>
          <cell r="G1228" t="str">
            <v>HUAWEI</v>
          </cell>
          <cell r="H1228" t="str">
            <v>IHS</v>
          </cell>
          <cell r="I1228" t="str">
            <v>MIANKOU KOUASSIKRO</v>
          </cell>
          <cell r="J1228" t="str">
            <v>DABOUYO</v>
          </cell>
          <cell r="K1228" t="str">
            <v>GUEYO</v>
          </cell>
          <cell r="L1228" t="str">
            <v>NAWA</v>
          </cell>
          <cell r="M1228" t="str">
            <v>SOUBRE</v>
          </cell>
          <cell r="N1228" t="str">
            <v>UPCOUNTRY</v>
          </cell>
        </row>
        <row r="1229">
          <cell r="B1229" t="str">
            <v>ET264</v>
          </cell>
          <cell r="C1229" t="str">
            <v>BALEKO</v>
          </cell>
          <cell r="D1229" t="str">
            <v>-6.02667</v>
          </cell>
          <cell r="E1229" t="str">
            <v>5.43389</v>
          </cell>
          <cell r="F1229" t="str">
            <v>2G/3G/4G</v>
          </cell>
          <cell r="G1229" t="str">
            <v>HUAWEI</v>
          </cell>
          <cell r="H1229" t="str">
            <v>IHS</v>
          </cell>
          <cell r="I1229" t="str">
            <v>BALEKO</v>
          </cell>
          <cell r="J1229" t="str">
            <v>DABOUYO</v>
          </cell>
          <cell r="K1229" t="str">
            <v>GUEYO</v>
          </cell>
          <cell r="L1229" t="str">
            <v>NAWA</v>
          </cell>
          <cell r="M1229" t="str">
            <v>SOUBRE</v>
          </cell>
          <cell r="N1229" t="str">
            <v>UPCOUNTRY</v>
          </cell>
        </row>
        <row r="1230">
          <cell r="B1230" t="str">
            <v>ET265</v>
          </cell>
          <cell r="C1230" t="str">
            <v>ZAGUINASSO</v>
          </cell>
          <cell r="D1230" t="str">
            <v>-6.36806</v>
          </cell>
          <cell r="E1230" t="str">
            <v>10.053</v>
          </cell>
          <cell r="F1230" t="str">
            <v>2G/3G/4G</v>
          </cell>
          <cell r="G1230" t="str">
            <v>HUAWEI</v>
          </cell>
          <cell r="H1230" t="str">
            <v>IHS</v>
          </cell>
          <cell r="I1230" t="str">
            <v>ZAGUINASSO</v>
          </cell>
          <cell r="J1230" t="str">
            <v>KOUTO</v>
          </cell>
          <cell r="K1230" t="str">
            <v>KOUTO</v>
          </cell>
          <cell r="L1230" t="str">
            <v>BAGOUE</v>
          </cell>
          <cell r="M1230" t="str">
            <v>KORHOGO</v>
          </cell>
          <cell r="N1230" t="str">
            <v>UPCOUNTRY</v>
          </cell>
        </row>
        <row r="1231">
          <cell r="B1231" t="str">
            <v>ET266</v>
          </cell>
          <cell r="C1231" t="str">
            <v>NIOROUHIO</v>
          </cell>
          <cell r="D1231" t="str">
            <v>-6.11588</v>
          </cell>
          <cell r="E1231" t="str">
            <v>5.763511</v>
          </cell>
          <cell r="F1231" t="str">
            <v>2G/3G/4G</v>
          </cell>
          <cell r="G1231" t="str">
            <v>HUAWEI</v>
          </cell>
          <cell r="H1231" t="str">
            <v>IHS</v>
          </cell>
          <cell r="I1231" t="str">
            <v>NIOROUHIO</v>
          </cell>
          <cell r="J1231" t="str">
            <v>GUEYO</v>
          </cell>
          <cell r="K1231" t="str">
            <v>GUEYO</v>
          </cell>
          <cell r="L1231" t="str">
            <v>NAWA</v>
          </cell>
          <cell r="M1231" t="str">
            <v>SOUBRE</v>
          </cell>
          <cell r="N1231" t="str">
            <v>UPCOUNTRY</v>
          </cell>
        </row>
        <row r="1232">
          <cell r="B1232" t="str">
            <v>ET267</v>
          </cell>
          <cell r="C1232" t="str">
            <v>GUINKIN</v>
          </cell>
          <cell r="D1232" t="str">
            <v>-7.722016</v>
          </cell>
          <cell r="E1232" t="str">
            <v>6.564137</v>
          </cell>
          <cell r="F1232" t="str">
            <v>2G/3G/4G</v>
          </cell>
          <cell r="G1232" t="str">
            <v>HUAWEI</v>
          </cell>
          <cell r="H1232" t="str">
            <v>IHS</v>
          </cell>
          <cell r="I1232" t="str">
            <v>GUINKIN</v>
          </cell>
          <cell r="J1232" t="str">
            <v>KAADE</v>
          </cell>
          <cell r="K1232" t="str">
            <v>GUIGLO</v>
          </cell>
          <cell r="L1232" t="str">
            <v>CAVALLY</v>
          </cell>
          <cell r="M1232" t="str">
            <v>MAN</v>
          </cell>
          <cell r="N1232" t="str">
            <v>UPCOUNTRY</v>
          </cell>
        </row>
        <row r="1233">
          <cell r="B1233" t="str">
            <v>ET268</v>
          </cell>
          <cell r="C1233" t="str">
            <v>GAZIBOUO</v>
          </cell>
          <cell r="D1233" t="str">
            <v>-6.49208</v>
          </cell>
          <cell r="E1233" t="str">
            <v>6.37053</v>
          </cell>
          <cell r="F1233" t="str">
            <v>2G/3G/4G</v>
          </cell>
          <cell r="G1233" t="str">
            <v>HUAWEI</v>
          </cell>
          <cell r="H1233" t="str">
            <v>IHS</v>
          </cell>
          <cell r="I1233" t="str">
            <v>GAZIBOUO</v>
          </cell>
          <cell r="J1233" t="str">
            <v>TAPEGUIA</v>
          </cell>
          <cell r="K1233" t="str">
            <v>ISSIA</v>
          </cell>
          <cell r="L1233" t="str">
            <v>HAUT-SASSANDRA</v>
          </cell>
          <cell r="M1233" t="str">
            <v>DALOA</v>
          </cell>
          <cell r="N1233" t="str">
            <v>UPCOUNTRY</v>
          </cell>
        </row>
        <row r="1234">
          <cell r="B1234" t="str">
            <v>ET269</v>
          </cell>
          <cell r="C1234" t="str">
            <v>ZOU</v>
          </cell>
          <cell r="D1234" t="str">
            <v>-7.80667</v>
          </cell>
          <cell r="E1234" t="str">
            <v>6.97458</v>
          </cell>
          <cell r="F1234" t="str">
            <v>2G/3G/4G</v>
          </cell>
          <cell r="G1234" t="str">
            <v>HUAWEI</v>
          </cell>
          <cell r="H1234" t="str">
            <v>IHS</v>
          </cell>
          <cell r="I1234" t="str">
            <v>ZOU</v>
          </cell>
          <cell r="J1234" t="str">
            <v>ZOU</v>
          </cell>
          <cell r="K1234" t="str">
            <v>BANGOLO</v>
          </cell>
          <cell r="L1234" t="str">
            <v>GUEMON</v>
          </cell>
          <cell r="M1234" t="str">
            <v>MAN</v>
          </cell>
          <cell r="N1234" t="str">
            <v>UPCOUNTRY</v>
          </cell>
        </row>
        <row r="1235">
          <cell r="B1235" t="str">
            <v>ET270</v>
          </cell>
          <cell r="C1235" t="str">
            <v>ADDAH</v>
          </cell>
          <cell r="D1235" t="str">
            <v>-4.649722</v>
          </cell>
          <cell r="E1235" t="str">
            <v>5.176389</v>
          </cell>
          <cell r="F1235" t="str">
            <v>2G/3G/4G</v>
          </cell>
          <cell r="G1235" t="str">
            <v>ERICSSON</v>
          </cell>
          <cell r="H1235" t="str">
            <v>IHS</v>
          </cell>
          <cell r="I1235" t="str">
            <v>ADDAH</v>
          </cell>
          <cell r="J1235" t="str">
            <v>JACQUEVILLE</v>
          </cell>
          <cell r="K1235" t="str">
            <v>JACQUEVILLE</v>
          </cell>
          <cell r="L1235" t="str">
            <v>GRANDS-PONTS</v>
          </cell>
          <cell r="M1235" t="str">
            <v>YOPOUGON FICGAYO</v>
          </cell>
          <cell r="N1235" t="str">
            <v>UPCOUNTRY</v>
          </cell>
        </row>
        <row r="1236">
          <cell r="B1236" t="str">
            <v>ET271</v>
          </cell>
          <cell r="C1236" t="str">
            <v>ZANGUE</v>
          </cell>
          <cell r="D1236" t="str">
            <v>-5.35444</v>
          </cell>
          <cell r="E1236" t="str">
            <v>6.42822</v>
          </cell>
          <cell r="F1236" t="str">
            <v>2G/3G/4G</v>
          </cell>
          <cell r="G1236" t="str">
            <v>HUAWEI</v>
          </cell>
          <cell r="H1236" t="str">
            <v>IHS</v>
          </cell>
          <cell r="I1236" t="str">
            <v>ZANGUE</v>
          </cell>
          <cell r="J1236" t="str">
            <v>OUME</v>
          </cell>
          <cell r="K1236" t="str">
            <v>OUME</v>
          </cell>
          <cell r="L1236" t="str">
            <v>GOH</v>
          </cell>
          <cell r="M1236" t="str">
            <v>GAGNOA</v>
          </cell>
          <cell r="N1236" t="str">
            <v>UPCOUNTRY</v>
          </cell>
        </row>
        <row r="1237">
          <cell r="B1237" t="str">
            <v>ET272</v>
          </cell>
          <cell r="C1237" t="str">
            <v>KOMBORODOUGOU</v>
          </cell>
          <cell r="D1237" t="str">
            <v>-5.42415</v>
          </cell>
          <cell r="E1237" t="str">
            <v>9.33563</v>
          </cell>
          <cell r="F1237" t="str">
            <v>2G/3G/4G</v>
          </cell>
          <cell r="G1237" t="str">
            <v>HUAWEI</v>
          </cell>
          <cell r="H1237" t="str">
            <v>IHS</v>
          </cell>
          <cell r="I1237" t="str">
            <v>KOMBORODOUGOU</v>
          </cell>
          <cell r="J1237" t="str">
            <v>KOMBORODOUGOU</v>
          </cell>
          <cell r="K1237" t="str">
            <v>KORHOGO</v>
          </cell>
          <cell r="L1237" t="str">
            <v>PORO</v>
          </cell>
          <cell r="M1237" t="str">
            <v>KORHOGO</v>
          </cell>
          <cell r="N1237" t="str">
            <v>UPCOUNTRY</v>
          </cell>
        </row>
        <row r="1238">
          <cell r="B1238" t="str">
            <v>ET273</v>
          </cell>
          <cell r="C1238" t="str">
            <v>LATAHA</v>
          </cell>
          <cell r="D1238" t="str">
            <v>-5.59233</v>
          </cell>
          <cell r="E1238" t="str">
            <v>9.57239</v>
          </cell>
          <cell r="F1238" t="str">
            <v>2G/3G/4G</v>
          </cell>
          <cell r="G1238" t="str">
            <v>HUAWEI</v>
          </cell>
          <cell r="H1238" t="str">
            <v>IHS</v>
          </cell>
          <cell r="I1238" t="str">
            <v>LATAHA</v>
          </cell>
          <cell r="J1238" t="str">
            <v>LATAHA</v>
          </cell>
          <cell r="K1238" t="str">
            <v>KORHOGO</v>
          </cell>
          <cell r="L1238" t="str">
            <v>PORO</v>
          </cell>
          <cell r="M1238" t="str">
            <v>KORHOGO</v>
          </cell>
          <cell r="N1238" t="str">
            <v>UPCOUNTRY</v>
          </cell>
        </row>
        <row r="1239">
          <cell r="B1239" t="str">
            <v>ET274</v>
          </cell>
          <cell r="C1239" t="str">
            <v>KPOUEBO</v>
          </cell>
          <cell r="D1239" t="str">
            <v>-4.85656</v>
          </cell>
          <cell r="E1239" t="str">
            <v>6.32808</v>
          </cell>
          <cell r="F1239" t="str">
            <v>2G/3G/4G</v>
          </cell>
          <cell r="G1239" t="str">
            <v>HUAWEI</v>
          </cell>
          <cell r="H1239" t="str">
            <v>IHS</v>
          </cell>
          <cell r="I1239" t="str">
            <v>KPOUEBO</v>
          </cell>
          <cell r="J1239" t="str">
            <v>KPOUEBO</v>
          </cell>
          <cell r="K1239" t="str">
            <v>TOUMODI</v>
          </cell>
          <cell r="L1239" t="str">
            <v>BELIER</v>
          </cell>
          <cell r="M1239" t="str">
            <v>YAMOUSSOUKRO</v>
          </cell>
          <cell r="N1239" t="str">
            <v>UPCOUNTRY</v>
          </cell>
        </row>
        <row r="1240">
          <cell r="B1240" t="str">
            <v>ET275</v>
          </cell>
          <cell r="C1240" t="str">
            <v>NIAMIENLESSA</v>
          </cell>
          <cell r="D1240" t="str">
            <v>-2.83943</v>
          </cell>
          <cell r="E1240" t="str">
            <v>5.46523</v>
          </cell>
          <cell r="F1240" t="str">
            <v>2G/3G/4G</v>
          </cell>
          <cell r="G1240" t="str">
            <v>ERICSSON</v>
          </cell>
          <cell r="H1240" t="str">
            <v>IHS</v>
          </cell>
          <cell r="I1240" t="str">
            <v>NIAMIENLESSA</v>
          </cell>
          <cell r="J1240" t="str">
            <v>KOUAKRO</v>
          </cell>
          <cell r="K1240" t="str">
            <v>ABOISSO</v>
          </cell>
          <cell r="L1240" t="str">
            <v>SUD-COMOE</v>
          </cell>
          <cell r="M1240" t="str">
            <v>MARCORY</v>
          </cell>
          <cell r="N1240" t="str">
            <v>UPCOUNTRY</v>
          </cell>
        </row>
        <row r="1241">
          <cell r="B1241" t="str">
            <v>ET276</v>
          </cell>
          <cell r="C1241" t="str">
            <v>MARANDALLAH</v>
          </cell>
          <cell r="D1241" t="str">
            <v>-5.9191741</v>
          </cell>
          <cell r="E1241" t="str">
            <v>8.444439</v>
          </cell>
          <cell r="F1241" t="str">
            <v>2G/3G/4G</v>
          </cell>
          <cell r="G1241" t="str">
            <v>HUAWEI</v>
          </cell>
          <cell r="H1241" t="str">
            <v>IHS</v>
          </cell>
          <cell r="I1241" t="str">
            <v>MARANDALLAH</v>
          </cell>
          <cell r="J1241" t="str">
            <v>MARANDALAH</v>
          </cell>
          <cell r="K1241" t="str">
            <v>MANKONO</v>
          </cell>
          <cell r="L1241" t="str">
            <v>BERE</v>
          </cell>
          <cell r="M1241" t="str">
            <v>BOUAKE</v>
          </cell>
          <cell r="N1241" t="str">
            <v>UPCOUNTRY</v>
          </cell>
        </row>
        <row r="1242">
          <cell r="B1242" t="str">
            <v>ET277</v>
          </cell>
          <cell r="C1242" t="str">
            <v>KONGASSO</v>
          </cell>
          <cell r="D1242" t="str">
            <v>-6.0816318</v>
          </cell>
          <cell r="E1242" t="str">
            <v>7.8125294</v>
          </cell>
          <cell r="F1242" t="str">
            <v>2G/3G/4G</v>
          </cell>
          <cell r="G1242" t="str">
            <v>HUAWEI</v>
          </cell>
          <cell r="H1242" t="str">
            <v>IHS</v>
          </cell>
          <cell r="I1242" t="str">
            <v>KONGASSO</v>
          </cell>
          <cell r="J1242" t="str">
            <v>KONGASSO</v>
          </cell>
          <cell r="K1242" t="str">
            <v>KOUNAHIRI</v>
          </cell>
          <cell r="L1242" t="str">
            <v>BERE</v>
          </cell>
          <cell r="M1242" t="str">
            <v>BOUAKE</v>
          </cell>
          <cell r="N1242" t="str">
            <v>UPCOUNTRY</v>
          </cell>
        </row>
        <row r="1243">
          <cell r="B1243" t="str">
            <v>ET278</v>
          </cell>
          <cell r="C1243" t="str">
            <v>MORONDO</v>
          </cell>
          <cell r="D1243" t="str">
            <v>-6.78831</v>
          </cell>
          <cell r="E1243" t="str">
            <v>8.95475</v>
          </cell>
          <cell r="F1243" t="str">
            <v>2G/3G/4G</v>
          </cell>
          <cell r="G1243" t="str">
            <v>HUAWEI</v>
          </cell>
          <cell r="H1243" t="str">
            <v>IHS</v>
          </cell>
          <cell r="I1243" t="str">
            <v>MORONDO</v>
          </cell>
          <cell r="J1243" t="str">
            <v>MORODON</v>
          </cell>
          <cell r="K1243" t="str">
            <v>KANI</v>
          </cell>
          <cell r="L1243" t="str">
            <v>WORODOUGOU</v>
          </cell>
          <cell r="M1243" t="str">
            <v>DALOA</v>
          </cell>
          <cell r="N1243" t="str">
            <v>UPCOUNTRY</v>
          </cell>
        </row>
        <row r="1244">
          <cell r="B1244" t="str">
            <v>ET279</v>
          </cell>
          <cell r="C1244" t="str">
            <v>NIOFOIN</v>
          </cell>
          <cell r="D1244" t="str">
            <v>-6.076607</v>
          </cell>
          <cell r="E1244" t="str">
            <v>9.6193</v>
          </cell>
          <cell r="F1244" t="str">
            <v>2G/3G/4G</v>
          </cell>
          <cell r="G1244" t="str">
            <v>HUAWEI</v>
          </cell>
          <cell r="H1244" t="str">
            <v>IHS</v>
          </cell>
          <cell r="I1244" t="str">
            <v>NIOFOIN</v>
          </cell>
          <cell r="J1244" t="str">
            <v>NIOFOIN</v>
          </cell>
          <cell r="K1244" t="str">
            <v>KORHOGO</v>
          </cell>
          <cell r="L1244" t="str">
            <v>PORO</v>
          </cell>
          <cell r="M1244" t="str">
            <v>KORHOGO</v>
          </cell>
          <cell r="N1244" t="str">
            <v>UPCOUNTRY</v>
          </cell>
        </row>
        <row r="1245">
          <cell r="B1245" t="str">
            <v>ET280</v>
          </cell>
          <cell r="C1245" t="str">
            <v>ATTOBROU</v>
          </cell>
          <cell r="D1245" t="str">
            <v>-4.054389</v>
          </cell>
          <cell r="E1245" t="str">
            <v>6.090611</v>
          </cell>
          <cell r="F1245" t="str">
            <v>2G/3G/4G</v>
          </cell>
          <cell r="G1245" t="str">
            <v>ERICSSON</v>
          </cell>
          <cell r="H1245" t="str">
            <v>IHS</v>
          </cell>
          <cell r="I1245" t="str">
            <v>ATTOBROU</v>
          </cell>
          <cell r="J1245" t="str">
            <v>ATTOBROU</v>
          </cell>
          <cell r="K1245" t="str">
            <v>AGBOVILLE</v>
          </cell>
          <cell r="L1245" t="str">
            <v>AGNEBY-TIASSA</v>
          </cell>
          <cell r="M1245" t="str">
            <v>ABOBO</v>
          </cell>
          <cell r="N1245" t="str">
            <v>UPCOUNTRY</v>
          </cell>
        </row>
        <row r="1246">
          <cell r="B1246" t="str">
            <v>ET281</v>
          </cell>
          <cell r="C1246" t="str">
            <v>KPAPEKOU</v>
          </cell>
          <cell r="D1246" t="str">
            <v>-5.941266</v>
          </cell>
          <cell r="E1246" t="str">
            <v>6.236512</v>
          </cell>
          <cell r="F1246" t="str">
            <v>2G/3G/4G</v>
          </cell>
          <cell r="G1246" t="str">
            <v>HUAWEI</v>
          </cell>
          <cell r="H1246" t="str">
            <v>IHS</v>
          </cell>
          <cell r="I1246" t="str">
            <v>KPAPEKOU</v>
          </cell>
          <cell r="J1246" t="str">
            <v>OURAGAHIO</v>
          </cell>
          <cell r="K1246" t="str">
            <v>GAGNOA</v>
          </cell>
          <cell r="L1246" t="str">
            <v>GOH</v>
          </cell>
          <cell r="M1246" t="str">
            <v>GAGNOA</v>
          </cell>
          <cell r="N1246" t="str">
            <v>UPCOUNTRY</v>
          </cell>
        </row>
        <row r="1247">
          <cell r="B1247" t="str">
            <v>ET282</v>
          </cell>
          <cell r="C1247" t="str">
            <v>YOPOHUE</v>
          </cell>
          <cell r="D1247" t="str">
            <v>-5.82942</v>
          </cell>
          <cell r="E1247" t="str">
            <v>6.39668</v>
          </cell>
          <cell r="F1247" t="str">
            <v>2G/3G/4G</v>
          </cell>
          <cell r="G1247" t="str">
            <v>HUAWEI</v>
          </cell>
          <cell r="H1247" t="str">
            <v>IHS</v>
          </cell>
          <cell r="I1247" t="str">
            <v>YOPOHUE</v>
          </cell>
          <cell r="J1247" t="str">
            <v>YOPOHUE</v>
          </cell>
          <cell r="K1247" t="str">
            <v>GAGNOA</v>
          </cell>
          <cell r="L1247" t="str">
            <v>GOH</v>
          </cell>
          <cell r="M1247" t="str">
            <v>GAGNOA</v>
          </cell>
          <cell r="N1247" t="str">
            <v>UPCOUNTRY</v>
          </cell>
        </row>
        <row r="1248">
          <cell r="B1248" t="str">
            <v>ET283</v>
          </cell>
          <cell r="C1248" t="str">
            <v>PEHE</v>
          </cell>
          <cell r="D1248" t="str">
            <v>-8.30778</v>
          </cell>
          <cell r="E1248" t="str">
            <v>6.5695</v>
          </cell>
          <cell r="F1248" t="str">
            <v>2G/3G/4G</v>
          </cell>
          <cell r="G1248" t="str">
            <v>HUAWEI</v>
          </cell>
          <cell r="H1248" t="str">
            <v>IHS</v>
          </cell>
          <cell r="I1248" t="str">
            <v>PEHE</v>
          </cell>
          <cell r="J1248" t="str">
            <v>PEHE</v>
          </cell>
          <cell r="K1248" t="str">
            <v>TOULEPLEU</v>
          </cell>
          <cell r="L1248" t="str">
            <v>CAVALLY</v>
          </cell>
          <cell r="M1248" t="str">
            <v>MAN</v>
          </cell>
          <cell r="N1248" t="str">
            <v>UPCOUNTRY</v>
          </cell>
        </row>
        <row r="1249">
          <cell r="B1249" t="str">
            <v>ET284</v>
          </cell>
          <cell r="C1249" t="str">
            <v>NAMASSI</v>
          </cell>
          <cell r="D1249" t="str">
            <v>-3.438556</v>
          </cell>
          <cell r="E1249" t="str">
            <v>7.944444</v>
          </cell>
          <cell r="F1249" t="str">
            <v>2G/3G/4G</v>
          </cell>
          <cell r="G1249" t="str">
            <v>ERICSSON</v>
          </cell>
          <cell r="H1249" t="str">
            <v>IHS</v>
          </cell>
          <cell r="I1249" t="str">
            <v>NAMASSI</v>
          </cell>
          <cell r="J1249" t="str">
            <v>BANDAKAGNI-TOMORA</v>
          </cell>
          <cell r="K1249" t="str">
            <v>SANDEGUE</v>
          </cell>
          <cell r="L1249" t="str">
            <v>GONTOUGO</v>
          </cell>
          <cell r="M1249" t="str">
            <v>ABENGOUROU</v>
          </cell>
          <cell r="N1249" t="str">
            <v>UPCOUNTRY</v>
          </cell>
        </row>
        <row r="1250">
          <cell r="B1250" t="str">
            <v>ET285</v>
          </cell>
          <cell r="C1250" t="str">
            <v>YOROBODI</v>
          </cell>
          <cell r="D1250" t="str">
            <v>-3.684861</v>
          </cell>
          <cell r="E1250" t="str">
            <v>8.111361</v>
          </cell>
          <cell r="F1250" t="str">
            <v>2G/3G/4G</v>
          </cell>
          <cell r="G1250" t="str">
            <v>ERICSSON</v>
          </cell>
          <cell r="H1250" t="str">
            <v>IHS</v>
          </cell>
          <cell r="I1250" t="str">
            <v>YOROBODI</v>
          </cell>
          <cell r="J1250" t="str">
            <v>YOROBODI</v>
          </cell>
          <cell r="K1250" t="str">
            <v>SANDEGUE</v>
          </cell>
          <cell r="L1250" t="str">
            <v>GONTOUGO</v>
          </cell>
          <cell r="M1250" t="str">
            <v>ABENGOUROU</v>
          </cell>
          <cell r="N1250" t="str">
            <v>UPCOUNTRY</v>
          </cell>
        </row>
        <row r="1251">
          <cell r="B1251" t="str">
            <v>ET286</v>
          </cell>
          <cell r="C1251" t="str">
            <v>SAPLI</v>
          </cell>
          <cell r="D1251" t="str">
            <v>-2.96643</v>
          </cell>
          <cell r="E1251" t="str">
            <v>8.15796</v>
          </cell>
          <cell r="F1251" t="str">
            <v>2G/3G/4G</v>
          </cell>
          <cell r="G1251" t="str">
            <v>ERICSSON</v>
          </cell>
          <cell r="H1251" t="str">
            <v>IHS</v>
          </cell>
          <cell r="I1251" t="str">
            <v>SAPLI-SEPLINGO</v>
          </cell>
          <cell r="J1251" t="str">
            <v>SAPLI-SEPLINGO</v>
          </cell>
          <cell r="K1251" t="str">
            <v>BONDOUKOU</v>
          </cell>
          <cell r="L1251" t="str">
            <v>GONTOUGO</v>
          </cell>
          <cell r="M1251" t="str">
            <v>ABENGOUROU</v>
          </cell>
          <cell r="N1251" t="str">
            <v>UPCOUNTRY</v>
          </cell>
        </row>
        <row r="1252">
          <cell r="B1252" t="str">
            <v>ET287</v>
          </cell>
          <cell r="C1252" t="str">
            <v>ADEBEM</v>
          </cell>
          <cell r="D1252" t="str">
            <v>-5.833558</v>
          </cell>
          <cell r="E1252" t="str">
            <v>5.471053</v>
          </cell>
          <cell r="F1252" t="str">
            <v>2G/3G/4G</v>
          </cell>
          <cell r="G1252" t="str">
            <v>ERICSSON</v>
          </cell>
          <cell r="H1252" t="str">
            <v>IHS</v>
          </cell>
          <cell r="I1252" t="str">
            <v>ADEBEM</v>
          </cell>
          <cell r="J1252" t="str">
            <v>SAGO</v>
          </cell>
          <cell r="K1252" t="str">
            <v>SASSANDRA</v>
          </cell>
          <cell r="L1252" t="str">
            <v>GBOKLE</v>
          </cell>
          <cell r="M1252" t="str">
            <v>SAN-PEDRO</v>
          </cell>
          <cell r="N1252" t="str">
            <v>UPCOUNTRY</v>
          </cell>
        </row>
        <row r="1253">
          <cell r="B1253" t="str">
            <v>ET288</v>
          </cell>
          <cell r="C1253" t="str">
            <v>GARANGO</v>
          </cell>
          <cell r="D1253" t="str">
            <v>-5.819868</v>
          </cell>
          <cell r="E1253" t="str">
            <v>6.962058</v>
          </cell>
          <cell r="F1253" t="str">
            <v>2G/3G/4G</v>
          </cell>
          <cell r="G1253" t="str">
            <v>HUAWEI</v>
          </cell>
          <cell r="H1253" t="str">
            <v>IHS</v>
          </cell>
          <cell r="I1253" t="str">
            <v>GARANGO</v>
          </cell>
          <cell r="J1253" t="str">
            <v>BOUAFLE</v>
          </cell>
          <cell r="K1253" t="str">
            <v>BOUAFLE</v>
          </cell>
          <cell r="L1253" t="str">
            <v>MARAHOUE</v>
          </cell>
          <cell r="M1253" t="str">
            <v>YAMOUSSOUKRO</v>
          </cell>
          <cell r="N1253" t="str">
            <v>UPCOUNTRY</v>
          </cell>
        </row>
        <row r="1254">
          <cell r="B1254" t="str">
            <v>ET289</v>
          </cell>
          <cell r="C1254" t="str">
            <v>NIABABLY_PK26</v>
          </cell>
          <cell r="D1254" t="str">
            <v>-6.070556</v>
          </cell>
          <cell r="E1254" t="str">
            <v>5.063333</v>
          </cell>
          <cell r="F1254" t="str">
            <v>2G/3G/4G</v>
          </cell>
          <cell r="G1254" t="str">
            <v>ERICSSON</v>
          </cell>
          <cell r="H1254" t="str">
            <v>IHS</v>
          </cell>
          <cell r="I1254" t="str">
            <v>NIABABLY PK 26</v>
          </cell>
          <cell r="J1254" t="str">
            <v>SASSANDRA</v>
          </cell>
          <cell r="K1254" t="str">
            <v>SASSANDRA</v>
          </cell>
          <cell r="L1254" t="str">
            <v>GBOKLE</v>
          </cell>
          <cell r="M1254" t="str">
            <v>SAN-PEDRO</v>
          </cell>
          <cell r="N1254" t="str">
            <v>UPCOUNTRY</v>
          </cell>
        </row>
        <row r="1255">
          <cell r="B1255" t="str">
            <v>ET290</v>
          </cell>
          <cell r="C1255" t="str">
            <v>KAHANSO</v>
          </cell>
          <cell r="D1255" t="str">
            <v>-7.60489</v>
          </cell>
          <cell r="E1255" t="str">
            <v>9.24967</v>
          </cell>
          <cell r="F1255" t="str">
            <v>2G/3G/4G</v>
          </cell>
          <cell r="G1255" t="str">
            <v>HUAWEI</v>
          </cell>
          <cell r="H1255" t="str">
            <v>IHS</v>
          </cell>
          <cell r="I1255" t="str">
            <v>KAHANSO</v>
          </cell>
          <cell r="J1255" t="str">
            <v>BAKO</v>
          </cell>
          <cell r="K1255" t="str">
            <v>ODIENNE</v>
          </cell>
          <cell r="L1255" t="str">
            <v>KABADOUGOU</v>
          </cell>
          <cell r="M1255" t="str">
            <v>MAN</v>
          </cell>
          <cell r="N1255" t="str">
            <v>UPCOUNTRY</v>
          </cell>
        </row>
        <row r="1256">
          <cell r="B1256" t="str">
            <v>ET291</v>
          </cell>
          <cell r="C1256" t="str">
            <v>KONTROU</v>
          </cell>
          <cell r="D1256" t="str">
            <v>-7.336654</v>
          </cell>
          <cell r="E1256" t="str">
            <v>7.439542</v>
          </cell>
          <cell r="F1256" t="str">
            <v>2G/3G/4G</v>
          </cell>
          <cell r="G1256" t="str">
            <v>HUAWEI</v>
          </cell>
          <cell r="H1256" t="str">
            <v>IHS</v>
          </cell>
          <cell r="I1256" t="str">
            <v>KONTROU</v>
          </cell>
          <cell r="J1256" t="str">
            <v>FACOBLY</v>
          </cell>
          <cell r="K1256" t="str">
            <v>FACOBLY</v>
          </cell>
          <cell r="L1256" t="str">
            <v>GUEMON</v>
          </cell>
          <cell r="M1256" t="str">
            <v>MAN</v>
          </cell>
          <cell r="N1256" t="str">
            <v>UPCOUNTRY</v>
          </cell>
        </row>
        <row r="1257">
          <cell r="B1257" t="str">
            <v>ET292</v>
          </cell>
          <cell r="C1257" t="str">
            <v>ABOULIE</v>
          </cell>
          <cell r="D1257" t="str">
            <v>-2.93463888888889</v>
          </cell>
          <cell r="E1257" t="str">
            <v>5.45372222222222</v>
          </cell>
          <cell r="F1257" t="str">
            <v>2G/3G/4G</v>
          </cell>
          <cell r="G1257" t="str">
            <v>ERICSSON</v>
          </cell>
          <cell r="H1257" t="str">
            <v>IHS</v>
          </cell>
          <cell r="I1257" t="str">
            <v>ABOULIE</v>
          </cell>
          <cell r="J1257" t="str">
            <v>KOUAKRO</v>
          </cell>
          <cell r="K1257" t="str">
            <v>ABOISSO</v>
          </cell>
          <cell r="L1257" t="str">
            <v>SUD-COMOE</v>
          </cell>
          <cell r="M1257" t="str">
            <v>MARCORY</v>
          </cell>
          <cell r="N1257" t="str">
            <v>UPCOUNTRY</v>
          </cell>
        </row>
        <row r="1258">
          <cell r="B1258" t="str">
            <v>ET293</v>
          </cell>
          <cell r="C1258" t="str">
            <v>NDJEM</v>
          </cell>
          <cell r="D1258" t="str">
            <v>-4.23796111</v>
          </cell>
          <cell r="E1258" t="str">
            <v>5.26621389</v>
          </cell>
          <cell r="F1258" t="str">
            <v>2G/3G/4G</v>
          </cell>
          <cell r="G1258" t="str">
            <v>ERICSSON</v>
          </cell>
          <cell r="H1258" t="str">
            <v>IHS</v>
          </cell>
          <cell r="I1258" t="str">
            <v>NDJEM/NDJEM</v>
          </cell>
          <cell r="J1258" t="str">
            <v>JACQUEVILLE</v>
          </cell>
          <cell r="K1258" t="str">
            <v>JACQUEVILLE</v>
          </cell>
          <cell r="L1258" t="str">
            <v>GRANDS-PONTS</v>
          </cell>
          <cell r="M1258" t="str">
            <v>YOPOUGON FICGAYO</v>
          </cell>
          <cell r="N1258" t="str">
            <v>UPCOUNTRY</v>
          </cell>
        </row>
        <row r="1259">
          <cell r="B1259" t="str">
            <v>ET294</v>
          </cell>
          <cell r="C1259" t="str">
            <v>HUAFLA</v>
          </cell>
          <cell r="D1259" t="str">
            <v>-5.7958</v>
          </cell>
          <cell r="E1259" t="str">
            <v>6.55917</v>
          </cell>
          <cell r="F1259" t="str">
            <v>2G/3G/4G</v>
          </cell>
          <cell r="G1259" t="str">
            <v>HUAWEI</v>
          </cell>
          <cell r="H1259" t="str">
            <v>IHS</v>
          </cell>
          <cell r="I1259" t="str">
            <v>HUAFLA</v>
          </cell>
          <cell r="J1259" t="str">
            <v>SINFRA</v>
          </cell>
          <cell r="K1259" t="str">
            <v>SINFRA</v>
          </cell>
          <cell r="L1259" t="str">
            <v>MARAHOUE</v>
          </cell>
          <cell r="M1259" t="str">
            <v>GAGNOA</v>
          </cell>
          <cell r="N1259" t="str">
            <v>UPCOUNTRY</v>
          </cell>
        </row>
        <row r="1260">
          <cell r="B1260" t="str">
            <v>ET295</v>
          </cell>
          <cell r="C1260" t="str">
            <v>KABAKOUMAN</v>
          </cell>
          <cell r="D1260" t="str">
            <v>-7.69292</v>
          </cell>
          <cell r="E1260" t="str">
            <v>7.733917</v>
          </cell>
          <cell r="F1260" t="str">
            <v>2G/3G/4G</v>
          </cell>
          <cell r="G1260" t="str">
            <v>HUAWEI</v>
          </cell>
          <cell r="H1260" t="str">
            <v>IHS</v>
          </cell>
          <cell r="I1260" t="str">
            <v>KABAKOUMAN</v>
          </cell>
          <cell r="J1260" t="str">
            <v>BIANKOUMA</v>
          </cell>
          <cell r="K1260" t="str">
            <v>BIANKOUMA</v>
          </cell>
          <cell r="L1260" t="str">
            <v>TONKPI</v>
          </cell>
          <cell r="M1260" t="str">
            <v>MAN</v>
          </cell>
          <cell r="N1260" t="str">
            <v>UPCOUNTRY</v>
          </cell>
        </row>
        <row r="1261">
          <cell r="B1261" t="str">
            <v>ET296</v>
          </cell>
          <cell r="C1261" t="str">
            <v>KOFFI_AHOUSSOUKRO</v>
          </cell>
          <cell r="D1261" t="str">
            <v>-4.62605</v>
          </cell>
          <cell r="E1261" t="str">
            <v>6.737555</v>
          </cell>
          <cell r="F1261" t="str">
            <v>2G/3G/4G</v>
          </cell>
          <cell r="G1261" t="str">
            <v>HUAWEI</v>
          </cell>
          <cell r="H1261" t="str">
            <v>IHS</v>
          </cell>
          <cell r="I1261" t="str">
            <v>KOFFI-AHOUSSOUKO</v>
          </cell>
          <cell r="J1261" t="str">
            <v>DIMBOKRO</v>
          </cell>
          <cell r="K1261" t="str">
            <v>DIMBOKRO</v>
          </cell>
          <cell r="L1261" t="str">
            <v>N'ZI</v>
          </cell>
          <cell r="M1261" t="str">
            <v>YAMOUSSOUKRO</v>
          </cell>
          <cell r="N1261" t="str">
            <v>UPCOUNTRY</v>
          </cell>
        </row>
        <row r="1262">
          <cell r="B1262" t="str">
            <v>ET297</v>
          </cell>
          <cell r="C1262" t="str">
            <v>TAOUDI</v>
          </cell>
          <cell r="D1262" t="str">
            <v>-3.432972</v>
          </cell>
          <cell r="E1262" t="str">
            <v>8.14275</v>
          </cell>
          <cell r="F1262" t="str">
            <v>2G/3G/4G</v>
          </cell>
          <cell r="G1262" t="str">
            <v>ERICSSON</v>
          </cell>
          <cell r="H1262" t="str">
            <v>IHS</v>
          </cell>
          <cell r="I1262" t="str">
            <v>TAOUDI</v>
          </cell>
          <cell r="J1262" t="str">
            <v>TAOUDI</v>
          </cell>
          <cell r="K1262" t="str">
            <v>BONDOUKOU</v>
          </cell>
          <cell r="L1262" t="str">
            <v>GONTOUGO</v>
          </cell>
          <cell r="M1262" t="str">
            <v>ABENGOUROU</v>
          </cell>
          <cell r="N1262" t="str">
            <v>UPCOUNTRY</v>
          </cell>
        </row>
        <row r="1263">
          <cell r="B1263" t="str">
            <v>ET298</v>
          </cell>
          <cell r="C1263" t="str">
            <v>ALLAKRO_SUDEST</v>
          </cell>
          <cell r="D1263" t="str">
            <v>-2.9022</v>
          </cell>
          <cell r="E1263" t="str">
            <v>5.28402</v>
          </cell>
          <cell r="F1263" t="str">
            <v>2G/3G/4G</v>
          </cell>
          <cell r="G1263" t="str">
            <v>ERICSSON</v>
          </cell>
          <cell r="H1263" t="str">
            <v>IHS</v>
          </cell>
          <cell r="I1263" t="str">
            <v>ALLAKRO-NOE</v>
          </cell>
          <cell r="J1263" t="str">
            <v>NOE</v>
          </cell>
          <cell r="K1263" t="str">
            <v>TIAPOUM</v>
          </cell>
          <cell r="L1263" t="str">
            <v>SUD-COMOE</v>
          </cell>
          <cell r="M1263" t="str">
            <v>MARCORY</v>
          </cell>
          <cell r="N1263" t="str">
            <v>UPCOUNTRY</v>
          </cell>
        </row>
        <row r="1264">
          <cell r="B1264" t="str">
            <v>ET299</v>
          </cell>
          <cell r="C1264" t="str">
            <v>BROUBROU</v>
          </cell>
          <cell r="D1264" t="str">
            <v>-4.8185</v>
          </cell>
          <cell r="E1264" t="str">
            <v>5.72253</v>
          </cell>
          <cell r="F1264" t="str">
            <v>2G/3G/4G</v>
          </cell>
          <cell r="G1264" t="str">
            <v>ERICSSON</v>
          </cell>
          <cell r="H1264" t="str">
            <v>IHS</v>
          </cell>
          <cell r="I1264" t="str">
            <v>BROUBROU</v>
          </cell>
          <cell r="J1264" t="str">
            <v>GBOLOUVILLE</v>
          </cell>
          <cell r="K1264" t="str">
            <v>TIASSALE</v>
          </cell>
          <cell r="L1264" t="str">
            <v>AGNEBY-TIASSA</v>
          </cell>
          <cell r="M1264" t="str">
            <v>YOPOUGON SABLE</v>
          </cell>
          <cell r="N1264" t="str">
            <v>UPCOUNTRY</v>
          </cell>
        </row>
        <row r="1265">
          <cell r="B1265" t="str">
            <v>ET300</v>
          </cell>
          <cell r="C1265" t="str">
            <v>KOTOULA</v>
          </cell>
          <cell r="D1265" t="str">
            <v>-7.39811</v>
          </cell>
          <cell r="E1265" t="str">
            <v>10.1405</v>
          </cell>
          <cell r="F1265" t="str">
            <v>2G/3G/4G</v>
          </cell>
          <cell r="G1265" t="str">
            <v>HUAWEI</v>
          </cell>
          <cell r="H1265" t="str">
            <v>IHS</v>
          </cell>
          <cell r="I1265" t="str">
            <v>KOTOULA</v>
          </cell>
          <cell r="J1265" t="str">
            <v>TIENKO</v>
          </cell>
          <cell r="K1265" t="str">
            <v>MINIGNAN</v>
          </cell>
          <cell r="L1265" t="str">
            <v>FOLON</v>
          </cell>
          <cell r="M1265" t="str">
            <v>MAN</v>
          </cell>
          <cell r="N1265" t="str">
            <v>UPCOUNTRY</v>
          </cell>
        </row>
        <row r="1266">
          <cell r="B1266" t="str">
            <v>ET301</v>
          </cell>
          <cell r="C1266" t="str">
            <v>DANANON</v>
          </cell>
          <cell r="D1266" t="str">
            <v>-6.36186</v>
          </cell>
          <cell r="E1266" t="str">
            <v>7.61275</v>
          </cell>
          <cell r="F1266" t="str">
            <v>2G/3G/4G</v>
          </cell>
          <cell r="G1266" t="str">
            <v>HUAWEI</v>
          </cell>
          <cell r="H1266" t="str">
            <v>IHS</v>
          </cell>
          <cell r="I1266" t="str">
            <v>DANANON</v>
          </cell>
          <cell r="J1266" t="str">
            <v>DANANON</v>
          </cell>
          <cell r="K1266" t="str">
            <v>VAVOUA</v>
          </cell>
          <cell r="L1266" t="str">
            <v>HAUT-SASSANDRA</v>
          </cell>
          <cell r="M1266" t="str">
            <v>DALOA</v>
          </cell>
          <cell r="N1266" t="str">
            <v>UPCOUNTRY</v>
          </cell>
        </row>
        <row r="1267">
          <cell r="B1267" t="str">
            <v>ET302</v>
          </cell>
          <cell r="C1267" t="str">
            <v>NDOTRE_TRAINOU</v>
          </cell>
          <cell r="D1267" t="str">
            <v>-4.10061</v>
          </cell>
          <cell r="E1267" t="str">
            <v>5.44987</v>
          </cell>
          <cell r="F1267" t="str">
            <v>2G/3G/4G</v>
          </cell>
          <cell r="G1267" t="str">
            <v>ERICSSON</v>
          </cell>
          <cell r="H1267" t="str">
            <v>MOOV</v>
          </cell>
          <cell r="I1267" t="str">
            <v>ABOBO</v>
          </cell>
          <cell r="J1267" t="str">
            <v>ABIDJAN</v>
          </cell>
          <cell r="K1267" t="str">
            <v>ABIDJAN</v>
          </cell>
          <cell r="L1267" t="str">
            <v>ABIDJAN</v>
          </cell>
          <cell r="M1267" t="str">
            <v>ABOBO</v>
          </cell>
          <cell r="N1267" t="str">
            <v>ABIDJAN</v>
          </cell>
        </row>
        <row r="1268">
          <cell r="B1268" t="str">
            <v>ET303</v>
          </cell>
          <cell r="C1268" t="str">
            <v>VOUEBOUFLA</v>
          </cell>
          <cell r="D1268" t="str">
            <v>-5.94961</v>
          </cell>
          <cell r="E1268" t="str">
            <v>7.62436</v>
          </cell>
          <cell r="F1268" t="str">
            <v>2G/3G/4G</v>
          </cell>
          <cell r="G1268" t="str">
            <v>HUAWEI</v>
          </cell>
          <cell r="H1268" t="str">
            <v>IHS</v>
          </cell>
          <cell r="I1268" t="str">
            <v>VOUEBOUFLA</v>
          </cell>
          <cell r="J1268" t="str">
            <v>VOUEBOUFLA</v>
          </cell>
          <cell r="K1268" t="str">
            <v>ZUENOULA</v>
          </cell>
          <cell r="L1268" t="str">
            <v>MARAHOUE</v>
          </cell>
          <cell r="M1268" t="str">
            <v>YAMOUSSOUKRO</v>
          </cell>
          <cell r="N1268" t="str">
            <v>UPCOUNTRY</v>
          </cell>
        </row>
        <row r="1269">
          <cell r="B1269" t="str">
            <v>ET304</v>
          </cell>
          <cell r="C1269" t="str">
            <v>KONGODEKRO</v>
          </cell>
          <cell r="D1269" t="str">
            <v>-5.0363633</v>
          </cell>
          <cell r="E1269" t="str">
            <v>7.6280173</v>
          </cell>
          <cell r="F1269" t="str">
            <v>2G/3G/4G</v>
          </cell>
          <cell r="G1269" t="str">
            <v>HUAWEI</v>
          </cell>
          <cell r="H1269" t="str">
            <v>IHS</v>
          </cell>
          <cell r="I1269" t="str">
            <v>KONGODEKRO</v>
          </cell>
          <cell r="J1269" t="str">
            <v>BOUAKE</v>
          </cell>
          <cell r="K1269" t="str">
            <v>BOUAKE</v>
          </cell>
          <cell r="L1269" t="str">
            <v>GBEKE</v>
          </cell>
          <cell r="M1269" t="str">
            <v>BOUAKE</v>
          </cell>
          <cell r="N1269" t="str">
            <v>UPCOUNTRY</v>
          </cell>
        </row>
        <row r="1270">
          <cell r="B1270" t="str">
            <v>ET306</v>
          </cell>
          <cell r="C1270" t="str">
            <v>ANYAMA_BELLEVILLE</v>
          </cell>
          <cell r="D1270" t="str">
            <v>-4.03812</v>
          </cell>
          <cell r="E1270" t="str">
            <v>5.46544</v>
          </cell>
          <cell r="F1270" t="str">
            <v>2G/3G/4G</v>
          </cell>
          <cell r="G1270" t="str">
            <v>ERICSSON</v>
          </cell>
          <cell r="H1270" t="str">
            <v>MOOV</v>
          </cell>
          <cell r="I1270" t="str">
            <v>ANYAMA</v>
          </cell>
          <cell r="J1270" t="str">
            <v>ANYAMA</v>
          </cell>
          <cell r="K1270" t="str">
            <v>ABIDJAN</v>
          </cell>
          <cell r="L1270" t="str">
            <v>ABIDJAN</v>
          </cell>
          <cell r="M1270" t="str">
            <v>ABOBO</v>
          </cell>
          <cell r="N1270" t="str">
            <v>ABIDJAN</v>
          </cell>
        </row>
        <row r="1271">
          <cell r="B1271" t="str">
            <v>ET308</v>
          </cell>
          <cell r="C1271" t="str">
            <v>SOCOPRIX_TRIANGLE</v>
          </cell>
          <cell r="D1271" t="str">
            <v>-3.95332</v>
          </cell>
          <cell r="E1271" t="str">
            <v>5.363966</v>
          </cell>
          <cell r="F1271" t="str">
            <v>2G/3G/4G</v>
          </cell>
          <cell r="G1271" t="str">
            <v>ERICSSON</v>
          </cell>
          <cell r="H1271" t="str">
            <v>MOOV</v>
          </cell>
          <cell r="I1271" t="str">
            <v>COCODY</v>
          </cell>
          <cell r="J1271" t="str">
            <v>ABIDJAN</v>
          </cell>
          <cell r="K1271" t="str">
            <v>ABIDJAN</v>
          </cell>
          <cell r="L1271" t="str">
            <v>ABIDJAN</v>
          </cell>
          <cell r="M1271" t="str">
            <v>COCODY CENTRE</v>
          </cell>
          <cell r="N1271" t="str">
            <v>ABIDJAN</v>
          </cell>
        </row>
        <row r="1272">
          <cell r="B1272" t="str">
            <v>ET309</v>
          </cell>
          <cell r="C1272" t="str">
            <v>CORNICHE_CIE</v>
          </cell>
          <cell r="D1272" t="str">
            <v>-4.01588</v>
          </cell>
          <cell r="E1272" t="str">
            <v>5.34182</v>
          </cell>
          <cell r="F1272" t="str">
            <v>2G/3G/4G</v>
          </cell>
          <cell r="G1272" t="str">
            <v>ERICSSON</v>
          </cell>
          <cell r="H1272" t="str">
            <v>MOOV</v>
          </cell>
          <cell r="I1272" t="str">
            <v>COCODY</v>
          </cell>
          <cell r="J1272" t="str">
            <v>ABIDJAN</v>
          </cell>
          <cell r="K1272" t="str">
            <v>ABIDJAN</v>
          </cell>
          <cell r="L1272" t="str">
            <v>ABIDJAN</v>
          </cell>
          <cell r="M1272" t="str">
            <v>COCODY CENTRE</v>
          </cell>
          <cell r="N1272" t="str">
            <v>ABIDJAN</v>
          </cell>
        </row>
        <row r="1273">
          <cell r="B1273" t="str">
            <v>ET310</v>
          </cell>
          <cell r="C1273" t="str">
            <v>ADIOPODOUME-NORD</v>
          </cell>
          <cell r="D1273" t="str">
            <v>-4.145493</v>
          </cell>
          <cell r="E1273" t="str">
            <v>5.362527</v>
          </cell>
          <cell r="F1273" t="str">
            <v>2G/3G/4G</v>
          </cell>
          <cell r="G1273" t="str">
            <v>ERICSSON</v>
          </cell>
          <cell r="H1273" t="str">
            <v>MOOV</v>
          </cell>
          <cell r="I1273" t="str">
            <v>ADIOPODOUME</v>
          </cell>
          <cell r="J1273" t="str">
            <v>SONGON</v>
          </cell>
          <cell r="K1273" t="str">
            <v>ABIDJAN</v>
          </cell>
          <cell r="L1273" t="str">
            <v>ABIDJAN</v>
          </cell>
          <cell r="M1273" t="str">
            <v>YOPOUGON FICGAYO</v>
          </cell>
          <cell r="N1273" t="str">
            <v>ABIDJAN</v>
          </cell>
        </row>
        <row r="1274">
          <cell r="B1274" t="str">
            <v>ET311</v>
          </cell>
          <cell r="C1274" t="str">
            <v>ANANO_BETHANIE</v>
          </cell>
          <cell r="D1274" t="str">
            <v>-3.973487</v>
          </cell>
          <cell r="E1274" t="str">
            <v>5.340011</v>
          </cell>
          <cell r="F1274" t="str">
            <v>2G/3G/4G</v>
          </cell>
          <cell r="G1274" t="str">
            <v>ERICSSON</v>
          </cell>
          <cell r="H1274" t="str">
            <v>MOOV</v>
          </cell>
          <cell r="I1274" t="str">
            <v>COCODY</v>
          </cell>
          <cell r="J1274" t="str">
            <v>ABIDJAN</v>
          </cell>
          <cell r="K1274" t="str">
            <v>ABIDJAN</v>
          </cell>
          <cell r="L1274" t="str">
            <v>ABIDJAN</v>
          </cell>
          <cell r="M1274" t="str">
            <v>COCODY CENTRE</v>
          </cell>
          <cell r="N1274" t="str">
            <v>ABIDJAN</v>
          </cell>
        </row>
        <row r="1275">
          <cell r="B1275" t="str">
            <v>ET312</v>
          </cell>
          <cell r="C1275" t="str">
            <v>COCODY_JACQUE_PREVERT</v>
          </cell>
          <cell r="D1275" t="str">
            <v>-3.95078</v>
          </cell>
          <cell r="E1275" t="str">
            <v>5.34617</v>
          </cell>
          <cell r="F1275" t="str">
            <v>2G/3G/4G</v>
          </cell>
          <cell r="G1275" t="str">
            <v>ERICSSON</v>
          </cell>
          <cell r="H1275" t="str">
            <v>MOOV</v>
          </cell>
          <cell r="I1275" t="str">
            <v>COCODY</v>
          </cell>
          <cell r="J1275" t="str">
            <v>COCODY</v>
          </cell>
          <cell r="K1275" t="str">
            <v>ABIDJAN</v>
          </cell>
          <cell r="L1275" t="str">
            <v>ABIDJAN</v>
          </cell>
          <cell r="M1275" t="str">
            <v>COCODY CENTRE</v>
          </cell>
          <cell r="N1275" t="str">
            <v>ABIDJAN</v>
          </cell>
        </row>
        <row r="1276">
          <cell r="B1276" t="str">
            <v>ET313</v>
          </cell>
          <cell r="C1276" t="str">
            <v>ST_AMBROISE_7EME_TRANCHE</v>
          </cell>
          <cell r="D1276" t="str">
            <v>-3.989525</v>
          </cell>
          <cell r="E1276" t="str">
            <v>5.395345</v>
          </cell>
          <cell r="F1276" t="str">
            <v>2G/3G/4G</v>
          </cell>
          <cell r="G1276" t="str">
            <v>ERICSSON</v>
          </cell>
          <cell r="H1276" t="str">
            <v>MOOV</v>
          </cell>
          <cell r="I1276" t="str">
            <v>COCODY</v>
          </cell>
          <cell r="J1276" t="str">
            <v>ABIDJAN</v>
          </cell>
          <cell r="K1276" t="str">
            <v>ABIDJAN</v>
          </cell>
          <cell r="L1276" t="str">
            <v>ABIDJAN</v>
          </cell>
          <cell r="M1276" t="str">
            <v>COCODY LATRILLE</v>
          </cell>
          <cell r="N1276" t="str">
            <v>ABIDJAN</v>
          </cell>
        </row>
        <row r="1277">
          <cell r="B1277" t="str">
            <v>ET314</v>
          </cell>
          <cell r="C1277" t="str">
            <v>FAYA_CITE_PE0ROCI</v>
          </cell>
          <cell r="D1277" t="str">
            <v>-3.92077</v>
          </cell>
          <cell r="E1277" t="str">
            <v>5.38207</v>
          </cell>
          <cell r="F1277" t="str">
            <v>2G/3G/4G</v>
          </cell>
          <cell r="G1277" t="str">
            <v>ERICSSON</v>
          </cell>
          <cell r="H1277" t="str">
            <v>MOOV</v>
          </cell>
          <cell r="I1277" t="str">
            <v>BINGERVILLE</v>
          </cell>
          <cell r="J1277" t="str">
            <v>BINGERVILLE</v>
          </cell>
          <cell r="K1277" t="str">
            <v>ABIDJAN</v>
          </cell>
          <cell r="L1277" t="str">
            <v>ABIDJAN</v>
          </cell>
          <cell r="M1277" t="str">
            <v>COCODY LATRILLE</v>
          </cell>
          <cell r="N1277" t="str">
            <v>ABIDJAN</v>
          </cell>
        </row>
        <row r="1278">
          <cell r="B1278" t="str">
            <v>ET315</v>
          </cell>
          <cell r="C1278" t="str">
            <v>BINGES_JARDIN</v>
          </cell>
          <cell r="D1278" t="str">
            <v>-3.886165</v>
          </cell>
          <cell r="E1278" t="str">
            <v>5.370278</v>
          </cell>
          <cell r="F1278" t="str">
            <v>2G/3G/4G</v>
          </cell>
          <cell r="G1278" t="str">
            <v>ERICSSON</v>
          </cell>
          <cell r="H1278" t="str">
            <v>MOOV</v>
          </cell>
          <cell r="I1278" t="str">
            <v>BINGERVILLE</v>
          </cell>
          <cell r="J1278" t="str">
            <v>BINGERVILLE</v>
          </cell>
          <cell r="K1278" t="str">
            <v>ABIDJAN</v>
          </cell>
          <cell r="L1278" t="str">
            <v>ABIDJAN</v>
          </cell>
          <cell r="M1278" t="str">
            <v>COCODY LATRILLE</v>
          </cell>
          <cell r="N1278" t="str">
            <v>ABIDJAN</v>
          </cell>
        </row>
        <row r="1279">
          <cell r="B1279" t="str">
            <v>ET316</v>
          </cell>
          <cell r="C1279" t="str">
            <v>AKOUEDO_NV_CAMP</v>
          </cell>
          <cell r="D1279" t="str">
            <v>-3.94088</v>
          </cell>
          <cell r="E1279" t="str">
            <v>5.38125</v>
          </cell>
          <cell r="F1279" t="str">
            <v>2G/3G/4G</v>
          </cell>
          <cell r="G1279" t="str">
            <v>ERICSSON</v>
          </cell>
          <cell r="H1279" t="str">
            <v>MOOV</v>
          </cell>
          <cell r="I1279" t="str">
            <v>COCODY</v>
          </cell>
          <cell r="J1279" t="str">
            <v>ABIDJAN</v>
          </cell>
          <cell r="K1279" t="str">
            <v>ABIDJAN</v>
          </cell>
          <cell r="L1279" t="str">
            <v>ABIDJAN</v>
          </cell>
          <cell r="M1279" t="str">
            <v>COCODY LATRILLE</v>
          </cell>
          <cell r="N1279" t="str">
            <v>ABIDJAN</v>
          </cell>
        </row>
        <row r="1280">
          <cell r="B1280" t="str">
            <v>ET317</v>
          </cell>
          <cell r="C1280" t="str">
            <v>FAYA_CARR_ABATTA</v>
          </cell>
          <cell r="D1280" t="str">
            <v>-3.928847</v>
          </cell>
          <cell r="E1280" t="str">
            <v>5.36792</v>
          </cell>
          <cell r="F1280" t="str">
            <v>2G/3G/4G</v>
          </cell>
          <cell r="G1280" t="str">
            <v>ERICSSON</v>
          </cell>
          <cell r="H1280" t="str">
            <v>MOOV</v>
          </cell>
          <cell r="I1280" t="str">
            <v>BINGERVILLE</v>
          </cell>
          <cell r="J1280" t="str">
            <v>BINGERVILLE</v>
          </cell>
          <cell r="K1280" t="str">
            <v>ABIDJAN</v>
          </cell>
          <cell r="L1280" t="str">
            <v>ABIDJAN</v>
          </cell>
          <cell r="M1280" t="str">
            <v>COCODY CENTRE</v>
          </cell>
          <cell r="N1280" t="str">
            <v>ABIDJAN</v>
          </cell>
        </row>
        <row r="1281">
          <cell r="B1281" t="str">
            <v>ET318</v>
          </cell>
          <cell r="C1281" t="str">
            <v>DJOROBITE_CIE</v>
          </cell>
          <cell r="D1281" t="str">
            <v>-3.941886</v>
          </cell>
          <cell r="E1281" t="str">
            <v>5.398088</v>
          </cell>
          <cell r="F1281" t="str">
            <v>2G/3G/4G</v>
          </cell>
          <cell r="G1281" t="str">
            <v>ERICSSON</v>
          </cell>
          <cell r="H1281" t="str">
            <v>MOOV</v>
          </cell>
          <cell r="I1281" t="str">
            <v>COCODY</v>
          </cell>
          <cell r="J1281" t="str">
            <v>ABIDJAN</v>
          </cell>
          <cell r="K1281" t="str">
            <v>ABIDJAN</v>
          </cell>
          <cell r="L1281" t="str">
            <v>ABIDJAN</v>
          </cell>
          <cell r="M1281" t="str">
            <v>COCODY LATRILLE</v>
          </cell>
          <cell r="N1281" t="str">
            <v>ABIDJAN</v>
          </cell>
        </row>
        <row r="1282">
          <cell r="B1282" t="str">
            <v>ET319</v>
          </cell>
          <cell r="C1282" t="str">
            <v>DJOROBITE_2</v>
          </cell>
          <cell r="D1282" t="str">
            <v>-3.94953</v>
          </cell>
          <cell r="E1282" t="str">
            <v>5.40558</v>
          </cell>
          <cell r="F1282" t="str">
            <v>2G/3G/4G</v>
          </cell>
          <cell r="G1282" t="str">
            <v>ERICSSON</v>
          </cell>
          <cell r="H1282" t="str">
            <v>MOOV</v>
          </cell>
          <cell r="I1282" t="str">
            <v>COCODY</v>
          </cell>
          <cell r="J1282" t="str">
            <v>ABIDJAN</v>
          </cell>
          <cell r="K1282" t="str">
            <v>ABIDJAN</v>
          </cell>
          <cell r="L1282" t="str">
            <v>ABIDJAN</v>
          </cell>
          <cell r="M1282" t="str">
            <v>COCODY LATRILLE</v>
          </cell>
          <cell r="N1282" t="str">
            <v>ABIDJAN</v>
          </cell>
        </row>
        <row r="1283">
          <cell r="B1283" t="str">
            <v>ET320</v>
          </cell>
          <cell r="C1283" t="str">
            <v>COCODY_CITE_MILITAIRE</v>
          </cell>
          <cell r="D1283" t="str">
            <v>-3.964088</v>
          </cell>
          <cell r="E1283" t="str">
            <v>5.416011</v>
          </cell>
          <cell r="F1283" t="str">
            <v>2G/3G/4G</v>
          </cell>
          <cell r="G1283" t="str">
            <v>ERICSSON</v>
          </cell>
          <cell r="H1283" t="str">
            <v>MOOV</v>
          </cell>
          <cell r="I1283" t="str">
            <v>COCODY</v>
          </cell>
          <cell r="J1283" t="str">
            <v>ABIDJAN</v>
          </cell>
          <cell r="K1283" t="str">
            <v>ABIDJAN</v>
          </cell>
          <cell r="L1283" t="str">
            <v>ABIDJAN</v>
          </cell>
          <cell r="M1283" t="str">
            <v>COCODY LATRILLE</v>
          </cell>
          <cell r="N1283" t="str">
            <v>ABIDJAN</v>
          </cell>
        </row>
        <row r="1284">
          <cell r="B1284" t="str">
            <v>IM470</v>
          </cell>
          <cell r="C1284" t="str">
            <v>NEW_ANGRE CITE SOTRA</v>
          </cell>
          <cell r="D1284" t="str">
            <v>-3.970121</v>
          </cell>
          <cell r="E1284" t="str">
            <v>5.424310</v>
          </cell>
          <cell r="F1284" t="str">
            <v>2G/3G/4G</v>
          </cell>
          <cell r="G1284" t="str">
            <v>ERICSSON</v>
          </cell>
          <cell r="H1284" t="str">
            <v>MOOV</v>
          </cell>
          <cell r="I1284" t="str">
            <v>COCODY</v>
          </cell>
          <cell r="J1284" t="str">
            <v>ABIDJAN</v>
          </cell>
          <cell r="K1284" t="str">
            <v>ABIDJAN</v>
          </cell>
          <cell r="L1284" t="str">
            <v>ABIDJAN</v>
          </cell>
          <cell r="M1284" t="str">
            <v>COCODY LATRILLE</v>
          </cell>
          <cell r="N1284" t="str">
            <v>ABIDJAN</v>
          </cell>
        </row>
        <row r="1285">
          <cell r="B1285" t="str">
            <v>ET322</v>
          </cell>
          <cell r="C1285" t="str">
            <v>NDOTRE_BAFON</v>
          </cell>
          <cell r="D1285" t="str">
            <v>-4.07297</v>
          </cell>
          <cell r="E1285" t="str">
            <v>5.44549</v>
          </cell>
          <cell r="F1285" t="str">
            <v>2G/3G/4G</v>
          </cell>
          <cell r="G1285" t="str">
            <v>ERICSSON</v>
          </cell>
          <cell r="H1285" t="str">
            <v>MOOV</v>
          </cell>
          <cell r="I1285" t="str">
            <v>ABOBO</v>
          </cell>
          <cell r="J1285" t="str">
            <v>ABIDJAN</v>
          </cell>
          <cell r="K1285" t="str">
            <v>ABIDJAN</v>
          </cell>
          <cell r="L1285" t="str">
            <v>ABIDJAN</v>
          </cell>
          <cell r="M1285" t="str">
            <v>ABOBO</v>
          </cell>
          <cell r="N1285" t="str">
            <v>ABIDJAN</v>
          </cell>
        </row>
        <row r="1286">
          <cell r="B1286" t="str">
            <v>ET323</v>
          </cell>
          <cell r="C1286" t="str">
            <v>UIBA</v>
          </cell>
          <cell r="D1286" t="str">
            <v>-3.98581</v>
          </cell>
          <cell r="E1286" t="str">
            <v>5.3796</v>
          </cell>
          <cell r="F1286" t="str">
            <v>2G/3G/4G</v>
          </cell>
          <cell r="G1286" t="str">
            <v>ERICSSON</v>
          </cell>
          <cell r="H1286" t="str">
            <v>MOOV</v>
          </cell>
          <cell r="I1286" t="str">
            <v>COCODY</v>
          </cell>
          <cell r="J1286" t="str">
            <v>ABIDJAN</v>
          </cell>
          <cell r="K1286" t="str">
            <v>ABIDJAN</v>
          </cell>
          <cell r="L1286" t="str">
            <v>ABIDJAN</v>
          </cell>
          <cell r="M1286" t="str">
            <v>COCODY LATRILLE</v>
          </cell>
          <cell r="N1286" t="str">
            <v>ABIDJAN</v>
          </cell>
        </row>
        <row r="1287">
          <cell r="B1287" t="str">
            <v>ET324</v>
          </cell>
          <cell r="C1287" t="str">
            <v>ABATTA_BCEAO</v>
          </cell>
          <cell r="D1287" t="str">
            <v>-3.91498</v>
          </cell>
          <cell r="E1287" t="str">
            <v>5.345567</v>
          </cell>
          <cell r="F1287" t="str">
            <v>2G/3G/4G</v>
          </cell>
          <cell r="G1287" t="str">
            <v>ERICSSON</v>
          </cell>
          <cell r="H1287" t="str">
            <v>MOOV</v>
          </cell>
          <cell r="I1287" t="str">
            <v>BINGERVILLE</v>
          </cell>
          <cell r="J1287" t="str">
            <v>BINGERVILLE</v>
          </cell>
          <cell r="K1287" t="str">
            <v>ABIDJAN</v>
          </cell>
          <cell r="L1287" t="str">
            <v>ABIDJAN</v>
          </cell>
          <cell r="M1287" t="str">
            <v>COCODY CENTRE</v>
          </cell>
          <cell r="N1287" t="str">
            <v>ABIDJAN</v>
          </cell>
        </row>
        <row r="1288">
          <cell r="B1288" t="str">
            <v>ET325</v>
          </cell>
          <cell r="C1288" t="str">
            <v>AKOUE_SANTE_2</v>
          </cell>
          <cell r="D1288" t="str">
            <v>-3.9072</v>
          </cell>
          <cell r="E1288" t="str">
            <v>5.38381</v>
          </cell>
          <cell r="F1288" t="str">
            <v>2G/3G/4G</v>
          </cell>
          <cell r="G1288" t="str">
            <v>ERICSSON</v>
          </cell>
          <cell r="H1288" t="str">
            <v>MOOV</v>
          </cell>
          <cell r="I1288" t="str">
            <v>BINGERVILLE</v>
          </cell>
          <cell r="J1288" t="str">
            <v>BINGERVILLE</v>
          </cell>
          <cell r="K1288" t="str">
            <v>ABIDJAN</v>
          </cell>
          <cell r="L1288" t="str">
            <v>ABIDJAN</v>
          </cell>
          <cell r="M1288" t="str">
            <v>COCODY LATRILLE</v>
          </cell>
          <cell r="N1288" t="str">
            <v>ABIDJAN</v>
          </cell>
        </row>
        <row r="1289">
          <cell r="B1289" t="str">
            <v>ET326</v>
          </cell>
          <cell r="C1289" t="str">
            <v>ABATTA_SEMPA</v>
          </cell>
          <cell r="D1289" t="str">
            <v>-3.91432</v>
          </cell>
          <cell r="E1289" t="str">
            <v>5.32943</v>
          </cell>
          <cell r="F1289" t="str">
            <v>2G/3G/4G</v>
          </cell>
          <cell r="G1289" t="str">
            <v>ERICSSON</v>
          </cell>
          <cell r="H1289" t="str">
            <v>MOOV</v>
          </cell>
          <cell r="I1289" t="str">
            <v>BINGERVILLE</v>
          </cell>
          <cell r="J1289" t="str">
            <v>BINGERVILLE</v>
          </cell>
          <cell r="K1289" t="str">
            <v>ABIDJAN</v>
          </cell>
          <cell r="L1289" t="str">
            <v>ABIDJAN</v>
          </cell>
          <cell r="M1289" t="str">
            <v>COCODY CENTRE</v>
          </cell>
          <cell r="N1289" t="str">
            <v>ABIDJAN</v>
          </cell>
        </row>
        <row r="1290">
          <cell r="B1290" t="str">
            <v>ET327</v>
          </cell>
          <cell r="C1290" t="str">
            <v>PETITE_BAIE</v>
          </cell>
          <cell r="D1290" t="str">
            <v>-3.972567</v>
          </cell>
          <cell r="E1290" t="str">
            <v>5.256171</v>
          </cell>
          <cell r="F1290" t="str">
            <v>2G/3G/4G</v>
          </cell>
          <cell r="G1290" t="str">
            <v>HUAWEI</v>
          </cell>
          <cell r="H1290" t="str">
            <v>MOOV</v>
          </cell>
          <cell r="I1290" t="str">
            <v>PORT-BOUET</v>
          </cell>
          <cell r="J1290" t="str">
            <v>ABIDJAN</v>
          </cell>
          <cell r="K1290" t="str">
            <v>ABIDJAN</v>
          </cell>
          <cell r="L1290" t="str">
            <v>ABIDJAN</v>
          </cell>
          <cell r="M1290" t="str">
            <v>MARCORY</v>
          </cell>
          <cell r="N1290" t="str">
            <v>ABIDJAN</v>
          </cell>
        </row>
        <row r="1291">
          <cell r="B1291" t="str">
            <v>ET328</v>
          </cell>
          <cell r="C1291" t="str">
            <v>LUMIERE</v>
          </cell>
          <cell r="D1291" t="str">
            <v>-3.99525</v>
          </cell>
          <cell r="E1291" t="str">
            <v>5.2981</v>
          </cell>
          <cell r="F1291" t="str">
            <v>2G/3G/4G</v>
          </cell>
          <cell r="G1291" t="str">
            <v>ERICSSON</v>
          </cell>
          <cell r="H1291" t="str">
            <v>MOOV</v>
          </cell>
          <cell r="I1291" t="str">
            <v>TREICHVILLE</v>
          </cell>
          <cell r="J1291" t="str">
            <v>ABIDJAN</v>
          </cell>
          <cell r="K1291" t="str">
            <v>ABIDJAN</v>
          </cell>
          <cell r="L1291" t="str">
            <v>ABIDJAN</v>
          </cell>
          <cell r="M1291" t="str">
            <v>PLATEAU</v>
          </cell>
          <cell r="N1291" t="str">
            <v>ABIDJAN</v>
          </cell>
        </row>
        <row r="1292">
          <cell r="B1292" t="str">
            <v>ET329</v>
          </cell>
          <cell r="C1292" t="str">
            <v>ADJOUFFOU_CARTON</v>
          </cell>
          <cell r="D1292" t="str">
            <v>-3.92012</v>
          </cell>
          <cell r="E1292" t="str">
            <v>5.2499</v>
          </cell>
          <cell r="F1292" t="str">
            <v>2G/3G/4G</v>
          </cell>
          <cell r="G1292" t="str">
            <v>HUAWEI</v>
          </cell>
          <cell r="H1292" t="str">
            <v>MOOV</v>
          </cell>
          <cell r="I1292" t="str">
            <v>PORT-BOUET</v>
          </cell>
          <cell r="J1292" t="str">
            <v>ABIDJAN</v>
          </cell>
          <cell r="K1292" t="str">
            <v>ABIDJAN</v>
          </cell>
          <cell r="L1292" t="str">
            <v>ABIDJAN</v>
          </cell>
          <cell r="M1292" t="str">
            <v>MARCORY</v>
          </cell>
          <cell r="N1292" t="str">
            <v>ABIDJAN</v>
          </cell>
        </row>
        <row r="1293">
          <cell r="B1293" t="str">
            <v>ET330</v>
          </cell>
          <cell r="C1293" t="str">
            <v>ABATTA_SICTA</v>
          </cell>
          <cell r="D1293" t="str">
            <v>-3.923287</v>
          </cell>
          <cell r="E1293" t="str">
            <v>5.340014</v>
          </cell>
          <cell r="F1293" t="str">
            <v>2G/3G/4G</v>
          </cell>
          <cell r="G1293" t="str">
            <v>ERICSSON</v>
          </cell>
          <cell r="H1293" t="str">
            <v>MOOV</v>
          </cell>
          <cell r="I1293" t="str">
            <v>BINGERVILLE</v>
          </cell>
          <cell r="J1293" t="str">
            <v>BINGERVILLE</v>
          </cell>
          <cell r="K1293" t="str">
            <v>ABIDJAN</v>
          </cell>
          <cell r="L1293" t="str">
            <v>ABIDJAN</v>
          </cell>
          <cell r="M1293" t="str">
            <v>COCODY CENTRE</v>
          </cell>
          <cell r="N1293" t="str">
            <v>ABIDJAN</v>
          </cell>
        </row>
        <row r="1294">
          <cell r="B1294" t="str">
            <v>ET331</v>
          </cell>
          <cell r="C1294" t="str">
            <v>YOP CARR ACADEMIE</v>
          </cell>
          <cell r="D1294" t="str">
            <v>-4.10489</v>
          </cell>
          <cell r="E1294" t="str">
            <v>5.326226</v>
          </cell>
          <cell r="F1294" t="str">
            <v>2G/3G/4G</v>
          </cell>
          <cell r="G1294" t="str">
            <v>ERICSSON</v>
          </cell>
          <cell r="H1294" t="str">
            <v>MOOV</v>
          </cell>
          <cell r="I1294" t="str">
            <v>YOPOUGON</v>
          </cell>
          <cell r="J1294" t="str">
            <v>ABIDJAN</v>
          </cell>
          <cell r="K1294" t="str">
            <v>ABIDJAN</v>
          </cell>
          <cell r="L1294" t="str">
            <v>ABIDJAN</v>
          </cell>
          <cell r="M1294" t="str">
            <v>YOPOUGON FICGAYO</v>
          </cell>
          <cell r="N1294" t="str">
            <v>ABIDJAN</v>
          </cell>
        </row>
        <row r="1295">
          <cell r="B1295" t="str">
            <v>ET332</v>
          </cell>
          <cell r="C1295" t="str">
            <v>YOP_TERRAIN_SYLLA</v>
          </cell>
          <cell r="D1295" t="str">
            <v>-4.09829</v>
          </cell>
          <cell r="E1295" t="str">
            <v>5.32854</v>
          </cell>
          <cell r="F1295" t="str">
            <v>2G/3G/4G</v>
          </cell>
          <cell r="G1295" t="str">
            <v>ERICSSON</v>
          </cell>
          <cell r="H1295" t="str">
            <v>MOOV</v>
          </cell>
          <cell r="I1295" t="str">
            <v>YOPOUGON</v>
          </cell>
          <cell r="J1295" t="str">
            <v>ABIDJAN</v>
          </cell>
          <cell r="K1295" t="str">
            <v>ABIDJAN</v>
          </cell>
          <cell r="L1295" t="str">
            <v>ABIDJAN</v>
          </cell>
          <cell r="M1295" t="str">
            <v>YOPOUGON FICGAYO</v>
          </cell>
          <cell r="N1295" t="str">
            <v>ABIDJAN</v>
          </cell>
        </row>
        <row r="1296">
          <cell r="B1296" t="str">
            <v>ET333</v>
          </cell>
          <cell r="C1296" t="str">
            <v>YOP_CITE_SICOGI</v>
          </cell>
          <cell r="D1296" t="str">
            <v>-4.07884</v>
          </cell>
          <cell r="E1296" t="str">
            <v>5.32793</v>
          </cell>
          <cell r="F1296" t="str">
            <v>2G/3G/4G</v>
          </cell>
          <cell r="G1296" t="str">
            <v>ERICSSON</v>
          </cell>
          <cell r="H1296" t="str">
            <v>MOOV</v>
          </cell>
          <cell r="I1296" t="str">
            <v>YOPOUGON</v>
          </cell>
          <cell r="J1296" t="str">
            <v>ABIDJAN</v>
          </cell>
          <cell r="K1296" t="str">
            <v>ABIDJAN</v>
          </cell>
          <cell r="L1296" t="str">
            <v>ABIDJAN</v>
          </cell>
          <cell r="M1296" t="str">
            <v>YOPOUGON FICGAYO</v>
          </cell>
          <cell r="N1296" t="str">
            <v>ABIDJAN</v>
          </cell>
        </row>
        <row r="1297">
          <cell r="B1297" t="str">
            <v>ET334</v>
          </cell>
          <cell r="C1297" t="str">
            <v>YOP_CITE_ADO</v>
          </cell>
          <cell r="D1297" t="str">
            <v>-4.086313</v>
          </cell>
          <cell r="E1297" t="str">
            <v>5.403428</v>
          </cell>
          <cell r="F1297" t="str">
            <v>2G/3G/4G</v>
          </cell>
          <cell r="G1297" t="str">
            <v>ERICSSON</v>
          </cell>
          <cell r="H1297" t="str">
            <v>MOOV</v>
          </cell>
          <cell r="I1297" t="str">
            <v>YOPOUGON</v>
          </cell>
          <cell r="J1297" t="str">
            <v>ABIDJAN</v>
          </cell>
          <cell r="K1297" t="str">
            <v>ABIDJAN</v>
          </cell>
          <cell r="L1297" t="str">
            <v>ABIDJAN</v>
          </cell>
          <cell r="M1297" t="str">
            <v>YOPOUGON SABLE</v>
          </cell>
          <cell r="N1297" t="str">
            <v>ABIDJAN</v>
          </cell>
        </row>
        <row r="1298">
          <cell r="B1298" t="str">
            <v>ET335</v>
          </cell>
          <cell r="C1298" t="str">
            <v>YOP_NV_BUREAU</v>
          </cell>
          <cell r="D1298" t="str">
            <v>-4.06107</v>
          </cell>
          <cell r="E1298" t="str">
            <v>5.33314</v>
          </cell>
          <cell r="F1298" t="str">
            <v>2G/3G/4G</v>
          </cell>
          <cell r="G1298" t="str">
            <v>ERICSSON</v>
          </cell>
          <cell r="H1298" t="str">
            <v>MOOV</v>
          </cell>
          <cell r="I1298" t="str">
            <v>YOPOUGON</v>
          </cell>
          <cell r="J1298" t="str">
            <v>ABIDJAN</v>
          </cell>
          <cell r="K1298" t="str">
            <v>ABIDJAN</v>
          </cell>
          <cell r="L1298" t="str">
            <v>ABIDJAN</v>
          </cell>
          <cell r="M1298" t="str">
            <v>YOPOUGON SABLE</v>
          </cell>
          <cell r="N1298" t="str">
            <v>ABIDJAN</v>
          </cell>
        </row>
        <row r="1299">
          <cell r="B1299" t="str">
            <v>ET336</v>
          </cell>
          <cell r="C1299" t="str">
            <v>PATRICK_ACHI</v>
          </cell>
          <cell r="D1299" t="str">
            <v>-3.869003</v>
          </cell>
          <cell r="E1299" t="str">
            <v>6.086845</v>
          </cell>
          <cell r="F1299" t="str">
            <v>2G/3G/4G</v>
          </cell>
          <cell r="G1299" t="str">
            <v>ERICSSON</v>
          </cell>
          <cell r="H1299" t="str">
            <v>MOOV</v>
          </cell>
          <cell r="I1299" t="str">
            <v>ADZOPE</v>
          </cell>
          <cell r="J1299" t="str">
            <v>ADZOPE</v>
          </cell>
          <cell r="K1299" t="str">
            <v>ADZOPE</v>
          </cell>
          <cell r="L1299" t="str">
            <v>LA ME</v>
          </cell>
          <cell r="M1299" t="str">
            <v>ABENGOUROU</v>
          </cell>
          <cell r="N1299" t="str">
            <v>UPCOUNTRY</v>
          </cell>
        </row>
        <row r="1300">
          <cell r="B1300" t="str">
            <v>ET337</v>
          </cell>
          <cell r="C1300" t="str">
            <v>BEKOUKOUIFIN</v>
          </cell>
          <cell r="D1300" t="str">
            <v>-3.87054</v>
          </cell>
          <cell r="E1300" t="str">
            <v>6.104608</v>
          </cell>
          <cell r="F1300" t="str">
            <v>2G/3G/4G</v>
          </cell>
          <cell r="G1300" t="str">
            <v>ERICSSON</v>
          </cell>
          <cell r="H1300" t="str">
            <v>MOOV</v>
          </cell>
          <cell r="I1300" t="str">
            <v>ADZOPE</v>
          </cell>
          <cell r="J1300" t="str">
            <v>ADZOPE</v>
          </cell>
          <cell r="K1300" t="str">
            <v>ADZOPE</v>
          </cell>
          <cell r="L1300" t="str">
            <v>LA ME</v>
          </cell>
          <cell r="M1300" t="str">
            <v>ABENGOUROU</v>
          </cell>
          <cell r="N1300" t="str">
            <v>UPCOUNTRY</v>
          </cell>
        </row>
        <row r="1301">
          <cell r="B1301" t="str">
            <v>ET338</v>
          </cell>
          <cell r="C1301" t="str">
            <v>ADAHOU HOTEL PRESTIGE</v>
          </cell>
          <cell r="D1301" t="str">
            <v>-4.213217</v>
          </cell>
          <cell r="E1301" t="str">
            <v>5.91648</v>
          </cell>
          <cell r="F1301" t="str">
            <v>2G/3G/4G</v>
          </cell>
          <cell r="G1301" t="str">
            <v>ERICSSON</v>
          </cell>
          <cell r="H1301" t="str">
            <v>MOOV</v>
          </cell>
          <cell r="I1301" t="str">
            <v>AGBOVILLE</v>
          </cell>
          <cell r="J1301" t="str">
            <v>AGBOVILLE</v>
          </cell>
          <cell r="K1301" t="str">
            <v>AGBOVILLE</v>
          </cell>
          <cell r="L1301" t="str">
            <v>AGNEBY-TIASSA</v>
          </cell>
          <cell r="M1301" t="str">
            <v>ABOBO</v>
          </cell>
          <cell r="N1301" t="str">
            <v>UPCOUNTRY</v>
          </cell>
        </row>
        <row r="1302">
          <cell r="B1302" t="str">
            <v>ET339</v>
          </cell>
          <cell r="C1302" t="str">
            <v>AGBO_MONTBLANC</v>
          </cell>
          <cell r="D1302" t="str">
            <v>-4.202710°</v>
          </cell>
          <cell r="E1302" t="str">
            <v>5.931863°</v>
          </cell>
          <cell r="F1302" t="str">
            <v>2G/3G/4G</v>
          </cell>
          <cell r="G1302" t="str">
            <v>ERICSSON</v>
          </cell>
          <cell r="H1302" t="str">
            <v>MOOV</v>
          </cell>
          <cell r="I1302" t="str">
            <v>AGBOVILLE</v>
          </cell>
          <cell r="J1302" t="str">
            <v>AGBOVILLE</v>
          </cell>
          <cell r="K1302" t="str">
            <v>AGBOVILLE</v>
          </cell>
          <cell r="L1302" t="str">
            <v>AGNEBY-TIASSA</v>
          </cell>
          <cell r="M1302" t="str">
            <v>ABOBO</v>
          </cell>
          <cell r="N1302" t="str">
            <v>UPCOUNTRY</v>
          </cell>
        </row>
        <row r="1303">
          <cell r="B1303" t="str">
            <v>ET340</v>
          </cell>
          <cell r="C1303" t="str">
            <v xml:space="preserve">AGBAILLE </v>
          </cell>
          <cell r="D1303" t="str">
            <v>-4.51403</v>
          </cell>
          <cell r="E1303" t="str">
            <v>5.30531</v>
          </cell>
          <cell r="F1303" t="str">
            <v>2G/3G/4G</v>
          </cell>
          <cell r="G1303" t="str">
            <v>ERICSSON</v>
          </cell>
          <cell r="H1303" t="str">
            <v>MOOV</v>
          </cell>
          <cell r="I1303" t="str">
            <v>AGBAILLE</v>
          </cell>
          <cell r="J1303" t="str">
            <v>TOUPAH</v>
          </cell>
          <cell r="K1303" t="str">
            <v>DABOU</v>
          </cell>
          <cell r="L1303" t="str">
            <v>GRANDS-PONTS</v>
          </cell>
          <cell r="M1303" t="str">
            <v>YOPOUGON FICGAYO</v>
          </cell>
          <cell r="N1303" t="str">
            <v>UPCOUNTRY</v>
          </cell>
        </row>
        <row r="1304">
          <cell r="B1304" t="str">
            <v>ET341</v>
          </cell>
          <cell r="C1304" t="str">
            <v>ASSINIE_MADJAN</v>
          </cell>
          <cell r="D1304" t="str">
            <v>-3.3543</v>
          </cell>
          <cell r="E1304" t="str">
            <v>5.149469</v>
          </cell>
          <cell r="F1304" t="str">
            <v>2G/3G/4G</v>
          </cell>
          <cell r="G1304" t="str">
            <v>HUAWEI</v>
          </cell>
          <cell r="H1304" t="str">
            <v>IHS</v>
          </cell>
          <cell r="I1304" t="str">
            <v>ASSINIE</v>
          </cell>
          <cell r="J1304" t="str">
            <v>ASSINIE-MAFIA</v>
          </cell>
          <cell r="K1304" t="str">
            <v>ADIAKE</v>
          </cell>
          <cell r="L1304" t="str">
            <v>SUD-COMOE</v>
          </cell>
          <cell r="M1304" t="str">
            <v>MARCORY</v>
          </cell>
          <cell r="N1304" t="str">
            <v>UPCOUNTRY</v>
          </cell>
        </row>
        <row r="1305">
          <cell r="B1305" t="str">
            <v>ET342</v>
          </cell>
          <cell r="C1305" t="str">
            <v>ANYAMA_RENFO8</v>
          </cell>
          <cell r="D1305" t="str">
            <v>-4.024987</v>
          </cell>
          <cell r="E1305" t="str">
            <v>5.46506</v>
          </cell>
          <cell r="F1305" t="str">
            <v>2G/3G/4G</v>
          </cell>
          <cell r="G1305" t="str">
            <v>ERICSSON</v>
          </cell>
          <cell r="H1305" t="str">
            <v>IHS</v>
          </cell>
          <cell r="I1305" t="str">
            <v>ANYAMA</v>
          </cell>
          <cell r="J1305" t="str">
            <v>ANYAMA</v>
          </cell>
          <cell r="K1305" t="str">
            <v>ABIDJAN</v>
          </cell>
          <cell r="L1305" t="str">
            <v>ABIDJAN</v>
          </cell>
          <cell r="M1305" t="str">
            <v>ABOBO</v>
          </cell>
          <cell r="N1305" t="str">
            <v>ABIDJAN</v>
          </cell>
        </row>
        <row r="1306">
          <cell r="B1306" t="str">
            <v>ET343</v>
          </cell>
          <cell r="C1306" t="str">
            <v>ABOBO_GARE_SGBCI</v>
          </cell>
          <cell r="D1306" t="str">
            <v>-4.017435</v>
          </cell>
          <cell r="E1306" t="str">
            <v>5.418134</v>
          </cell>
          <cell r="F1306" t="str">
            <v>2G/3G/4G</v>
          </cell>
          <cell r="G1306" t="str">
            <v>ERICSSON</v>
          </cell>
          <cell r="H1306" t="str">
            <v>IHS</v>
          </cell>
          <cell r="I1306" t="str">
            <v>ABOBO</v>
          </cell>
          <cell r="J1306" t="str">
            <v>ABIDJAN</v>
          </cell>
          <cell r="K1306" t="str">
            <v>ABIDJAN</v>
          </cell>
          <cell r="L1306" t="str">
            <v>ABIDJAN</v>
          </cell>
          <cell r="M1306" t="str">
            <v>ABOBO</v>
          </cell>
          <cell r="N1306" t="str">
            <v>ABIDJAN</v>
          </cell>
        </row>
        <row r="1307">
          <cell r="B1307" t="str">
            <v>ET344</v>
          </cell>
          <cell r="C1307" t="str">
            <v>ASSINIE_CANAL</v>
          </cell>
          <cell r="D1307" t="str">
            <v>-3.30763</v>
          </cell>
          <cell r="E1307" t="str">
            <v>5.14396</v>
          </cell>
          <cell r="F1307" t="str">
            <v>2G/3G/4G</v>
          </cell>
          <cell r="G1307" t="str">
            <v>HUAWEI</v>
          </cell>
          <cell r="H1307" t="str">
            <v>MOOV</v>
          </cell>
          <cell r="I1307" t="str">
            <v>ASSINIE</v>
          </cell>
          <cell r="J1307" t="str">
            <v>ASSINIE-MAFIA</v>
          </cell>
          <cell r="K1307" t="str">
            <v>ADIAKE</v>
          </cell>
          <cell r="L1307" t="str">
            <v>SUD-COMOE</v>
          </cell>
          <cell r="M1307" t="str">
            <v>MARCORY</v>
          </cell>
          <cell r="N1307" t="str">
            <v>UPCOUNTRY</v>
          </cell>
        </row>
        <row r="1308">
          <cell r="B1308" t="str">
            <v>ET345</v>
          </cell>
          <cell r="C1308" t="str">
            <v>KOR_QUARTIER14</v>
          </cell>
          <cell r="D1308" t="str">
            <v>-5.628056</v>
          </cell>
          <cell r="E1308" t="str">
            <v>9.445556</v>
          </cell>
          <cell r="F1308" t="str">
            <v>2G/3G/4G</v>
          </cell>
          <cell r="G1308" t="str">
            <v>HUAWEI</v>
          </cell>
          <cell r="H1308" t="str">
            <v>MOOV</v>
          </cell>
          <cell r="I1308" t="str">
            <v>KORHOGO</v>
          </cell>
          <cell r="J1308" t="str">
            <v>KORHOGO</v>
          </cell>
          <cell r="K1308" t="str">
            <v>KORHOGO</v>
          </cell>
          <cell r="L1308" t="str">
            <v>PORO</v>
          </cell>
          <cell r="M1308" t="str">
            <v>KORHOGO</v>
          </cell>
          <cell r="N1308" t="str">
            <v>UPCOUNTRY</v>
          </cell>
        </row>
        <row r="1309">
          <cell r="B1309" t="str">
            <v>ET346</v>
          </cell>
          <cell r="C1309" t="str">
            <v>BASSAM_COCOTERAIE</v>
          </cell>
          <cell r="D1309" t="str">
            <v>-3.775192</v>
          </cell>
          <cell r="E1309" t="str">
            <v>5.214664</v>
          </cell>
          <cell r="F1309" t="str">
            <v>2G/3G/4G</v>
          </cell>
          <cell r="G1309" t="str">
            <v>HUAWEI</v>
          </cell>
          <cell r="H1309" t="str">
            <v>MOOV</v>
          </cell>
          <cell r="I1309" t="str">
            <v>GRAND-BASSAM</v>
          </cell>
          <cell r="J1309" t="str">
            <v>GRAND-BASSAM</v>
          </cell>
          <cell r="K1309" t="str">
            <v>GRAND-BASSAM</v>
          </cell>
          <cell r="L1309" t="str">
            <v>SUD-COMOE</v>
          </cell>
          <cell r="M1309" t="str">
            <v>MARCORY</v>
          </cell>
          <cell r="N1309" t="str">
            <v>UPCOUNTRY</v>
          </cell>
        </row>
        <row r="1310">
          <cell r="B1310" t="str">
            <v>ET347</v>
          </cell>
          <cell r="C1310" t="str">
            <v>VITIB</v>
          </cell>
          <cell r="D1310" t="str">
            <v>-3.749528</v>
          </cell>
          <cell r="E1310" t="str">
            <v>5.224487</v>
          </cell>
          <cell r="F1310" t="str">
            <v>2G/3G/4G</v>
          </cell>
          <cell r="G1310" t="str">
            <v>HUAWEI</v>
          </cell>
          <cell r="H1310" t="str">
            <v>MOOV</v>
          </cell>
          <cell r="I1310" t="str">
            <v>GRAND-BASSAM</v>
          </cell>
          <cell r="J1310" t="str">
            <v>GRAND-BASSAM</v>
          </cell>
          <cell r="K1310" t="str">
            <v>GRAND-BASSAM</v>
          </cell>
          <cell r="L1310" t="str">
            <v>SUD-COMOE</v>
          </cell>
          <cell r="M1310" t="str">
            <v>MARCORY</v>
          </cell>
          <cell r="N1310" t="str">
            <v>UPCOUNTRY</v>
          </cell>
        </row>
        <row r="1311">
          <cell r="B1311" t="str">
            <v>ET348</v>
          </cell>
          <cell r="C1311" t="str">
            <v>ABOBO_DJIBI_VILLAGE</v>
          </cell>
          <cell r="D1311" t="str">
            <v>-3.974972</v>
          </cell>
          <cell r="E1311" t="str">
            <v>5.454944</v>
          </cell>
          <cell r="F1311" t="str">
            <v>2G/3G/4G</v>
          </cell>
          <cell r="G1311" t="str">
            <v>ERICSSON</v>
          </cell>
          <cell r="H1311" t="str">
            <v>IHS</v>
          </cell>
          <cell r="I1311" t="str">
            <v>ABOBO</v>
          </cell>
          <cell r="J1311" t="str">
            <v>ABIDJAN</v>
          </cell>
          <cell r="K1311" t="str">
            <v>ABIDJAN</v>
          </cell>
          <cell r="L1311" t="str">
            <v>ABIDJAN</v>
          </cell>
          <cell r="M1311" t="str">
            <v>ABOBO</v>
          </cell>
          <cell r="N1311" t="str">
            <v>ABIDJAN</v>
          </cell>
        </row>
        <row r="1312">
          <cell r="B1312" t="str">
            <v>ET349</v>
          </cell>
          <cell r="C1312" t="str">
            <v>BONDOUKOU_TP</v>
          </cell>
          <cell r="D1312" t="str">
            <v>-2.791714</v>
          </cell>
          <cell r="E1312" t="str">
            <v>8.045611</v>
          </cell>
          <cell r="F1312" t="str">
            <v>2G/3G/4G</v>
          </cell>
          <cell r="G1312" t="str">
            <v>ERICSSON</v>
          </cell>
          <cell r="H1312" t="str">
            <v>MOOV</v>
          </cell>
          <cell r="I1312" t="str">
            <v>BONDOUKOU</v>
          </cell>
          <cell r="J1312" t="str">
            <v>BONDOUKOU</v>
          </cell>
          <cell r="K1312" t="str">
            <v>BONDOUKOU</v>
          </cell>
          <cell r="L1312" t="str">
            <v>GONTOUGO</v>
          </cell>
          <cell r="M1312" t="str">
            <v>ABENGOUROU</v>
          </cell>
          <cell r="N1312" t="str">
            <v>UPCOUNTRY</v>
          </cell>
        </row>
        <row r="1313">
          <cell r="B1313" t="str">
            <v>ET350</v>
          </cell>
          <cell r="C1313" t="str">
            <v>BOUAFLE_HERE</v>
          </cell>
          <cell r="D1313" t="str">
            <v>-5.740401</v>
          </cell>
          <cell r="E1313" t="str">
            <v>6.994895</v>
          </cell>
          <cell r="F1313" t="str">
            <v>2G/3G/4G</v>
          </cell>
          <cell r="G1313" t="str">
            <v>HUAWEI</v>
          </cell>
          <cell r="H1313" t="str">
            <v>MOOV</v>
          </cell>
          <cell r="I1313" t="str">
            <v>BOUAFLE</v>
          </cell>
          <cell r="J1313" t="str">
            <v>BOUAFLE</v>
          </cell>
          <cell r="K1313" t="str">
            <v>BOUAFLE</v>
          </cell>
          <cell r="L1313" t="str">
            <v>MARAHOUE</v>
          </cell>
          <cell r="M1313" t="str">
            <v>YAMOUSSOUKRO</v>
          </cell>
          <cell r="N1313" t="str">
            <v>UPCOUNTRY</v>
          </cell>
        </row>
        <row r="1314">
          <cell r="B1314" t="str">
            <v>ET351</v>
          </cell>
          <cell r="C1314" t="str">
            <v>BKE_PRESIDENCE</v>
          </cell>
          <cell r="D1314" t="str">
            <v>-5.033186°</v>
          </cell>
          <cell r="E1314" t="str">
            <v>7.666572°</v>
          </cell>
          <cell r="F1314" t="str">
            <v>2G/3G/4G</v>
          </cell>
          <cell r="G1314" t="str">
            <v>HUAWEI</v>
          </cell>
          <cell r="H1314" t="str">
            <v>MOOV</v>
          </cell>
          <cell r="I1314" t="str">
            <v>BOUAKE</v>
          </cell>
          <cell r="J1314" t="str">
            <v>BOUAKE</v>
          </cell>
          <cell r="K1314" t="str">
            <v>BOUAKE</v>
          </cell>
          <cell r="L1314" t="str">
            <v>GBEKE</v>
          </cell>
          <cell r="M1314" t="str">
            <v>BOUAKE</v>
          </cell>
          <cell r="N1314" t="str">
            <v>UPCOUNTRY</v>
          </cell>
        </row>
        <row r="1315">
          <cell r="B1315" t="str">
            <v>ET352</v>
          </cell>
          <cell r="C1315" t="str">
            <v>BROUKRO3</v>
          </cell>
          <cell r="D1315" t="str">
            <v>-5.0581971</v>
          </cell>
          <cell r="E1315" t="str">
            <v>7.6664378</v>
          </cell>
          <cell r="F1315" t="str">
            <v>2G/3G/4G</v>
          </cell>
          <cell r="G1315" t="str">
            <v>HUAWEI</v>
          </cell>
          <cell r="H1315" t="str">
            <v>MOOV</v>
          </cell>
          <cell r="I1315" t="str">
            <v>BOUAKE</v>
          </cell>
          <cell r="J1315" t="str">
            <v>BOUAKE</v>
          </cell>
          <cell r="K1315" t="str">
            <v>BOUAKE</v>
          </cell>
          <cell r="L1315" t="str">
            <v>GBEKE</v>
          </cell>
          <cell r="M1315" t="str">
            <v>BOUAKE</v>
          </cell>
          <cell r="N1315" t="str">
            <v>UPCOUNTRY</v>
          </cell>
        </row>
        <row r="1316">
          <cell r="B1316" t="str">
            <v>ET353</v>
          </cell>
          <cell r="C1316" t="str">
            <v>BOUNDIALI_BELE</v>
          </cell>
          <cell r="D1316" t="str">
            <v>-6.478124</v>
          </cell>
          <cell r="E1316" t="str">
            <v>9.538283</v>
          </cell>
          <cell r="F1316" t="str">
            <v>2G/3G/4G</v>
          </cell>
          <cell r="G1316" t="str">
            <v>HUAWEI</v>
          </cell>
          <cell r="H1316" t="str">
            <v>MOOV</v>
          </cell>
          <cell r="I1316" t="str">
            <v>BOUNDIALI</v>
          </cell>
          <cell r="J1316" t="str">
            <v>BOUNDIALI</v>
          </cell>
          <cell r="K1316" t="str">
            <v>BOUNDIALI</v>
          </cell>
          <cell r="L1316" t="str">
            <v>BAGOUE</v>
          </cell>
          <cell r="M1316" t="str">
            <v>KORHOGO</v>
          </cell>
          <cell r="N1316" t="str">
            <v>UPCOUNTRY</v>
          </cell>
        </row>
        <row r="1317">
          <cell r="B1317" t="str">
            <v>ET354</v>
          </cell>
          <cell r="C1317" t="str">
            <v>BUYO_RESIDENTIEL</v>
          </cell>
          <cell r="D1317" t="str">
            <v>-7.013511°</v>
          </cell>
          <cell r="E1317" t="str">
            <v>6.245484°</v>
          </cell>
          <cell r="F1317" t="str">
            <v>2G/3G/4G</v>
          </cell>
          <cell r="G1317" t="str">
            <v>HUAWEI</v>
          </cell>
          <cell r="H1317" t="str">
            <v>MOOV</v>
          </cell>
          <cell r="I1317" t="str">
            <v>BUYO</v>
          </cell>
          <cell r="J1317" t="str">
            <v>BUYO</v>
          </cell>
          <cell r="K1317" t="str">
            <v>BUYO</v>
          </cell>
          <cell r="L1317" t="str">
            <v>NAWA</v>
          </cell>
          <cell r="M1317" t="str">
            <v>SOUBRE</v>
          </cell>
          <cell r="N1317" t="str">
            <v>UPCOUNTRY</v>
          </cell>
        </row>
        <row r="1318">
          <cell r="B1318" t="str">
            <v>ET355</v>
          </cell>
          <cell r="C1318" t="str">
            <v>RODE</v>
          </cell>
          <cell r="D1318" t="str">
            <v>-4.37254</v>
          </cell>
          <cell r="E1318" t="str">
            <v>5.33713</v>
          </cell>
          <cell r="F1318" t="str">
            <v>2G/3G/4G</v>
          </cell>
          <cell r="G1318" t="str">
            <v>ERICSSON</v>
          </cell>
          <cell r="H1318" t="str">
            <v>MOOV</v>
          </cell>
          <cell r="I1318" t="str">
            <v>DABOU</v>
          </cell>
          <cell r="J1318" t="str">
            <v>DABOU</v>
          </cell>
          <cell r="K1318" t="str">
            <v>DABOU</v>
          </cell>
          <cell r="L1318" t="str">
            <v>GRANDS-PONTS</v>
          </cell>
          <cell r="M1318" t="str">
            <v>YOPOUGON FICGAYO</v>
          </cell>
          <cell r="N1318" t="str">
            <v>UPCOUNTRY</v>
          </cell>
        </row>
        <row r="1319">
          <cell r="B1319" t="str">
            <v>ET356</v>
          </cell>
          <cell r="C1319" t="str">
            <v>DABOU_CSM</v>
          </cell>
          <cell r="D1319" t="str">
            <v>-4.38706</v>
          </cell>
          <cell r="E1319" t="str">
            <v>5.32548</v>
          </cell>
          <cell r="F1319" t="str">
            <v>2G/3G/4G</v>
          </cell>
          <cell r="G1319" t="str">
            <v>ERICSSON</v>
          </cell>
          <cell r="H1319" t="str">
            <v>MOOV</v>
          </cell>
          <cell r="I1319" t="str">
            <v>DABOU</v>
          </cell>
          <cell r="J1319" t="str">
            <v>DABOU</v>
          </cell>
          <cell r="K1319" t="str">
            <v>DABOU</v>
          </cell>
          <cell r="L1319" t="str">
            <v>GRANDS-PONTS</v>
          </cell>
          <cell r="M1319" t="str">
            <v>YOPOUGON FICGAYO</v>
          </cell>
          <cell r="N1319" t="str">
            <v>UPCOUNTRY</v>
          </cell>
        </row>
        <row r="1320">
          <cell r="B1320" t="str">
            <v>ET357</v>
          </cell>
          <cell r="C1320" t="str">
            <v>GAGOU2</v>
          </cell>
          <cell r="D1320" t="str">
            <v>-3.96207</v>
          </cell>
          <cell r="E1320" t="str">
            <v>7.06642</v>
          </cell>
          <cell r="F1320" t="str">
            <v>2G/3G/4G</v>
          </cell>
          <cell r="G1320" t="str">
            <v>HUAWEI</v>
          </cell>
          <cell r="H1320" t="str">
            <v>MOOV</v>
          </cell>
          <cell r="I1320" t="str">
            <v>DAOUKRO</v>
          </cell>
          <cell r="J1320" t="str">
            <v>DAOUKRO</v>
          </cell>
          <cell r="K1320" t="str">
            <v>DAOUKRO</v>
          </cell>
          <cell r="L1320" t="str">
            <v>IFFOU</v>
          </cell>
          <cell r="M1320" t="str">
            <v>ABENGOUROU</v>
          </cell>
          <cell r="N1320" t="str">
            <v>UPCOUNTRY</v>
          </cell>
        </row>
        <row r="1321">
          <cell r="B1321" t="str">
            <v>ET358</v>
          </cell>
          <cell r="C1321" t="str">
            <v>ZAKAREKO</v>
          </cell>
          <cell r="D1321" t="str">
            <v>-5.58723</v>
          </cell>
          <cell r="E1321" t="str">
            <v>5.12025</v>
          </cell>
          <cell r="F1321" t="str">
            <v>2G/3G/4G</v>
          </cell>
          <cell r="G1321" t="str">
            <v>ERICSSON</v>
          </cell>
          <cell r="H1321" t="str">
            <v>MOOV</v>
          </cell>
          <cell r="I1321" t="str">
            <v>ZAKAREKO</v>
          </cell>
          <cell r="J1321" t="str">
            <v>FRESCO</v>
          </cell>
          <cell r="K1321" t="str">
            <v>GBOKLE</v>
          </cell>
          <cell r="L1321" t="str">
            <v>GBOKLE</v>
          </cell>
          <cell r="M1321" t="str">
            <v>SAN-PEDRO</v>
          </cell>
          <cell r="N1321" t="str">
            <v>UPCOUNTRY</v>
          </cell>
        </row>
        <row r="1322">
          <cell r="B1322" t="str">
            <v>ET359</v>
          </cell>
          <cell r="C1322" t="str">
            <v>KATIOLA_GARRAGE</v>
          </cell>
          <cell r="D1322" t="str">
            <v>-5.0993667</v>
          </cell>
          <cell r="E1322" t="str">
            <v>8.1345054</v>
          </cell>
          <cell r="F1322" t="str">
            <v>2G/3G/4G</v>
          </cell>
          <cell r="G1322" t="str">
            <v>HUAWEI</v>
          </cell>
          <cell r="H1322" t="str">
            <v>MOOV</v>
          </cell>
          <cell r="I1322" t="str">
            <v>KATIOLA</v>
          </cell>
          <cell r="J1322" t="str">
            <v>KATIOLA</v>
          </cell>
          <cell r="K1322" t="str">
            <v>KATIOLA</v>
          </cell>
          <cell r="L1322" t="str">
            <v>HAMBOL</v>
          </cell>
          <cell r="M1322" t="str">
            <v>BOUAKE</v>
          </cell>
          <cell r="N1322" t="str">
            <v>UPCOUNTRY</v>
          </cell>
        </row>
        <row r="1323">
          <cell r="B1323" t="str">
            <v>ET360</v>
          </cell>
          <cell r="C1323" t="str">
            <v>KOR_TEGUERE</v>
          </cell>
          <cell r="D1323" t="str">
            <v>-5.64128</v>
          </cell>
          <cell r="E1323" t="str">
            <v>9.4432</v>
          </cell>
          <cell r="F1323" t="str">
            <v>2G/3G/4G</v>
          </cell>
          <cell r="G1323" t="str">
            <v>HUAWEI</v>
          </cell>
          <cell r="H1323" t="str">
            <v>MOOV</v>
          </cell>
          <cell r="I1323" t="str">
            <v>KORHOGO</v>
          </cell>
          <cell r="J1323" t="str">
            <v>KORHOGO</v>
          </cell>
          <cell r="K1323" t="str">
            <v>KORHOGO</v>
          </cell>
          <cell r="L1323" t="str">
            <v>PORO</v>
          </cell>
          <cell r="M1323" t="str">
            <v>KORHOGO</v>
          </cell>
          <cell r="N1323" t="str">
            <v>UPCOUNTRY</v>
          </cell>
        </row>
        <row r="1324">
          <cell r="B1324" t="str">
            <v>ET361</v>
          </cell>
          <cell r="C1324" t="str">
            <v>OUARANIERE</v>
          </cell>
          <cell r="D1324" t="str">
            <v>-5.669283</v>
          </cell>
          <cell r="E1324" t="str">
            <v>9.42522</v>
          </cell>
          <cell r="F1324" t="str">
            <v>2G/3G/4G</v>
          </cell>
          <cell r="G1324" t="str">
            <v>HUAWEI</v>
          </cell>
          <cell r="H1324" t="str">
            <v>MOOV</v>
          </cell>
          <cell r="I1324" t="str">
            <v>OUARANIERE</v>
          </cell>
          <cell r="J1324" t="str">
            <v>KORHOGO</v>
          </cell>
          <cell r="K1324" t="str">
            <v>KORHOGO</v>
          </cell>
          <cell r="L1324" t="str">
            <v>PORO</v>
          </cell>
          <cell r="M1324" t="str">
            <v>KORHOGO</v>
          </cell>
          <cell r="N1324" t="str">
            <v>UPCOUNTRY</v>
          </cell>
        </row>
        <row r="1325">
          <cell r="B1325" t="str">
            <v>ET362</v>
          </cell>
          <cell r="C1325" t="str">
            <v>KOR_NATIO</v>
          </cell>
          <cell r="D1325" t="str">
            <v>-5.59628</v>
          </cell>
          <cell r="E1325" t="str">
            <v>9.47945</v>
          </cell>
          <cell r="F1325" t="str">
            <v>2G/3G/4G</v>
          </cell>
          <cell r="G1325" t="str">
            <v>HUAWEI</v>
          </cell>
          <cell r="H1325" t="str">
            <v>MOOV</v>
          </cell>
          <cell r="I1325" t="str">
            <v>KORHOGO</v>
          </cell>
          <cell r="J1325" t="str">
            <v>KORHOGO</v>
          </cell>
          <cell r="K1325" t="str">
            <v>KORHOGO</v>
          </cell>
          <cell r="L1325" t="str">
            <v>PORO</v>
          </cell>
          <cell r="M1325" t="str">
            <v>KORHOGO</v>
          </cell>
          <cell r="N1325" t="str">
            <v>UPCOUNTRY</v>
          </cell>
        </row>
        <row r="1326">
          <cell r="B1326" t="str">
            <v>ET363</v>
          </cell>
          <cell r="C1326" t="str">
            <v>DOMOUROU</v>
          </cell>
          <cell r="D1326" t="str">
            <v>-7.55947</v>
          </cell>
          <cell r="E1326" t="str">
            <v>7.41031</v>
          </cell>
          <cell r="F1326" t="str">
            <v>2G/3G/4G</v>
          </cell>
          <cell r="G1326" t="str">
            <v>HUAWEI</v>
          </cell>
          <cell r="H1326" t="str">
            <v>MOOV</v>
          </cell>
          <cell r="I1326" t="str">
            <v>MAN</v>
          </cell>
          <cell r="J1326" t="str">
            <v>MAN</v>
          </cell>
          <cell r="K1326" t="str">
            <v>MAN</v>
          </cell>
          <cell r="L1326" t="str">
            <v>TONKPI</v>
          </cell>
          <cell r="M1326" t="str">
            <v>MAN</v>
          </cell>
          <cell r="N1326" t="str">
            <v>UPCOUNTRY</v>
          </cell>
        </row>
        <row r="1327">
          <cell r="B1327" t="str">
            <v>ET364</v>
          </cell>
          <cell r="C1327" t="str">
            <v>MAN_KENEDY</v>
          </cell>
          <cell r="D1327" t="str">
            <v>-7.54912</v>
          </cell>
          <cell r="E1327" t="str">
            <v>7.41969</v>
          </cell>
          <cell r="F1327" t="str">
            <v>2G/3G/4G</v>
          </cell>
          <cell r="G1327" t="str">
            <v>HUAWEI</v>
          </cell>
          <cell r="H1327" t="str">
            <v>MOOV</v>
          </cell>
          <cell r="I1327" t="str">
            <v>MAN</v>
          </cell>
          <cell r="J1327" t="str">
            <v>MAN</v>
          </cell>
          <cell r="K1327" t="str">
            <v>MAN</v>
          </cell>
          <cell r="L1327" t="str">
            <v>TONKPI</v>
          </cell>
          <cell r="M1327" t="str">
            <v>MAN</v>
          </cell>
          <cell r="N1327" t="str">
            <v>UPCOUNTRY</v>
          </cell>
        </row>
        <row r="1328">
          <cell r="B1328" t="str">
            <v>ET365</v>
          </cell>
          <cell r="C1328" t="str">
            <v>ADJAME_NADI</v>
          </cell>
          <cell r="D1328" t="str">
            <v>-4.036608</v>
          </cell>
          <cell r="E1328" t="str">
            <v>5.347758</v>
          </cell>
          <cell r="F1328" t="str">
            <v>2G/3G/4G</v>
          </cell>
          <cell r="G1328" t="str">
            <v>ERICSSON</v>
          </cell>
          <cell r="H1328" t="str">
            <v>IHS</v>
          </cell>
          <cell r="I1328" t="str">
            <v>ATTECOUBE</v>
          </cell>
          <cell r="J1328" t="str">
            <v>ABIDJAN</v>
          </cell>
          <cell r="K1328" t="str">
            <v>ABIDJAN</v>
          </cell>
          <cell r="L1328" t="str">
            <v>ABIDJAN</v>
          </cell>
          <cell r="M1328" t="str">
            <v>PLATEAU</v>
          </cell>
          <cell r="N1328" t="str">
            <v>ABIDJAN</v>
          </cell>
        </row>
        <row r="1329">
          <cell r="B1329" t="str">
            <v>ET366</v>
          </cell>
          <cell r="C1329" t="str">
            <v>PORT_SPEDRO</v>
          </cell>
          <cell r="D1329" t="str">
            <v>-6.621625</v>
          </cell>
          <cell r="E1329" t="str">
            <v>4.735978</v>
          </cell>
          <cell r="F1329" t="str">
            <v>2G/3G/4G</v>
          </cell>
          <cell r="G1329" t="str">
            <v>ERICSSON</v>
          </cell>
          <cell r="H1329" t="str">
            <v>IHS</v>
          </cell>
          <cell r="I1329" t="str">
            <v>SAN-PEDRO</v>
          </cell>
          <cell r="J1329" t="str">
            <v>SAN-PEDRO</v>
          </cell>
          <cell r="K1329" t="str">
            <v>SAN-PEDRO</v>
          </cell>
          <cell r="L1329" t="str">
            <v>SAN-PEDRO</v>
          </cell>
          <cell r="M1329" t="str">
            <v>SAN-PEDRO</v>
          </cell>
          <cell r="N1329" t="str">
            <v>UPCOUNTRY</v>
          </cell>
        </row>
        <row r="1330">
          <cell r="B1330" t="str">
            <v>ET367</v>
          </cell>
          <cell r="C1330" t="str">
            <v>BASSAM_CAFOP2</v>
          </cell>
          <cell r="D1330" t="str">
            <v>-3.754359</v>
          </cell>
          <cell r="E1330" t="str">
            <v>5.217982</v>
          </cell>
          <cell r="F1330" t="str">
            <v>2G/3G/4G</v>
          </cell>
          <cell r="G1330" t="str">
            <v>HUAWEI</v>
          </cell>
          <cell r="H1330" t="str">
            <v>MOOV</v>
          </cell>
          <cell r="I1330" t="str">
            <v>GRAND-BASSAM</v>
          </cell>
          <cell r="J1330" t="str">
            <v>GRAND-BASSAM</v>
          </cell>
          <cell r="K1330" t="str">
            <v>GRAND-BASSAM</v>
          </cell>
          <cell r="L1330" t="str">
            <v>SUD-COMOE</v>
          </cell>
          <cell r="M1330" t="str">
            <v>MARCORY</v>
          </cell>
          <cell r="N1330" t="str">
            <v>UPCOUNTRY</v>
          </cell>
        </row>
        <row r="1331">
          <cell r="B1331" t="str">
            <v>ET368</v>
          </cell>
          <cell r="C1331" t="str">
            <v>BADO17</v>
          </cell>
          <cell r="D1331" t="str">
            <v>-6.65603</v>
          </cell>
          <cell r="E1331" t="str">
            <v>4.77413</v>
          </cell>
          <cell r="F1331" t="str">
            <v>2G/3G/4G</v>
          </cell>
          <cell r="G1331" t="str">
            <v>ERICSSON</v>
          </cell>
          <cell r="H1331" t="str">
            <v>MOOV</v>
          </cell>
          <cell r="I1331" t="str">
            <v>SAN-PEDRO</v>
          </cell>
          <cell r="J1331" t="str">
            <v>SAN-PEDRO</v>
          </cell>
          <cell r="K1331" t="str">
            <v>SAN-PEDRO</v>
          </cell>
          <cell r="L1331" t="str">
            <v>SAN-PEDRO</v>
          </cell>
          <cell r="M1331" t="str">
            <v>SAN-PEDRO</v>
          </cell>
          <cell r="N1331" t="str">
            <v>UPCOUNTRY</v>
          </cell>
        </row>
        <row r="1332">
          <cell r="B1332" t="str">
            <v>ET369</v>
          </cell>
          <cell r="C1332" t="str">
            <v>SP_NITORO</v>
          </cell>
          <cell r="D1332" t="str">
            <v>-6.642194</v>
          </cell>
          <cell r="E1332" t="str">
            <v>4.740417</v>
          </cell>
          <cell r="F1332" t="str">
            <v>2G/3G/4G</v>
          </cell>
          <cell r="G1332" t="str">
            <v>ERICSSON</v>
          </cell>
          <cell r="H1332" t="str">
            <v>MOOV</v>
          </cell>
          <cell r="I1332" t="str">
            <v>SAN-PEDRO</v>
          </cell>
          <cell r="J1332" t="str">
            <v>SAN-PEDRO</v>
          </cell>
          <cell r="K1332" t="str">
            <v>SAN-PEDRO</v>
          </cell>
          <cell r="L1332" t="str">
            <v>SAN-PEDRO</v>
          </cell>
          <cell r="M1332" t="str">
            <v>SAN-PEDRO</v>
          </cell>
          <cell r="N1332" t="str">
            <v>UPCOUNTRY</v>
          </cell>
        </row>
        <row r="1333">
          <cell r="B1333" t="str">
            <v>ET370</v>
          </cell>
          <cell r="C1333" t="str">
            <v>SP_PLAGE</v>
          </cell>
          <cell r="D1333" t="str">
            <v>-6.629687</v>
          </cell>
          <cell r="E1333" t="str">
            <v>4.731321</v>
          </cell>
          <cell r="F1333" t="str">
            <v>2G/3G/4G</v>
          </cell>
          <cell r="G1333" t="str">
            <v>ERICSSON</v>
          </cell>
          <cell r="H1333" t="str">
            <v>IHS</v>
          </cell>
          <cell r="I1333" t="str">
            <v>SAN-PEDRO</v>
          </cell>
          <cell r="J1333" t="str">
            <v>SAN-PEDRO</v>
          </cell>
          <cell r="K1333" t="str">
            <v>SAN-PEDRO</v>
          </cell>
          <cell r="L1333" t="str">
            <v>SAN-PEDRO</v>
          </cell>
          <cell r="M1333" t="str">
            <v>SAN-PEDRO</v>
          </cell>
          <cell r="N1333" t="str">
            <v>UPCOUNTRY</v>
          </cell>
        </row>
        <row r="1334">
          <cell r="B1334" t="str">
            <v>ET371</v>
          </cell>
          <cell r="C1334" t="str">
            <v>SASSANDRA_PHARE</v>
          </cell>
          <cell r="D1334" t="str">
            <v>-6.08422</v>
          </cell>
          <cell r="E1334" t="str">
            <v>4.9464</v>
          </cell>
          <cell r="F1334" t="str">
            <v>2G/3G/4G</v>
          </cell>
          <cell r="G1334" t="str">
            <v>ERICSSON</v>
          </cell>
          <cell r="H1334" t="str">
            <v>MOOV</v>
          </cell>
          <cell r="I1334" t="str">
            <v>SASSANDRA</v>
          </cell>
          <cell r="J1334" t="str">
            <v>SASSANDRA</v>
          </cell>
          <cell r="K1334" t="str">
            <v>SASSANDRA</v>
          </cell>
          <cell r="L1334" t="str">
            <v>GBOKLE</v>
          </cell>
          <cell r="M1334" t="str">
            <v>SAN-PEDRO</v>
          </cell>
          <cell r="N1334" t="str">
            <v>UPCOUNTRY</v>
          </cell>
        </row>
        <row r="1335">
          <cell r="B1335" t="str">
            <v>ET372</v>
          </cell>
          <cell r="C1335" t="str">
            <v>BECEDI</v>
          </cell>
          <cell r="D1335" t="str">
            <v>-4.577183</v>
          </cell>
          <cell r="E1335" t="str">
            <v>5.641431</v>
          </cell>
          <cell r="F1335" t="str">
            <v>2G/3G/4G</v>
          </cell>
          <cell r="G1335" t="str">
            <v>ERICSSON</v>
          </cell>
          <cell r="H1335" t="str">
            <v>MOOV</v>
          </cell>
          <cell r="I1335" t="str">
            <v>SIKENSI</v>
          </cell>
          <cell r="J1335" t="str">
            <v>SIKENSI</v>
          </cell>
          <cell r="K1335" t="str">
            <v>SIKENSI</v>
          </cell>
          <cell r="L1335" t="str">
            <v>AGNEBY-TIASSA</v>
          </cell>
          <cell r="M1335" t="str">
            <v>YOPOUGON SABLE</v>
          </cell>
          <cell r="N1335" t="str">
            <v>UPCOUNTRY</v>
          </cell>
        </row>
        <row r="1336">
          <cell r="B1336" t="str">
            <v>ET373</v>
          </cell>
          <cell r="C1336" t="str">
            <v>SOUBOUO</v>
          </cell>
          <cell r="D1336" t="str">
            <v>-6.6025</v>
          </cell>
          <cell r="E1336" t="str">
            <v>5.777111</v>
          </cell>
          <cell r="F1336" t="str">
            <v>2G/3G/4G</v>
          </cell>
          <cell r="G1336" t="str">
            <v>HUAWEI</v>
          </cell>
          <cell r="H1336" t="str">
            <v>MOOV</v>
          </cell>
          <cell r="I1336" t="str">
            <v>SOUBRE</v>
          </cell>
          <cell r="J1336" t="str">
            <v>SOUBRE</v>
          </cell>
          <cell r="K1336" t="str">
            <v>SOUBRE</v>
          </cell>
          <cell r="L1336" t="str">
            <v>NAWA</v>
          </cell>
          <cell r="M1336" t="str">
            <v>SOUBRE</v>
          </cell>
          <cell r="N1336" t="str">
            <v>UPCOUNTRY</v>
          </cell>
        </row>
        <row r="1337">
          <cell r="B1337" t="str">
            <v>ET374</v>
          </cell>
          <cell r="C1337" t="str">
            <v>SOUBRE_CHATEAU</v>
          </cell>
          <cell r="D1337" t="str">
            <v>-6.58664</v>
          </cell>
          <cell r="E1337" t="str">
            <v>5.79233</v>
          </cell>
          <cell r="F1337" t="str">
            <v>2G/3G/4G</v>
          </cell>
          <cell r="G1337" t="str">
            <v>HUAWEI</v>
          </cell>
          <cell r="H1337" t="str">
            <v>MOOV</v>
          </cell>
          <cell r="I1337" t="str">
            <v>SOUBRE</v>
          </cell>
          <cell r="J1337" t="str">
            <v>SOUBRE</v>
          </cell>
          <cell r="K1337" t="str">
            <v>SOUBRE</v>
          </cell>
          <cell r="L1337" t="str">
            <v>NAWA</v>
          </cell>
          <cell r="M1337" t="str">
            <v>SOUBRE</v>
          </cell>
          <cell r="N1337" t="str">
            <v>UPCOUNTRY</v>
          </cell>
        </row>
        <row r="1338">
          <cell r="B1338" t="str">
            <v>ET375</v>
          </cell>
          <cell r="C1338" t="str">
            <v>TIEBISSOU_PDCI</v>
          </cell>
          <cell r="D1338" t="str">
            <v>-5.223937</v>
          </cell>
          <cell r="E1338" t="str">
            <v>7.157179</v>
          </cell>
          <cell r="F1338" t="str">
            <v>2G/3G/4G</v>
          </cell>
          <cell r="G1338" t="str">
            <v>HUAWEI</v>
          </cell>
          <cell r="H1338" t="str">
            <v>MOOV</v>
          </cell>
          <cell r="I1338" t="str">
            <v>TIEBISSOU</v>
          </cell>
          <cell r="J1338" t="str">
            <v>TIEBISSOU</v>
          </cell>
          <cell r="K1338" t="str">
            <v>TIEBISSOU</v>
          </cell>
          <cell r="L1338" t="str">
            <v>BELIER</v>
          </cell>
          <cell r="M1338" t="str">
            <v>YAMOUSSOUKRO</v>
          </cell>
          <cell r="N1338" t="str">
            <v>UPCOUNTRY</v>
          </cell>
        </row>
        <row r="1339">
          <cell r="B1339" t="str">
            <v>ET376</v>
          </cell>
          <cell r="C1339" t="str">
            <v>DAFCI</v>
          </cell>
          <cell r="D1339" t="str">
            <v>-6.6811839</v>
          </cell>
          <cell r="E1339" t="str">
            <v>4.76230893</v>
          </cell>
          <cell r="F1339" t="str">
            <v>2G/3G/4G</v>
          </cell>
          <cell r="G1339" t="str">
            <v>ERICSSON</v>
          </cell>
          <cell r="H1339" t="str">
            <v>MOOV</v>
          </cell>
          <cell r="I1339" t="str">
            <v>SAN-PEDRO</v>
          </cell>
          <cell r="J1339" t="str">
            <v>SAN-PEDRO</v>
          </cell>
          <cell r="K1339" t="str">
            <v>SAN-PEDRO</v>
          </cell>
          <cell r="L1339" t="str">
            <v>SAN-PEDRO</v>
          </cell>
          <cell r="M1339" t="str">
            <v>SAN-PEDRO</v>
          </cell>
          <cell r="N1339" t="str">
            <v>UPCOUNTRY</v>
          </cell>
        </row>
        <row r="1340">
          <cell r="B1340" t="str">
            <v>ET377</v>
          </cell>
          <cell r="C1340" t="str">
            <v>MODESTE</v>
          </cell>
          <cell r="D1340" t="str">
            <v>-3.83703</v>
          </cell>
          <cell r="E1340" t="str">
            <v>5.231587</v>
          </cell>
          <cell r="F1340" t="str">
            <v>2G/3G/4G</v>
          </cell>
          <cell r="G1340" t="str">
            <v>HUAWEI</v>
          </cell>
          <cell r="H1340" t="str">
            <v>MOOV</v>
          </cell>
          <cell r="I1340" t="str">
            <v>GRAND-BASSAM</v>
          </cell>
          <cell r="J1340" t="str">
            <v>GRAND-BASSAM</v>
          </cell>
          <cell r="K1340" t="str">
            <v>GRAND-BASSAM</v>
          </cell>
          <cell r="L1340" t="str">
            <v>SUD-COMOE</v>
          </cell>
          <cell r="M1340" t="str">
            <v>MARCORY</v>
          </cell>
          <cell r="N1340" t="str">
            <v>UPCOUNTRY</v>
          </cell>
        </row>
        <row r="1341">
          <cell r="B1341" t="str">
            <v>ET378</v>
          </cell>
          <cell r="C1341" t="str">
            <v>YOP_SODEFOR_BESSIKOI</v>
          </cell>
          <cell r="D1341" t="str">
            <v>-4.10778171</v>
          </cell>
          <cell r="E1341" t="str">
            <v>5.37367841</v>
          </cell>
          <cell r="F1341" t="str">
            <v>2G/3G/4G</v>
          </cell>
          <cell r="G1341" t="str">
            <v>ERICSSON</v>
          </cell>
          <cell r="H1341" t="str">
            <v>MOOV</v>
          </cell>
          <cell r="I1341" t="str">
            <v>YOPOUGON</v>
          </cell>
          <cell r="J1341" t="str">
            <v>ABIDJAN</v>
          </cell>
          <cell r="K1341" t="str">
            <v>ABIDJAN</v>
          </cell>
          <cell r="L1341" t="str">
            <v>ABIDJAN</v>
          </cell>
          <cell r="M1341" t="str">
            <v>YOPOUGON SABLE</v>
          </cell>
          <cell r="N1341" t="str">
            <v>ABIDJAN</v>
          </cell>
        </row>
        <row r="1342">
          <cell r="B1342" t="str">
            <v>ET379</v>
          </cell>
          <cell r="C1342" t="str">
            <v>EL_SHANAN</v>
          </cell>
          <cell r="D1342" t="str">
            <v>-3.88796</v>
          </cell>
          <cell r="E1342" t="str">
            <v>5.254351</v>
          </cell>
          <cell r="F1342" t="str">
            <v>2G/3G/4G</v>
          </cell>
          <cell r="G1342" t="str">
            <v>HUAWEI</v>
          </cell>
          <cell r="H1342" t="str">
            <v>MOOV</v>
          </cell>
          <cell r="I1342" t="str">
            <v>PORT-BOUET</v>
          </cell>
          <cell r="J1342" t="str">
            <v>ABIDJAN</v>
          </cell>
          <cell r="K1342" t="str">
            <v>ABIDJAN</v>
          </cell>
          <cell r="L1342" t="str">
            <v>ABIDJAN</v>
          </cell>
          <cell r="M1342" t="str">
            <v>MARCORY</v>
          </cell>
          <cell r="N1342" t="str">
            <v>ABIDJAN</v>
          </cell>
        </row>
        <row r="1343">
          <cell r="B1343" t="str">
            <v>ET380</v>
          </cell>
          <cell r="C1343" t="str">
            <v>ADJOUFFOU_LYCEE</v>
          </cell>
          <cell r="D1343" t="str">
            <v>-3.89998</v>
          </cell>
          <cell r="E1343" t="str">
            <v>5.24797</v>
          </cell>
          <cell r="F1343" t="str">
            <v>2G/3G/4G</v>
          </cell>
          <cell r="G1343" t="str">
            <v>HUAWEI</v>
          </cell>
          <cell r="H1343" t="str">
            <v>MOOV</v>
          </cell>
          <cell r="I1343" t="str">
            <v>PORT-BOUET</v>
          </cell>
          <cell r="J1343" t="str">
            <v>ABIDJAN</v>
          </cell>
          <cell r="K1343" t="str">
            <v>ABIDJAN</v>
          </cell>
          <cell r="L1343" t="str">
            <v>ABIDJAN</v>
          </cell>
          <cell r="M1343" t="str">
            <v>MARCORY</v>
          </cell>
          <cell r="N1343" t="str">
            <v>ABIDJAN</v>
          </cell>
        </row>
        <row r="1344">
          <cell r="B1344" t="str">
            <v>ET381</v>
          </cell>
          <cell r="C1344" t="str">
            <v>CAFETOU</v>
          </cell>
          <cell r="D1344" t="str">
            <v>-3.49824</v>
          </cell>
          <cell r="E1344" t="str">
            <v>6.7145</v>
          </cell>
          <cell r="F1344" t="str">
            <v>2G/3G/4G</v>
          </cell>
          <cell r="G1344" t="str">
            <v>ERICSSON</v>
          </cell>
          <cell r="H1344" t="str">
            <v>MOOV</v>
          </cell>
          <cell r="I1344" t="str">
            <v>ABENGOUROU</v>
          </cell>
          <cell r="J1344" t="str">
            <v>ABENGOUROU</v>
          </cell>
          <cell r="K1344" t="str">
            <v>ABENGOUROU</v>
          </cell>
          <cell r="L1344" t="str">
            <v>INDENIE-DJUABLIN</v>
          </cell>
          <cell r="M1344" t="str">
            <v>ABENGOUROU</v>
          </cell>
          <cell r="N1344" t="str">
            <v>UPCOUNTRY</v>
          </cell>
        </row>
        <row r="1345">
          <cell r="B1345" t="str">
            <v>ET382</v>
          </cell>
          <cell r="C1345" t="str">
            <v>EPV_LEROC</v>
          </cell>
          <cell r="D1345" t="str">
            <v>-3.91654</v>
          </cell>
          <cell r="E1345" t="str">
            <v>5.257706</v>
          </cell>
          <cell r="F1345" t="str">
            <v>2G/3G/4G</v>
          </cell>
          <cell r="G1345" t="str">
            <v>HUAWEI</v>
          </cell>
          <cell r="H1345" t="str">
            <v>MOOV</v>
          </cell>
          <cell r="I1345" t="str">
            <v>PORT-BOUET</v>
          </cell>
          <cell r="J1345" t="str">
            <v>ABIDJAN</v>
          </cell>
          <cell r="K1345" t="str">
            <v>ABIDJAN</v>
          </cell>
          <cell r="L1345" t="str">
            <v>ABIDJAN</v>
          </cell>
          <cell r="M1345" t="str">
            <v>MARCORY</v>
          </cell>
          <cell r="N1345" t="str">
            <v>ABIDJAN</v>
          </cell>
        </row>
        <row r="1346">
          <cell r="B1346" t="str">
            <v>ET383</v>
          </cell>
          <cell r="C1346" t="str">
            <v>PHARMACIE_WARF</v>
          </cell>
          <cell r="D1346" t="str">
            <v>-3.94394</v>
          </cell>
          <cell r="E1346" t="str">
            <v>5.24752</v>
          </cell>
          <cell r="F1346" t="str">
            <v>2G/3G/4G</v>
          </cell>
          <cell r="G1346" t="str">
            <v>HUAWEI</v>
          </cell>
          <cell r="H1346" t="str">
            <v>MOOV</v>
          </cell>
          <cell r="I1346" t="str">
            <v>PORT-BOUET</v>
          </cell>
          <cell r="J1346" t="str">
            <v>ABIDJAN</v>
          </cell>
          <cell r="K1346" t="str">
            <v>ABIDJAN</v>
          </cell>
          <cell r="L1346" t="str">
            <v>ABIDJAN</v>
          </cell>
          <cell r="M1346" t="str">
            <v>MARCORY</v>
          </cell>
          <cell r="N1346" t="str">
            <v>ABIDJAN</v>
          </cell>
        </row>
        <row r="1347">
          <cell r="B1347" t="str">
            <v>ET384</v>
          </cell>
          <cell r="C1347" t="str">
            <v>AERIA</v>
          </cell>
          <cell r="D1347" t="str">
            <v>-3.941578</v>
          </cell>
          <cell r="E1347" t="str">
            <v>5.26027</v>
          </cell>
          <cell r="F1347" t="str">
            <v>2G/3G/4G</v>
          </cell>
          <cell r="G1347" t="str">
            <v>HUAWEI</v>
          </cell>
          <cell r="H1347" t="str">
            <v>IHS</v>
          </cell>
          <cell r="I1347" t="str">
            <v>PORT-BOUET</v>
          </cell>
          <cell r="J1347" t="str">
            <v>ABIDJAN</v>
          </cell>
          <cell r="K1347" t="str">
            <v>ABIDJAN</v>
          </cell>
          <cell r="L1347" t="str">
            <v>ABIDJAN</v>
          </cell>
          <cell r="M1347" t="str">
            <v>MARCORY</v>
          </cell>
          <cell r="N1347" t="str">
            <v>ABIDJAN</v>
          </cell>
        </row>
        <row r="1348">
          <cell r="B1348" t="str">
            <v>ET385</v>
          </cell>
          <cell r="C1348" t="str">
            <v>VRIDI_CHAPELLE</v>
          </cell>
          <cell r="D1348" t="str">
            <v>-3.98621</v>
          </cell>
          <cell r="E1348" t="str">
            <v>5.26705</v>
          </cell>
          <cell r="F1348" t="str">
            <v>2G/3G/4G</v>
          </cell>
          <cell r="G1348" t="str">
            <v>ERICSSON</v>
          </cell>
          <cell r="H1348" t="str">
            <v>MOOV</v>
          </cell>
          <cell r="I1348" t="str">
            <v>TREICHVILLE</v>
          </cell>
          <cell r="J1348" t="str">
            <v>ABIDJAN</v>
          </cell>
          <cell r="K1348" t="str">
            <v>ABIDJAN</v>
          </cell>
          <cell r="L1348" t="str">
            <v>ABIDJAN</v>
          </cell>
          <cell r="M1348" t="str">
            <v>MARCORY</v>
          </cell>
          <cell r="N1348" t="str">
            <v>ABIDJAN</v>
          </cell>
        </row>
        <row r="1349">
          <cell r="B1349" t="str">
            <v>ET386</v>
          </cell>
          <cell r="C1349" t="str">
            <v>ABENG_HKB</v>
          </cell>
          <cell r="D1349" t="str">
            <v>-3.51166944</v>
          </cell>
          <cell r="E1349" t="str">
            <v>6.73252222</v>
          </cell>
          <cell r="F1349" t="str">
            <v>2G/3G/4G</v>
          </cell>
          <cell r="G1349" t="str">
            <v>ERICSSON</v>
          </cell>
          <cell r="H1349" t="str">
            <v>MOOV</v>
          </cell>
          <cell r="I1349" t="str">
            <v>ABENGOUROU</v>
          </cell>
          <cell r="J1349" t="str">
            <v>ABENGOUROU</v>
          </cell>
          <cell r="K1349" t="str">
            <v>ABENGOUROU</v>
          </cell>
          <cell r="L1349" t="str">
            <v>INDENIE-DJUABLIN</v>
          </cell>
          <cell r="M1349" t="str">
            <v>ABENGOUROU</v>
          </cell>
          <cell r="N1349" t="str">
            <v>UPCOUNTRY</v>
          </cell>
        </row>
        <row r="1350">
          <cell r="B1350" t="str">
            <v>ET387</v>
          </cell>
          <cell r="C1350" t="str">
            <v>VIVO_NRJ</v>
          </cell>
          <cell r="D1350" t="str">
            <v>-4.012323</v>
          </cell>
          <cell r="E1350" t="str">
            <v>5.265649</v>
          </cell>
          <cell r="F1350" t="str">
            <v>2G/3G/4G</v>
          </cell>
          <cell r="G1350" t="str">
            <v>ERICSSON</v>
          </cell>
          <cell r="H1350" t="str">
            <v>MOOV</v>
          </cell>
          <cell r="I1350" t="str">
            <v>TREICHVILLE</v>
          </cell>
          <cell r="J1350" t="str">
            <v>ABIDJAN</v>
          </cell>
          <cell r="K1350" t="str">
            <v>ABIDJAN</v>
          </cell>
          <cell r="L1350" t="str">
            <v>ABIDJAN</v>
          </cell>
          <cell r="M1350" t="str">
            <v>MARCORY</v>
          </cell>
          <cell r="N1350" t="str">
            <v>ABIDJAN</v>
          </cell>
        </row>
        <row r="1351">
          <cell r="B1351" t="str">
            <v>ET388</v>
          </cell>
          <cell r="C1351" t="str">
            <v>ARTCI_ANOUMABO</v>
          </cell>
          <cell r="D1351" t="str">
            <v>-3.974692</v>
          </cell>
          <cell r="E1351" t="str">
            <v>5.311428</v>
          </cell>
          <cell r="F1351" t="str">
            <v>2G/3G/4G/5G</v>
          </cell>
          <cell r="G1351" t="str">
            <v>ERICSSON</v>
          </cell>
          <cell r="H1351" t="str">
            <v>MOOV</v>
          </cell>
          <cell r="I1351" t="str">
            <v>MARCORY</v>
          </cell>
          <cell r="J1351" t="str">
            <v>ABIDJAN</v>
          </cell>
          <cell r="K1351" t="str">
            <v>ABIDJAN</v>
          </cell>
          <cell r="L1351" t="str">
            <v>ABIDJAN</v>
          </cell>
          <cell r="M1351" t="str">
            <v>MARCORY</v>
          </cell>
          <cell r="N1351" t="str">
            <v>ABIDJAN</v>
          </cell>
        </row>
        <row r="1352">
          <cell r="B1352" t="str">
            <v>ET389</v>
          </cell>
          <cell r="C1352" t="str">
            <v>Maroc_Antenne</v>
          </cell>
          <cell r="D1352" t="str">
            <v>-4.100267</v>
          </cell>
          <cell r="E1352" t="str">
            <v>5.340749</v>
          </cell>
          <cell r="F1352" t="str">
            <v>2G/3G/4G</v>
          </cell>
          <cell r="G1352" t="str">
            <v>ERICSSON</v>
          </cell>
          <cell r="H1352" t="str">
            <v>MOOV</v>
          </cell>
          <cell r="I1352" t="str">
            <v>YOPOUGON</v>
          </cell>
          <cell r="J1352" t="str">
            <v>ABIDJAN</v>
          </cell>
          <cell r="K1352" t="str">
            <v>ABIDJAN</v>
          </cell>
          <cell r="L1352" t="str">
            <v>ABIDJAN</v>
          </cell>
          <cell r="M1352" t="str">
            <v>YOPOUGON FICGAYO</v>
          </cell>
          <cell r="N1352" t="str">
            <v>ABIDJAN</v>
          </cell>
        </row>
        <row r="1353">
          <cell r="B1353" t="str">
            <v>ET390</v>
          </cell>
          <cell r="C1353" t="str">
            <v>KOUM_SOWEITO</v>
          </cell>
          <cell r="D1353" t="str">
            <v>-3.9501</v>
          </cell>
          <cell r="E1353" t="str">
            <v>5.2863</v>
          </cell>
          <cell r="F1353" t="str">
            <v>2G/3G/4G</v>
          </cell>
          <cell r="G1353" t="str">
            <v>ERICSSON</v>
          </cell>
          <cell r="H1353" t="str">
            <v>MOOV</v>
          </cell>
          <cell r="I1353" t="str">
            <v>KOUMASSI</v>
          </cell>
          <cell r="J1353" t="str">
            <v>ABIDJAN</v>
          </cell>
          <cell r="K1353" t="str">
            <v>ABIDJAN</v>
          </cell>
          <cell r="L1353" t="str">
            <v>ABIDJAN</v>
          </cell>
          <cell r="M1353" t="str">
            <v>MARCORY</v>
          </cell>
          <cell r="N1353" t="str">
            <v>ABIDJAN</v>
          </cell>
        </row>
        <row r="1354">
          <cell r="B1354" t="str">
            <v>ET391</v>
          </cell>
          <cell r="C1354" t="str">
            <v>ARRAH_Belle Ville</v>
          </cell>
          <cell r="D1354" t="str">
            <v>-3.970059</v>
          </cell>
          <cell r="E1354" t="str">
            <v>6.668216</v>
          </cell>
          <cell r="F1354" t="str">
            <v>2G/3G/4G</v>
          </cell>
          <cell r="G1354" t="str">
            <v>ERICSSON</v>
          </cell>
          <cell r="H1354" t="str">
            <v>MOOV</v>
          </cell>
          <cell r="I1354" t="str">
            <v>ARRAH</v>
          </cell>
          <cell r="J1354" t="str">
            <v>ARRAH</v>
          </cell>
          <cell r="K1354" t="str">
            <v>ARRAH</v>
          </cell>
          <cell r="L1354" t="str">
            <v>MORONOU</v>
          </cell>
          <cell r="M1354" t="str">
            <v>ABENGOUROU</v>
          </cell>
          <cell r="N1354" t="str">
            <v>UPCOUNTRY</v>
          </cell>
        </row>
        <row r="1355">
          <cell r="B1355" t="str">
            <v>ET392</v>
          </cell>
          <cell r="C1355" t="str">
            <v>ATTINGUIE_CAMP</v>
          </cell>
          <cell r="D1355" t="str">
            <v>-4.187834</v>
          </cell>
          <cell r="E1355" t="str">
            <v>5.471873</v>
          </cell>
          <cell r="F1355" t="str">
            <v>2G/3G/4G</v>
          </cell>
          <cell r="G1355" t="str">
            <v>ERICSSON</v>
          </cell>
          <cell r="H1355" t="str">
            <v>MOOV</v>
          </cell>
          <cell r="I1355" t="str">
            <v>ATTINGUIE</v>
          </cell>
          <cell r="J1355" t="str">
            <v>ANYAMA</v>
          </cell>
          <cell r="K1355" t="str">
            <v>ABIDJAN</v>
          </cell>
          <cell r="L1355" t="str">
            <v>ABIDJAN</v>
          </cell>
          <cell r="M1355" t="str">
            <v>YOPOUGON SABLE</v>
          </cell>
          <cell r="N1355" t="str">
            <v>ABIDJAN</v>
          </cell>
        </row>
        <row r="1356">
          <cell r="B1356" t="str">
            <v>ET393</v>
          </cell>
          <cell r="C1356" t="str">
            <v>KOUM_INCHALLAH</v>
          </cell>
          <cell r="D1356" t="str">
            <v>-3.961902</v>
          </cell>
          <cell r="E1356" t="str">
            <v>5.296755</v>
          </cell>
          <cell r="F1356" t="str">
            <v>2G/3G/4G</v>
          </cell>
          <cell r="G1356" t="str">
            <v>ERICSSON</v>
          </cell>
          <cell r="H1356" t="str">
            <v>MOOV</v>
          </cell>
          <cell r="I1356" t="str">
            <v>KOUMASSI</v>
          </cell>
          <cell r="J1356" t="str">
            <v>ABIDJAN</v>
          </cell>
          <cell r="K1356" t="str">
            <v>ABIDJAN</v>
          </cell>
          <cell r="L1356" t="str">
            <v>ABIDJAN</v>
          </cell>
          <cell r="M1356" t="str">
            <v>MARCORY</v>
          </cell>
          <cell r="N1356" t="str">
            <v>ABIDJAN</v>
          </cell>
        </row>
        <row r="1357">
          <cell r="B1357" t="str">
            <v>ET394</v>
          </cell>
          <cell r="C1357" t="str">
            <v>ABENG_AKOIKRO</v>
          </cell>
          <cell r="D1357" t="str">
            <v>-3.507624</v>
          </cell>
          <cell r="E1357" t="str">
            <v>6.760813</v>
          </cell>
          <cell r="F1357" t="str">
            <v>2G/3G/4G</v>
          </cell>
          <cell r="G1357" t="str">
            <v>ERICSSON</v>
          </cell>
          <cell r="H1357" t="str">
            <v>MOOV</v>
          </cell>
          <cell r="I1357" t="str">
            <v>ABENGOUROU</v>
          </cell>
          <cell r="J1357" t="str">
            <v>ABENGOUROU</v>
          </cell>
          <cell r="K1357" t="str">
            <v>ABENGOUROU</v>
          </cell>
          <cell r="L1357" t="str">
            <v>INDENIE-DJUABLIN</v>
          </cell>
          <cell r="M1357" t="str">
            <v>ABENGOUROU</v>
          </cell>
          <cell r="N1357" t="str">
            <v>UPCOUNTRY</v>
          </cell>
        </row>
        <row r="1358">
          <cell r="B1358" t="str">
            <v>ET395</v>
          </cell>
          <cell r="C1358" t="str">
            <v>KADIOULASSO</v>
          </cell>
          <cell r="D1358" t="str">
            <v>-2.79068888</v>
          </cell>
          <cell r="E1358" t="str">
            <v>8.0375472</v>
          </cell>
          <cell r="F1358" t="str">
            <v>2G/3G/4G</v>
          </cell>
          <cell r="G1358" t="str">
            <v>ERICSSON</v>
          </cell>
          <cell r="H1358" t="str">
            <v>MOOV</v>
          </cell>
          <cell r="I1358" t="str">
            <v>BONDOUKOU</v>
          </cell>
          <cell r="J1358" t="str">
            <v>BONDOUKOU</v>
          </cell>
          <cell r="K1358" t="str">
            <v>BONDOUKOU</v>
          </cell>
          <cell r="L1358" t="str">
            <v>GONTOUGO</v>
          </cell>
          <cell r="M1358" t="str">
            <v>ABENGOUROU</v>
          </cell>
          <cell r="N1358" t="str">
            <v>UPCOUNTRY</v>
          </cell>
        </row>
        <row r="1359">
          <cell r="B1359" t="str">
            <v>ET396</v>
          </cell>
          <cell r="C1359" t="str">
            <v>NDOTRE_ONUCI</v>
          </cell>
          <cell r="D1359" t="str">
            <v>-4.053449</v>
          </cell>
          <cell r="E1359" t="str">
            <v>5.425195</v>
          </cell>
          <cell r="F1359" t="str">
            <v>2G/3G/4G</v>
          </cell>
          <cell r="G1359" t="str">
            <v>ERICSSON</v>
          </cell>
          <cell r="H1359" t="str">
            <v>MOOV</v>
          </cell>
          <cell r="I1359" t="str">
            <v>ABOBO</v>
          </cell>
          <cell r="J1359" t="str">
            <v>ABIDJAN</v>
          </cell>
          <cell r="K1359" t="str">
            <v>ABIDJAN</v>
          </cell>
          <cell r="L1359" t="str">
            <v>ABIDJAN</v>
          </cell>
          <cell r="M1359" t="str">
            <v>ABOBO</v>
          </cell>
          <cell r="N1359" t="str">
            <v>ABIDJAN</v>
          </cell>
        </row>
        <row r="1360">
          <cell r="B1360" t="str">
            <v>ET049</v>
          </cell>
          <cell r="C1360" t="str">
            <v>NEW_ABATTA_POLIS</v>
          </cell>
          <cell r="D1360" t="str">
            <v>-3.924885</v>
          </cell>
          <cell r="E1360" t="str">
            <v>5.358966</v>
          </cell>
          <cell r="F1360" t="str">
            <v>2G/3G/4G</v>
          </cell>
          <cell r="G1360" t="str">
            <v>ERICSSON</v>
          </cell>
          <cell r="H1360" t="str">
            <v>MOOV</v>
          </cell>
          <cell r="I1360" t="str">
            <v>BINGERVILLE</v>
          </cell>
          <cell r="J1360" t="str">
            <v>BINGERVILLE</v>
          </cell>
          <cell r="K1360" t="str">
            <v>ABIDJAN</v>
          </cell>
          <cell r="L1360" t="str">
            <v>ABIDJAN</v>
          </cell>
          <cell r="M1360" t="str">
            <v>COCODY CENTRE</v>
          </cell>
          <cell r="N1360" t="str">
            <v>ABIDJAN</v>
          </cell>
        </row>
        <row r="1361">
          <cell r="B1361" t="str">
            <v>ET398</v>
          </cell>
          <cell r="C1361" t="str">
            <v>PISCINE_ETAT</v>
          </cell>
          <cell r="D1361" t="str">
            <v>-4.00206</v>
          </cell>
          <cell r="E1361" t="str">
            <v>5.30863</v>
          </cell>
          <cell r="F1361" t="str">
            <v>2G/3G/4G</v>
          </cell>
          <cell r="G1361" t="str">
            <v>ERICSSON</v>
          </cell>
          <cell r="H1361" t="str">
            <v>MOOV</v>
          </cell>
          <cell r="I1361" t="str">
            <v>TREICHVILLE</v>
          </cell>
          <cell r="J1361" t="str">
            <v>ABIDJAN</v>
          </cell>
          <cell r="K1361" t="str">
            <v>ABIDJAN</v>
          </cell>
          <cell r="L1361" t="str">
            <v>ABIDJAN</v>
          </cell>
          <cell r="M1361" t="str">
            <v>PLATEAU</v>
          </cell>
          <cell r="N1361" t="str">
            <v>ABIDJAN</v>
          </cell>
        </row>
        <row r="1362">
          <cell r="B1362" t="str">
            <v>ET399</v>
          </cell>
          <cell r="C1362" t="str">
            <v>ANGRE COLLEGE DJOROBITE</v>
          </cell>
          <cell r="D1362" t="str">
            <v>-3.955495</v>
          </cell>
          <cell r="E1362" t="str">
            <v>5.414495</v>
          </cell>
          <cell r="F1362" t="str">
            <v>2G/3G/4G</v>
          </cell>
          <cell r="G1362" t="str">
            <v>ERICSSON</v>
          </cell>
          <cell r="H1362" t="str">
            <v>MOOV</v>
          </cell>
          <cell r="I1362" t="str">
            <v>COCODY</v>
          </cell>
          <cell r="J1362" t="str">
            <v>ABIDJAN</v>
          </cell>
          <cell r="K1362" t="str">
            <v>ABIDJAN</v>
          </cell>
          <cell r="L1362" t="str">
            <v>ABIDJAN</v>
          </cell>
          <cell r="M1362" t="str">
            <v>COCODY LATRILLE</v>
          </cell>
          <cell r="N1362" t="str">
            <v>ABIDJAN</v>
          </cell>
        </row>
        <row r="1363">
          <cell r="B1363" t="str">
            <v>ET400</v>
          </cell>
          <cell r="C1363" t="str">
            <v>NUMBER_ONE</v>
          </cell>
          <cell r="D1363" t="str">
            <v>-4.088926</v>
          </cell>
          <cell r="E1363" t="str">
            <v>5.391631</v>
          </cell>
          <cell r="F1363" t="str">
            <v>2G/3G/4G</v>
          </cell>
          <cell r="G1363" t="str">
            <v>ERICSSON</v>
          </cell>
          <cell r="H1363" t="str">
            <v>MOOV</v>
          </cell>
          <cell r="I1363" t="str">
            <v>YOPOUGON</v>
          </cell>
          <cell r="J1363" t="str">
            <v>ABIDJAN</v>
          </cell>
          <cell r="K1363" t="str">
            <v>ABIDJAN</v>
          </cell>
          <cell r="L1363" t="str">
            <v>ABIDJAN</v>
          </cell>
          <cell r="M1363" t="str">
            <v>YOPOUGON SABLE</v>
          </cell>
          <cell r="N1363" t="str">
            <v>ABIDJAN</v>
          </cell>
        </row>
        <row r="1364">
          <cell r="B1364" t="str">
            <v>ET401</v>
          </cell>
          <cell r="C1364" t="str">
            <v>BLOCKOSS_ST_PIER</v>
          </cell>
          <cell r="D1364" t="str">
            <v>-3.99793</v>
          </cell>
          <cell r="E1364" t="str">
            <v>5.32552</v>
          </cell>
          <cell r="F1364" t="str">
            <v>2G/3G/4G</v>
          </cell>
          <cell r="G1364" t="str">
            <v>ERICSSON</v>
          </cell>
          <cell r="H1364" t="str">
            <v>MOOV</v>
          </cell>
          <cell r="I1364" t="str">
            <v>COCODY</v>
          </cell>
          <cell r="J1364" t="str">
            <v>ABIDJAN</v>
          </cell>
          <cell r="K1364" t="str">
            <v>ABIDJAN</v>
          </cell>
          <cell r="L1364" t="str">
            <v>ABIDJAN</v>
          </cell>
          <cell r="M1364" t="str">
            <v>COCODY CENTRE</v>
          </cell>
          <cell r="N1364" t="str">
            <v>ABIDJAN</v>
          </cell>
        </row>
        <row r="1365">
          <cell r="B1365" t="str">
            <v>ET402</v>
          </cell>
          <cell r="C1365" t="str">
            <v>ADJAME_UTB</v>
          </cell>
          <cell r="D1365" t="str">
            <v>-4.0215</v>
          </cell>
          <cell r="E1365" t="str">
            <v>5.351294</v>
          </cell>
          <cell r="F1365" t="str">
            <v>2G/3G/4G</v>
          </cell>
          <cell r="G1365" t="str">
            <v>ERICSSON</v>
          </cell>
          <cell r="H1365" t="str">
            <v>MOOV</v>
          </cell>
          <cell r="I1365" t="str">
            <v>ADJAME</v>
          </cell>
          <cell r="J1365" t="str">
            <v>ABIDJAN</v>
          </cell>
          <cell r="K1365" t="str">
            <v>ABIDJAN</v>
          </cell>
          <cell r="L1365" t="str">
            <v>ABIDJAN</v>
          </cell>
          <cell r="M1365" t="str">
            <v>PLATEAU</v>
          </cell>
          <cell r="N1365" t="str">
            <v>ABIDJAN</v>
          </cell>
        </row>
        <row r="1366">
          <cell r="B1366" t="str">
            <v>ET403</v>
          </cell>
          <cell r="C1366" t="str">
            <v>CITE_MBADON</v>
          </cell>
          <cell r="D1366" t="str">
            <v>-3.94077</v>
          </cell>
          <cell r="E1366" t="str">
            <v>5.34681</v>
          </cell>
          <cell r="F1366" t="str">
            <v>2G/3G/4G</v>
          </cell>
          <cell r="G1366" t="str">
            <v>ERICSSON</v>
          </cell>
          <cell r="H1366" t="str">
            <v>MOOV</v>
          </cell>
          <cell r="I1366" t="str">
            <v>COCODY</v>
          </cell>
          <cell r="J1366" t="str">
            <v>ABIDJAN</v>
          </cell>
          <cell r="K1366" t="str">
            <v>ABIDJAN</v>
          </cell>
          <cell r="L1366" t="str">
            <v>ABIDJAN</v>
          </cell>
          <cell r="M1366" t="str">
            <v>COCODY CENTRE</v>
          </cell>
          <cell r="N1366" t="str">
            <v>ABIDJAN</v>
          </cell>
        </row>
        <row r="1367">
          <cell r="B1367" t="str">
            <v>ET404</v>
          </cell>
          <cell r="C1367" t="str">
            <v>ABADJIN_KOUTE</v>
          </cell>
          <cell r="D1367" t="str">
            <v>-4.149499</v>
          </cell>
          <cell r="E1367" t="str">
            <v>5.309698</v>
          </cell>
          <cell r="F1367" t="str">
            <v>2G/3G/4G</v>
          </cell>
          <cell r="G1367" t="str">
            <v>ERICSSON</v>
          </cell>
          <cell r="H1367" t="str">
            <v>MOOV</v>
          </cell>
          <cell r="I1367" t="str">
            <v>ABADJIN-KOUTE</v>
          </cell>
          <cell r="J1367" t="str">
            <v>SONGON</v>
          </cell>
          <cell r="K1367" t="str">
            <v>ABIDJAN</v>
          </cell>
          <cell r="L1367" t="str">
            <v>ABIDJAN</v>
          </cell>
          <cell r="M1367" t="str">
            <v>YOPOUGON FICGAYO</v>
          </cell>
          <cell r="N1367" t="str">
            <v>ABIDJAN</v>
          </cell>
        </row>
        <row r="1368">
          <cell r="B1368" t="str">
            <v>ET405</v>
          </cell>
          <cell r="C1368" t="str">
            <v>BING_PRESBITERIENNE</v>
          </cell>
          <cell r="D1368" t="str">
            <v>-3.88232</v>
          </cell>
          <cell r="E1368" t="str">
            <v>5.349984</v>
          </cell>
          <cell r="F1368" t="str">
            <v>2G/3G/4G</v>
          </cell>
          <cell r="G1368" t="str">
            <v>ERICSSON</v>
          </cell>
          <cell r="H1368" t="str">
            <v>MOOV</v>
          </cell>
          <cell r="I1368" t="str">
            <v>BINGERVILLE</v>
          </cell>
          <cell r="J1368" t="str">
            <v>BINGERVILLE</v>
          </cell>
          <cell r="K1368" t="str">
            <v>ABIDJAN</v>
          </cell>
          <cell r="L1368" t="str">
            <v>ABIDJAN</v>
          </cell>
          <cell r="M1368" t="str">
            <v>COCODY LATRILLE</v>
          </cell>
          <cell r="N1368" t="str">
            <v>ABIDJAN</v>
          </cell>
        </row>
        <row r="1369">
          <cell r="B1369" t="str">
            <v>ET406</v>
          </cell>
          <cell r="C1369" t="str">
            <v>ABOBO_VERSANT</v>
          </cell>
          <cell r="D1369" t="str">
            <v>-4.00509</v>
          </cell>
          <cell r="E1369" t="str">
            <v>5.38643</v>
          </cell>
          <cell r="F1369" t="str">
            <v>2G/3G/4G</v>
          </cell>
          <cell r="G1369" t="str">
            <v>ERICSSON</v>
          </cell>
          <cell r="H1369" t="str">
            <v>MOOV</v>
          </cell>
          <cell r="I1369" t="str">
            <v>COCODY</v>
          </cell>
          <cell r="J1369" t="str">
            <v>ABIDJAN</v>
          </cell>
          <cell r="K1369" t="str">
            <v>ABIDJAN</v>
          </cell>
          <cell r="L1369" t="str">
            <v>ABIDJAN</v>
          </cell>
          <cell r="M1369" t="str">
            <v>COCODY LATRILLE</v>
          </cell>
          <cell r="N1369" t="str">
            <v>ABIDJAN</v>
          </cell>
        </row>
        <row r="1370">
          <cell r="B1370" t="str">
            <v>ET407</v>
          </cell>
          <cell r="C1370" t="str">
            <v>CITE_ZINSOU</v>
          </cell>
          <cell r="D1370" t="str">
            <v>-3.980946</v>
          </cell>
          <cell r="E1370" t="str">
            <v>5.384139</v>
          </cell>
          <cell r="F1370" t="str">
            <v>2G/3G/4G</v>
          </cell>
          <cell r="G1370" t="str">
            <v>ERICSSON</v>
          </cell>
          <cell r="H1370" t="str">
            <v>MOOV</v>
          </cell>
          <cell r="I1370" t="str">
            <v>COCODY</v>
          </cell>
          <cell r="J1370" t="str">
            <v>ABIDJAN</v>
          </cell>
          <cell r="K1370" t="str">
            <v>ABIDJAN</v>
          </cell>
          <cell r="L1370" t="str">
            <v>ABIDJAN</v>
          </cell>
          <cell r="M1370" t="str">
            <v>COCODY LATRILLE</v>
          </cell>
          <cell r="N1370" t="str">
            <v>ABIDJAN</v>
          </cell>
        </row>
        <row r="1371">
          <cell r="B1371" t="str">
            <v>ET408</v>
          </cell>
          <cell r="C1371" t="str">
            <v>ATTOBAN_ST_BERNARD</v>
          </cell>
          <cell r="D1371" t="str">
            <v>-3.978052</v>
          </cell>
          <cell r="E1371" t="str">
            <v>5.3676</v>
          </cell>
          <cell r="F1371" t="str">
            <v>2G/3G/4G</v>
          </cell>
          <cell r="G1371" t="str">
            <v>ERICSSON</v>
          </cell>
          <cell r="H1371" t="str">
            <v>MOOV</v>
          </cell>
          <cell r="I1371" t="str">
            <v>COCODY</v>
          </cell>
          <cell r="J1371" t="str">
            <v>ABIDJAN</v>
          </cell>
          <cell r="K1371" t="str">
            <v>ABIDJAN</v>
          </cell>
          <cell r="L1371" t="str">
            <v>ABIDJAN</v>
          </cell>
          <cell r="M1371" t="str">
            <v>COCODY LATRILLE</v>
          </cell>
          <cell r="N1371" t="str">
            <v>ABIDJAN</v>
          </cell>
        </row>
        <row r="1372">
          <cell r="B1372" t="str">
            <v>ET409</v>
          </cell>
          <cell r="C1372" t="str">
            <v>PAILLET_AZITO</v>
          </cell>
          <cell r="D1372" t="str">
            <v>-4.012349</v>
          </cell>
          <cell r="E1372" t="str">
            <v>5.371556</v>
          </cell>
          <cell r="F1372" t="str">
            <v>2G/3G/4G</v>
          </cell>
          <cell r="G1372" t="str">
            <v>ERICSSON</v>
          </cell>
          <cell r="H1372" t="str">
            <v>MOOV</v>
          </cell>
          <cell r="I1372" t="str">
            <v>ADJAME</v>
          </cell>
          <cell r="J1372" t="str">
            <v>ABIDJAN</v>
          </cell>
          <cell r="K1372" t="str">
            <v>ABIDJAN</v>
          </cell>
          <cell r="L1372" t="str">
            <v>ABIDJAN</v>
          </cell>
          <cell r="M1372" t="str">
            <v>PLATEAU</v>
          </cell>
          <cell r="N1372" t="str">
            <v>ABIDJAN</v>
          </cell>
        </row>
        <row r="1373">
          <cell r="B1373" t="str">
            <v>ET410</v>
          </cell>
          <cell r="C1373" t="str">
            <v>ABATTA_JULES_VERNE</v>
          </cell>
          <cell r="D1373" t="str">
            <v>-3.928921</v>
          </cell>
          <cell r="E1373" t="str">
            <v>5.373356</v>
          </cell>
          <cell r="F1373" t="str">
            <v>2G/3G/4G</v>
          </cell>
          <cell r="G1373" t="str">
            <v>ERICSSON</v>
          </cell>
          <cell r="H1373" t="str">
            <v>MOOV</v>
          </cell>
          <cell r="I1373" t="str">
            <v>BINGERVILLE</v>
          </cell>
          <cell r="J1373" t="str">
            <v>BINGERVILLE</v>
          </cell>
          <cell r="K1373" t="str">
            <v>ABIDJAN</v>
          </cell>
          <cell r="L1373" t="str">
            <v>ABIDJAN</v>
          </cell>
          <cell r="M1373" t="str">
            <v>COCODY LATRILLE</v>
          </cell>
          <cell r="N1373" t="str">
            <v>ABIDJAN</v>
          </cell>
        </row>
        <row r="1374">
          <cell r="B1374" t="str">
            <v>ET411</v>
          </cell>
          <cell r="C1374" t="str">
            <v>FEKESSE_ORIBAT</v>
          </cell>
          <cell r="D1374" t="str">
            <v>-3.908926</v>
          </cell>
          <cell r="E1374" t="str">
            <v>5.392653</v>
          </cell>
          <cell r="F1374" t="str">
            <v>2G/3G/4G</v>
          </cell>
          <cell r="G1374" t="str">
            <v>ERICSSON</v>
          </cell>
          <cell r="H1374" t="str">
            <v>MOOV</v>
          </cell>
          <cell r="I1374" t="str">
            <v>BINGERVILLE</v>
          </cell>
          <cell r="J1374" t="str">
            <v>BINGERVILLE</v>
          </cell>
          <cell r="K1374" t="str">
            <v>ABIDJAN</v>
          </cell>
          <cell r="L1374" t="str">
            <v>ABIDJAN</v>
          </cell>
          <cell r="M1374" t="str">
            <v>COCODY LATRILLE</v>
          </cell>
          <cell r="N1374" t="str">
            <v>ABIDJAN</v>
          </cell>
        </row>
        <row r="1375">
          <cell r="B1375" t="str">
            <v>ET412</v>
          </cell>
          <cell r="C1375" t="str">
            <v>ANYAMA_HOTEL_HOTES</v>
          </cell>
          <cell r="D1375" t="str">
            <v>-4.062781</v>
          </cell>
          <cell r="E1375" t="str">
            <v>5.487857</v>
          </cell>
          <cell r="F1375" t="str">
            <v>2G/3G/4G</v>
          </cell>
          <cell r="G1375" t="str">
            <v>ERICSSON</v>
          </cell>
          <cell r="H1375" t="str">
            <v>MOOV</v>
          </cell>
          <cell r="I1375" t="str">
            <v>ANYAMA</v>
          </cell>
          <cell r="J1375" t="str">
            <v>ANYAMA</v>
          </cell>
          <cell r="K1375" t="str">
            <v>ABIDJAN</v>
          </cell>
          <cell r="L1375" t="str">
            <v>ABIDJAN</v>
          </cell>
          <cell r="M1375" t="str">
            <v>ABOBO</v>
          </cell>
          <cell r="N1375" t="str">
            <v>ABIDJAN</v>
          </cell>
        </row>
        <row r="1376">
          <cell r="B1376" t="str">
            <v>ET413</v>
          </cell>
          <cell r="C1376" t="str">
            <v>ADJAME_ROXY</v>
          </cell>
          <cell r="D1376" t="str">
            <v>-4.02575</v>
          </cell>
          <cell r="E1376" t="str">
            <v>5.349096</v>
          </cell>
          <cell r="F1376" t="str">
            <v>2G/3G/4G</v>
          </cell>
          <cell r="G1376" t="str">
            <v>ERICSSON</v>
          </cell>
          <cell r="H1376" t="str">
            <v>IHS</v>
          </cell>
          <cell r="I1376" t="str">
            <v>ADJAME</v>
          </cell>
          <cell r="J1376" t="str">
            <v>ABIDJAN</v>
          </cell>
          <cell r="K1376" t="str">
            <v>ABIDJAN</v>
          </cell>
          <cell r="L1376" t="str">
            <v>ABIDJAN</v>
          </cell>
          <cell r="M1376" t="str">
            <v>PLATEAU</v>
          </cell>
          <cell r="N1376" t="str">
            <v>ABIDJAN</v>
          </cell>
        </row>
        <row r="1377">
          <cell r="B1377" t="str">
            <v>ET414</v>
          </cell>
          <cell r="C1377" t="str">
            <v>CARR_DUNCAN</v>
          </cell>
          <cell r="D1377" t="str">
            <v>-3.99815</v>
          </cell>
          <cell r="E1377" t="str">
            <v>5.37524</v>
          </cell>
          <cell r="F1377" t="str">
            <v>2G/3G/4G</v>
          </cell>
          <cell r="G1377" t="str">
            <v>ERICSSON</v>
          </cell>
          <cell r="H1377" t="str">
            <v>MOOV</v>
          </cell>
          <cell r="I1377" t="str">
            <v>COCODY</v>
          </cell>
          <cell r="J1377" t="str">
            <v>ABIDJAN</v>
          </cell>
          <cell r="K1377" t="str">
            <v>ABIDJAN</v>
          </cell>
          <cell r="L1377" t="str">
            <v>ABIDJAN</v>
          </cell>
          <cell r="M1377" t="str">
            <v>COCODY LATRILLE</v>
          </cell>
          <cell r="N1377" t="str">
            <v>ABIDJAN</v>
          </cell>
        </row>
        <row r="1378">
          <cell r="B1378" t="str">
            <v>ET415</v>
          </cell>
          <cell r="C1378" t="str">
            <v>ANGRE_CITYDIA</v>
          </cell>
          <cell r="D1378" t="str">
            <v>-3.99146</v>
          </cell>
          <cell r="E1378" t="str">
            <v>5.40125</v>
          </cell>
          <cell r="F1378" t="str">
            <v>2G/3G/4G</v>
          </cell>
          <cell r="G1378" t="str">
            <v>ERICSSON</v>
          </cell>
          <cell r="H1378" t="str">
            <v>MOOV</v>
          </cell>
          <cell r="I1378" t="str">
            <v>COCODY</v>
          </cell>
          <cell r="J1378" t="str">
            <v>ABIDJAN</v>
          </cell>
          <cell r="K1378" t="str">
            <v>ABIDJAN</v>
          </cell>
          <cell r="L1378" t="str">
            <v>ABIDJAN</v>
          </cell>
          <cell r="M1378" t="str">
            <v>COCODY LATRILLE</v>
          </cell>
          <cell r="N1378" t="str">
            <v>ABIDJAN</v>
          </cell>
        </row>
        <row r="1379">
          <cell r="B1379" t="str">
            <v>ET416</v>
          </cell>
          <cell r="C1379" t="str">
            <v>SAGBE_CELESTE</v>
          </cell>
          <cell r="D1379" t="str">
            <v>-4.02779</v>
          </cell>
          <cell r="E1379" t="str">
            <v>5.4139</v>
          </cell>
          <cell r="F1379" t="str">
            <v>2G/3G/4G</v>
          </cell>
          <cell r="G1379" t="str">
            <v>ERICSSON</v>
          </cell>
          <cell r="H1379" t="str">
            <v>MOOV</v>
          </cell>
          <cell r="I1379" t="str">
            <v>ABOBO</v>
          </cell>
          <cell r="J1379" t="str">
            <v>ABIDJAN</v>
          </cell>
          <cell r="K1379" t="str">
            <v>ABIDJAN</v>
          </cell>
          <cell r="L1379" t="str">
            <v>ABIDJAN</v>
          </cell>
          <cell r="M1379" t="str">
            <v>ABOBO</v>
          </cell>
          <cell r="N1379" t="str">
            <v>ABIDJAN</v>
          </cell>
        </row>
        <row r="1380">
          <cell r="B1380" t="str">
            <v>ET417</v>
          </cell>
          <cell r="C1380" t="str">
            <v>CITE_SIR_CHATEAU</v>
          </cell>
          <cell r="D1380" t="str">
            <v>-3.925366</v>
          </cell>
          <cell r="E1380" t="str">
            <v>5.385383</v>
          </cell>
          <cell r="F1380" t="str">
            <v>2G/3G/4G</v>
          </cell>
          <cell r="G1380" t="str">
            <v>ERICSSON</v>
          </cell>
          <cell r="H1380" t="str">
            <v>MOOV</v>
          </cell>
          <cell r="I1380" t="str">
            <v>BINGERVILLE</v>
          </cell>
          <cell r="J1380" t="str">
            <v>BINGERVILLE</v>
          </cell>
          <cell r="K1380" t="str">
            <v>ABIDJAN</v>
          </cell>
          <cell r="L1380" t="str">
            <v>ABIDJAN</v>
          </cell>
          <cell r="M1380" t="str">
            <v>COCODY LATRILLE</v>
          </cell>
          <cell r="N1380" t="str">
            <v>ABIDJAN</v>
          </cell>
        </row>
        <row r="1381">
          <cell r="B1381" t="str">
            <v>ET418</v>
          </cell>
          <cell r="C1381" t="str">
            <v>AKEIKOI_GUEHABLE</v>
          </cell>
          <cell r="D1381" t="str">
            <v>-3.99973</v>
          </cell>
          <cell r="E1381" t="str">
            <v>5.454668</v>
          </cell>
          <cell r="F1381" t="str">
            <v>2G/3G/4G</v>
          </cell>
          <cell r="G1381" t="str">
            <v>ERICSSON</v>
          </cell>
          <cell r="H1381" t="str">
            <v>MOOV</v>
          </cell>
          <cell r="I1381" t="str">
            <v>ABOBO</v>
          </cell>
          <cell r="J1381" t="str">
            <v>ABIDJAN</v>
          </cell>
          <cell r="K1381" t="str">
            <v>ABIDJAN</v>
          </cell>
          <cell r="L1381" t="str">
            <v>ABIDJAN</v>
          </cell>
          <cell r="M1381" t="str">
            <v>ABOBO</v>
          </cell>
          <cell r="N1381" t="str">
            <v>ABIDJAN</v>
          </cell>
        </row>
        <row r="1382">
          <cell r="B1382" t="str">
            <v>ET419</v>
          </cell>
          <cell r="C1382" t="str">
            <v>BAMARASSO</v>
          </cell>
          <cell r="D1382" t="str">
            <v>-2.797777</v>
          </cell>
          <cell r="E1382" t="str">
            <v>8.0341944</v>
          </cell>
          <cell r="F1382" t="str">
            <v>2G/3G/4G</v>
          </cell>
          <cell r="G1382" t="str">
            <v>ERICSSON</v>
          </cell>
          <cell r="H1382" t="str">
            <v>MOOV</v>
          </cell>
          <cell r="I1382" t="str">
            <v>BONDOUKOU</v>
          </cell>
          <cell r="J1382" t="str">
            <v>BONDOUKOU</v>
          </cell>
          <cell r="K1382" t="str">
            <v>BONDOUKOU</v>
          </cell>
          <cell r="L1382" t="str">
            <v>GONTOUGO</v>
          </cell>
          <cell r="M1382" t="str">
            <v>ABENGOUROU</v>
          </cell>
          <cell r="N1382" t="str">
            <v>UPCOUNTRY</v>
          </cell>
        </row>
        <row r="1383">
          <cell r="B1383" t="str">
            <v>ET420</v>
          </cell>
          <cell r="C1383" t="str">
            <v>YOP_CITE_DIBY</v>
          </cell>
          <cell r="D1383" t="str">
            <v>-4.11588</v>
          </cell>
          <cell r="E1383" t="str">
            <v>5.355297</v>
          </cell>
          <cell r="F1383" t="str">
            <v>2G/3G/4G</v>
          </cell>
          <cell r="G1383" t="str">
            <v>ERICSSON</v>
          </cell>
          <cell r="H1383" t="str">
            <v>MOOV</v>
          </cell>
          <cell r="I1383" t="str">
            <v>YOPOUGON</v>
          </cell>
          <cell r="J1383" t="str">
            <v>ABIDJAN</v>
          </cell>
          <cell r="K1383" t="str">
            <v>ABIDJAN</v>
          </cell>
          <cell r="L1383" t="str">
            <v>ABIDJAN</v>
          </cell>
          <cell r="M1383" t="str">
            <v>YOPOUGON FICGAYO</v>
          </cell>
          <cell r="N1383" t="str">
            <v>ABIDJAN</v>
          </cell>
        </row>
        <row r="1384">
          <cell r="B1384" t="str">
            <v>ET421</v>
          </cell>
          <cell r="C1384" t="str">
            <v>LOCODJRO_VILLAGE</v>
          </cell>
          <cell r="D1384" t="str">
            <v>-4.03806</v>
          </cell>
          <cell r="E1384" t="str">
            <v>5.32832</v>
          </cell>
          <cell r="F1384" t="str">
            <v>2G/3G/4G</v>
          </cell>
          <cell r="G1384" t="str">
            <v>ERICSSON</v>
          </cell>
          <cell r="H1384" t="str">
            <v>MOOV</v>
          </cell>
          <cell r="I1384" t="str">
            <v>YOPOUGON</v>
          </cell>
          <cell r="J1384" t="str">
            <v>ABIDJAN</v>
          </cell>
          <cell r="K1384" t="str">
            <v>ABIDJAN</v>
          </cell>
          <cell r="L1384" t="str">
            <v>ABIDJAN</v>
          </cell>
          <cell r="M1384" t="str">
            <v>YOPOUGON SABLE</v>
          </cell>
          <cell r="N1384" t="str">
            <v>ABIDJAN</v>
          </cell>
        </row>
        <row r="1385">
          <cell r="B1385" t="str">
            <v>ET422</v>
          </cell>
          <cell r="C1385" t="str">
            <v>LOCODJRO_MARCHE</v>
          </cell>
          <cell r="D1385" t="str">
            <v>-4.03874</v>
          </cell>
          <cell r="E1385" t="str">
            <v>5.321953</v>
          </cell>
          <cell r="F1385" t="str">
            <v>2G/3G/4G</v>
          </cell>
          <cell r="G1385" t="str">
            <v>ERICSSON</v>
          </cell>
          <cell r="H1385" t="str">
            <v>MOOV</v>
          </cell>
          <cell r="I1385" t="str">
            <v>YOPOUGON</v>
          </cell>
          <cell r="J1385" t="str">
            <v>ABIDJAN</v>
          </cell>
          <cell r="K1385" t="str">
            <v>ABIDJAN</v>
          </cell>
          <cell r="L1385" t="str">
            <v>ABIDJAN</v>
          </cell>
          <cell r="M1385" t="str">
            <v>YOPOUGON SABLE</v>
          </cell>
          <cell r="N1385" t="str">
            <v>ABIDJAN</v>
          </cell>
        </row>
        <row r="1386">
          <cell r="B1386" t="str">
            <v>ET423</v>
          </cell>
          <cell r="C1386" t="str">
            <v>YOP_AGAYATE</v>
          </cell>
          <cell r="D1386" t="str">
            <v>-4.05026</v>
          </cell>
          <cell r="E1386" t="str">
            <v>5.315623</v>
          </cell>
          <cell r="F1386" t="str">
            <v>2G/3G/4G</v>
          </cell>
          <cell r="G1386" t="str">
            <v>ERICSSON</v>
          </cell>
          <cell r="H1386" t="str">
            <v>MOOV</v>
          </cell>
          <cell r="I1386" t="str">
            <v>YOPOUGON</v>
          </cell>
          <cell r="J1386" t="str">
            <v>ABIDJAN</v>
          </cell>
          <cell r="K1386" t="str">
            <v>ABIDJAN</v>
          </cell>
          <cell r="L1386" t="str">
            <v>ABIDJAN</v>
          </cell>
          <cell r="M1386" t="str">
            <v>YOPOUGON SABLE</v>
          </cell>
          <cell r="N1386" t="str">
            <v>ABIDJAN</v>
          </cell>
        </row>
        <row r="1387">
          <cell r="B1387" t="str">
            <v>ET424</v>
          </cell>
          <cell r="C1387" t="str">
            <v>KOWEIT_TERMINUS_209</v>
          </cell>
          <cell r="D1387" t="str">
            <v>-4.05681</v>
          </cell>
          <cell r="E1387" t="str">
            <v>5.32508</v>
          </cell>
          <cell r="F1387" t="str">
            <v>2G/3G/4G</v>
          </cell>
          <cell r="G1387" t="str">
            <v>ERICSSON</v>
          </cell>
          <cell r="H1387" t="str">
            <v>MOOV</v>
          </cell>
          <cell r="I1387" t="str">
            <v>YOPOUGON</v>
          </cell>
          <cell r="J1387" t="str">
            <v>ABIDJAN</v>
          </cell>
          <cell r="K1387" t="str">
            <v>ABIDJAN</v>
          </cell>
          <cell r="L1387" t="str">
            <v>ABIDJAN</v>
          </cell>
          <cell r="M1387" t="str">
            <v>YOPOUGON SABLE</v>
          </cell>
          <cell r="N1387" t="str">
            <v>ABIDJAN</v>
          </cell>
        </row>
        <row r="1388">
          <cell r="B1388" t="str">
            <v>ET425</v>
          </cell>
          <cell r="C1388" t="str">
            <v>KOUWEIT_PIERRE_GADIE</v>
          </cell>
          <cell r="D1388" t="str">
            <v>-4.07386</v>
          </cell>
          <cell r="E1388" t="str">
            <v>5.32568</v>
          </cell>
          <cell r="F1388" t="str">
            <v>2G/3G/4G</v>
          </cell>
          <cell r="G1388" t="str">
            <v>ERICSSON</v>
          </cell>
          <cell r="H1388" t="str">
            <v>MOOV</v>
          </cell>
          <cell r="I1388" t="str">
            <v>YOPOUGON</v>
          </cell>
          <cell r="J1388" t="str">
            <v>ABIDJAN</v>
          </cell>
          <cell r="K1388" t="str">
            <v>ABIDJAN</v>
          </cell>
          <cell r="L1388" t="str">
            <v>ABIDJAN</v>
          </cell>
          <cell r="M1388" t="str">
            <v>YOPOUGON SABLE</v>
          </cell>
          <cell r="N1388" t="str">
            <v>ABIDJAN</v>
          </cell>
        </row>
        <row r="1389">
          <cell r="B1389" t="str">
            <v>ET426</v>
          </cell>
          <cell r="C1389" t="str">
            <v>SELMER_PONTY</v>
          </cell>
          <cell r="D1389" t="str">
            <v>-4.07135</v>
          </cell>
          <cell r="E1389" t="str">
            <v>5.34528</v>
          </cell>
          <cell r="F1389" t="str">
            <v>2G/3G/4G</v>
          </cell>
          <cell r="G1389" t="str">
            <v>ERICSSON</v>
          </cell>
          <cell r="H1389" t="str">
            <v>MOOV</v>
          </cell>
          <cell r="I1389" t="str">
            <v>YOPOUGON</v>
          </cell>
          <cell r="J1389" t="str">
            <v>ABIDJAN</v>
          </cell>
          <cell r="K1389" t="str">
            <v>ABIDJAN</v>
          </cell>
          <cell r="L1389" t="str">
            <v>ABIDJAN</v>
          </cell>
          <cell r="M1389" t="str">
            <v>YOPOUGON SABLE</v>
          </cell>
          <cell r="N1389" t="str">
            <v>ABIDJAN</v>
          </cell>
        </row>
        <row r="1390">
          <cell r="B1390" t="str">
            <v>ET427</v>
          </cell>
          <cell r="C1390" t="str">
            <v>MACAO_DJABAR</v>
          </cell>
          <cell r="D1390" t="str">
            <v>-4.09734</v>
          </cell>
          <cell r="E1390" t="str">
            <v>5.38689</v>
          </cell>
          <cell r="F1390" t="str">
            <v>2G/3G/4G</v>
          </cell>
          <cell r="G1390" t="str">
            <v>ERICSSON</v>
          </cell>
          <cell r="H1390" t="str">
            <v>MOOV</v>
          </cell>
          <cell r="I1390" t="str">
            <v>YOPOUGON</v>
          </cell>
          <cell r="J1390" t="str">
            <v>ABIDJAN</v>
          </cell>
          <cell r="K1390" t="str">
            <v>ABIDJAN</v>
          </cell>
          <cell r="L1390" t="str">
            <v>ABIDJAN</v>
          </cell>
          <cell r="M1390" t="str">
            <v>YOPOUGON SABLE</v>
          </cell>
          <cell r="N1390" t="str">
            <v>ABIDJAN</v>
          </cell>
        </row>
        <row r="1391">
          <cell r="B1391" t="str">
            <v>ET428</v>
          </cell>
          <cell r="C1391" t="str">
            <v>YOP_CITE_SIPIM</v>
          </cell>
          <cell r="D1391" t="str">
            <v>-4.11609</v>
          </cell>
          <cell r="E1391" t="str">
            <v>5.343463</v>
          </cell>
          <cell r="F1391" t="str">
            <v>2G/3G/4G</v>
          </cell>
          <cell r="G1391" t="str">
            <v>ERICSSON</v>
          </cell>
          <cell r="H1391" t="str">
            <v>MOOV</v>
          </cell>
          <cell r="I1391" t="str">
            <v>YOPOUGON</v>
          </cell>
          <cell r="J1391" t="str">
            <v>ABIDJAN</v>
          </cell>
          <cell r="K1391" t="str">
            <v>ABIDJAN</v>
          </cell>
          <cell r="L1391" t="str">
            <v>ABIDJAN</v>
          </cell>
          <cell r="M1391" t="str">
            <v>YOPOUGON FICGAYO</v>
          </cell>
          <cell r="N1391" t="str">
            <v>ABIDJAN</v>
          </cell>
        </row>
        <row r="1392">
          <cell r="B1392" t="str">
            <v>ET429</v>
          </cell>
          <cell r="C1392" t="str">
            <v>YOP_STE_RUTH</v>
          </cell>
          <cell r="D1392" t="str">
            <v>-4.05939</v>
          </cell>
          <cell r="E1392" t="str">
            <v>5.355565</v>
          </cell>
          <cell r="F1392" t="str">
            <v>2G/3G/4G</v>
          </cell>
          <cell r="G1392" t="str">
            <v>ERICSSON</v>
          </cell>
          <cell r="H1392" t="str">
            <v>MOOV</v>
          </cell>
          <cell r="I1392" t="str">
            <v>YOPOUGON</v>
          </cell>
          <cell r="J1392" t="str">
            <v>ABIDJAN</v>
          </cell>
          <cell r="K1392" t="str">
            <v>ABIDJAN</v>
          </cell>
          <cell r="L1392" t="str">
            <v>ABIDJAN</v>
          </cell>
          <cell r="M1392" t="str">
            <v>YOPOUGON SABLE</v>
          </cell>
          <cell r="N1392" t="str">
            <v>ABIDJAN</v>
          </cell>
        </row>
        <row r="1393">
          <cell r="B1393" t="str">
            <v>ET430</v>
          </cell>
          <cell r="C1393" t="str">
            <v>ANANI</v>
          </cell>
          <cell r="D1393" t="str">
            <v>-3.870745</v>
          </cell>
          <cell r="E1393" t="str">
            <v>5.236253</v>
          </cell>
          <cell r="F1393" t="str">
            <v>2G/3G/4G</v>
          </cell>
          <cell r="G1393" t="str">
            <v>HUAWEI</v>
          </cell>
          <cell r="H1393" t="str">
            <v>MOOV</v>
          </cell>
          <cell r="I1393" t="str">
            <v>PORT-BOUET</v>
          </cell>
          <cell r="J1393" t="str">
            <v>ABIDJAN</v>
          </cell>
          <cell r="K1393" t="str">
            <v>ABIDJAN</v>
          </cell>
          <cell r="L1393" t="str">
            <v>ABIDJAN</v>
          </cell>
          <cell r="M1393" t="str">
            <v>MARCORY</v>
          </cell>
          <cell r="N1393" t="str">
            <v>ABIDJAN</v>
          </cell>
        </row>
        <row r="1394">
          <cell r="B1394" t="str">
            <v>ET431</v>
          </cell>
          <cell r="C1394" t="str">
            <v>BONOUA_YAOU</v>
          </cell>
          <cell r="D1394" t="str">
            <v>-3.63506</v>
          </cell>
          <cell r="E1394" t="str">
            <v>5.24156</v>
          </cell>
          <cell r="F1394" t="str">
            <v>2G/3G/4G</v>
          </cell>
          <cell r="G1394" t="str">
            <v>HUAWEI</v>
          </cell>
          <cell r="H1394" t="str">
            <v>MOOV</v>
          </cell>
          <cell r="I1394" t="str">
            <v>BONOUA YAOU</v>
          </cell>
          <cell r="J1394" t="str">
            <v>BONOUA</v>
          </cell>
          <cell r="K1394" t="str">
            <v>GRAND-BASSAM</v>
          </cell>
          <cell r="L1394" t="str">
            <v>SUD-COMOE</v>
          </cell>
          <cell r="M1394" t="str">
            <v>MARCORY</v>
          </cell>
          <cell r="N1394" t="str">
            <v>UPCOUNTRY</v>
          </cell>
        </row>
        <row r="1395">
          <cell r="B1395" t="str">
            <v>ET432</v>
          </cell>
          <cell r="C1395" t="str">
            <v>MOHAME</v>
          </cell>
          <cell r="D1395" t="str">
            <v>-3.55983</v>
          </cell>
          <cell r="E1395" t="str">
            <v>5.18202</v>
          </cell>
          <cell r="F1395" t="str">
            <v>2G/3G/4G</v>
          </cell>
          <cell r="G1395" t="str">
            <v>HUAWEI</v>
          </cell>
          <cell r="H1395" t="str">
            <v>MOOV</v>
          </cell>
          <cell r="I1395" t="str">
            <v>MOHAME</v>
          </cell>
          <cell r="J1395" t="str">
            <v>BONOUA</v>
          </cell>
          <cell r="K1395" t="str">
            <v>GRAND-BASSAM</v>
          </cell>
          <cell r="L1395" t="str">
            <v>SUD-COMOE</v>
          </cell>
          <cell r="M1395" t="str">
            <v>MARCORY</v>
          </cell>
          <cell r="N1395" t="str">
            <v>UPCOUNTRY</v>
          </cell>
        </row>
        <row r="1396">
          <cell r="B1396" t="str">
            <v>ET434</v>
          </cell>
          <cell r="C1396" t="str">
            <v>ANYAMA_MANGUIER</v>
          </cell>
          <cell r="D1396" t="str">
            <v>-4.042514</v>
          </cell>
          <cell r="E1396" t="str">
            <v>5.478491</v>
          </cell>
          <cell r="F1396" t="str">
            <v>2G/3G/4G</v>
          </cell>
          <cell r="G1396" t="str">
            <v>ERICSSON</v>
          </cell>
          <cell r="H1396" t="str">
            <v>IHS</v>
          </cell>
          <cell r="I1396" t="str">
            <v>ANYAMA</v>
          </cell>
          <cell r="J1396" t="str">
            <v>ANYAMA</v>
          </cell>
          <cell r="K1396" t="str">
            <v>ABIDJAN</v>
          </cell>
          <cell r="L1396" t="str">
            <v>ABIDJAN</v>
          </cell>
          <cell r="M1396" t="str">
            <v>ABOBO</v>
          </cell>
          <cell r="N1396" t="str">
            <v>ABIDJAN</v>
          </cell>
        </row>
        <row r="1397">
          <cell r="B1397" t="str">
            <v>ET435</v>
          </cell>
          <cell r="C1397" t="str">
            <v>KACOUKRO</v>
          </cell>
          <cell r="D1397" t="str">
            <v>-3.37955</v>
          </cell>
          <cell r="E1397" t="str">
            <v>5.29736</v>
          </cell>
          <cell r="F1397" t="str">
            <v>2G/3G/4G</v>
          </cell>
          <cell r="G1397" t="str">
            <v>ERICSSON</v>
          </cell>
          <cell r="H1397" t="str">
            <v>MOOV</v>
          </cell>
          <cell r="I1397" t="str">
            <v>KACOUKRO</v>
          </cell>
          <cell r="J1397" t="str">
            <v>ADIAKE</v>
          </cell>
          <cell r="K1397" t="str">
            <v>ADIAKE</v>
          </cell>
          <cell r="L1397" t="str">
            <v>SUD-COMOE</v>
          </cell>
          <cell r="M1397" t="str">
            <v>MARCORY</v>
          </cell>
          <cell r="N1397" t="str">
            <v>UPCOUNTRY</v>
          </cell>
        </row>
        <row r="1398">
          <cell r="B1398" t="str">
            <v>ET436</v>
          </cell>
          <cell r="C1398" t="str">
            <v>AHEOUA</v>
          </cell>
          <cell r="D1398" t="str">
            <v>-3.86254</v>
          </cell>
          <cell r="E1398" t="str">
            <v>6.35815</v>
          </cell>
          <cell r="F1398" t="str">
            <v>2G/3G/4G</v>
          </cell>
          <cell r="G1398" t="str">
            <v>ERICSSON</v>
          </cell>
          <cell r="H1398" t="str">
            <v>MOOV</v>
          </cell>
          <cell r="I1398" t="str">
            <v>AHEOUA</v>
          </cell>
          <cell r="J1398" t="str">
            <v>AKOUPE</v>
          </cell>
          <cell r="K1398" t="str">
            <v>AKOUPE</v>
          </cell>
          <cell r="L1398" t="str">
            <v>LA ME</v>
          </cell>
          <cell r="M1398" t="str">
            <v>ABENGOUROU</v>
          </cell>
          <cell r="N1398" t="str">
            <v>UPCOUNTRY</v>
          </cell>
        </row>
        <row r="1399">
          <cell r="B1399" t="str">
            <v>ET437</v>
          </cell>
          <cell r="C1399" t="str">
            <v>NGORANKRO</v>
          </cell>
          <cell r="D1399" t="str">
            <v>-4.647667</v>
          </cell>
          <cell r="E1399" t="str">
            <v>5.857975</v>
          </cell>
          <cell r="F1399" t="str">
            <v>2G/3G/4G</v>
          </cell>
          <cell r="G1399" t="str">
            <v>ERICSSON</v>
          </cell>
          <cell r="H1399" t="str">
            <v>MOOV</v>
          </cell>
          <cell r="I1399" t="str">
            <v>N'GORANKRO</v>
          </cell>
          <cell r="J1399" t="str">
            <v>N'DOUCI</v>
          </cell>
          <cell r="K1399" t="str">
            <v>TIASSALE</v>
          </cell>
          <cell r="L1399" t="str">
            <v>AGNEBY-TIASSA</v>
          </cell>
          <cell r="M1399" t="str">
            <v>YOPOUGON SABLE</v>
          </cell>
          <cell r="N1399" t="str">
            <v>UPCOUNTRY</v>
          </cell>
        </row>
        <row r="1400">
          <cell r="B1400" t="str">
            <v>ET438</v>
          </cell>
          <cell r="C1400" t="str">
            <v>KOUN-FAO</v>
          </cell>
          <cell r="D1400" t="str">
            <v>-3.248833</v>
          </cell>
          <cell r="E1400" t="str">
            <v>7.476338</v>
          </cell>
          <cell r="F1400" t="str">
            <v>2G/3G/4G</v>
          </cell>
          <cell r="G1400" t="str">
            <v>ERICSSON</v>
          </cell>
          <cell r="H1400" t="str">
            <v>MOOV</v>
          </cell>
          <cell r="I1400" t="str">
            <v>KOUN-FAO</v>
          </cell>
          <cell r="J1400" t="str">
            <v>KOUN-FAO</v>
          </cell>
          <cell r="K1400" t="str">
            <v>KOUN-FAO</v>
          </cell>
          <cell r="L1400" t="str">
            <v>GONTOUGO</v>
          </cell>
          <cell r="M1400" t="str">
            <v>ABENGOUROU</v>
          </cell>
          <cell r="N1400" t="str">
            <v>UPCOUNTRY</v>
          </cell>
        </row>
        <row r="1401">
          <cell r="B1401" t="str">
            <v>ET439</v>
          </cell>
          <cell r="C1401" t="str">
            <v>GUIENDE</v>
          </cell>
          <cell r="D1401" t="str">
            <v>-3.08696</v>
          </cell>
          <cell r="E1401" t="str">
            <v>7.85043</v>
          </cell>
          <cell r="F1401" t="str">
            <v>2G/3G/4G</v>
          </cell>
          <cell r="G1401" t="str">
            <v>ERICSSON</v>
          </cell>
          <cell r="H1401" t="str">
            <v>MOOV</v>
          </cell>
          <cell r="I1401" t="str">
            <v>GUIENDE</v>
          </cell>
          <cell r="J1401" t="str">
            <v>TANDA</v>
          </cell>
          <cell r="K1401" t="str">
            <v>TANDA</v>
          </cell>
          <cell r="L1401" t="str">
            <v>GONTOUGO</v>
          </cell>
          <cell r="M1401" t="str">
            <v>ABENGOUROU</v>
          </cell>
          <cell r="N1401" t="str">
            <v>UPCOUNTRY</v>
          </cell>
        </row>
        <row r="1402">
          <cell r="B1402" t="str">
            <v>ET440</v>
          </cell>
          <cell r="C1402" t="str">
            <v>PANZAGANI</v>
          </cell>
          <cell r="D1402" t="str">
            <v>-3.10565</v>
          </cell>
          <cell r="E1402" t="str">
            <v>9.41545</v>
          </cell>
          <cell r="F1402" t="str">
            <v>2G/3G/4G</v>
          </cell>
          <cell r="G1402" t="str">
            <v>ERICSSON</v>
          </cell>
          <cell r="H1402" t="str">
            <v>MOOV</v>
          </cell>
          <cell r="I1402" t="str">
            <v>PANZAGANI</v>
          </cell>
          <cell r="J1402" t="str">
            <v>BOUKO</v>
          </cell>
          <cell r="K1402" t="str">
            <v>BOUNA</v>
          </cell>
          <cell r="L1402" t="str">
            <v>BOUNKANI</v>
          </cell>
          <cell r="M1402" t="str">
            <v>ABENGOUROU</v>
          </cell>
          <cell r="N1402" t="str">
            <v>UPCOUNTRY</v>
          </cell>
        </row>
        <row r="1403">
          <cell r="B1403" t="str">
            <v>ET441</v>
          </cell>
          <cell r="C1403" t="str">
            <v>LATROUGO</v>
          </cell>
          <cell r="D1403" t="str">
            <v>-3.24478</v>
          </cell>
          <cell r="E1403" t="str">
            <v>9.57895</v>
          </cell>
          <cell r="F1403" t="str">
            <v>2G/3G</v>
          </cell>
          <cell r="G1403" t="str">
            <v>ERICSSON</v>
          </cell>
          <cell r="H1403" t="str">
            <v>MOOV</v>
          </cell>
          <cell r="I1403" t="str">
            <v>LATROUGO</v>
          </cell>
          <cell r="J1403" t="str">
            <v>DOROPO</v>
          </cell>
          <cell r="K1403" t="str">
            <v>DOROPO</v>
          </cell>
          <cell r="L1403" t="str">
            <v>BOUNKANI</v>
          </cell>
          <cell r="M1403" t="str">
            <v>ABENGOUROU</v>
          </cell>
          <cell r="N1403" t="str">
            <v>UPCOUNTRY</v>
          </cell>
        </row>
        <row r="1404">
          <cell r="B1404" t="str">
            <v>ET442</v>
          </cell>
          <cell r="C1404" t="str">
            <v>AZAGUIE_AWA</v>
          </cell>
          <cell r="D1404" t="str">
            <v>-4.0428</v>
          </cell>
          <cell r="E1404" t="str">
            <v>5.63529</v>
          </cell>
          <cell r="F1404" t="str">
            <v>2G/3G/4G</v>
          </cell>
          <cell r="G1404" t="str">
            <v>ERICSSON</v>
          </cell>
          <cell r="H1404" t="str">
            <v>MOOV</v>
          </cell>
          <cell r="I1404" t="str">
            <v>AZAGUIE</v>
          </cell>
          <cell r="J1404" t="str">
            <v>AZAGUIE</v>
          </cell>
          <cell r="K1404" t="str">
            <v>AGBOVILLE</v>
          </cell>
          <cell r="L1404" t="str">
            <v>AGNEBY-TIASSA</v>
          </cell>
          <cell r="M1404" t="str">
            <v>ABOBO</v>
          </cell>
          <cell r="N1404" t="str">
            <v>UPCOUNTRY</v>
          </cell>
        </row>
        <row r="1405">
          <cell r="B1405" t="str">
            <v>ET443</v>
          </cell>
          <cell r="C1405" t="str">
            <v>BANIA</v>
          </cell>
          <cell r="D1405" t="str">
            <v>-3.17709</v>
          </cell>
          <cell r="E1405" t="str">
            <v>9.01555</v>
          </cell>
          <cell r="F1405" t="str">
            <v>2G/3G</v>
          </cell>
          <cell r="G1405" t="str">
            <v>ERICSSON</v>
          </cell>
          <cell r="H1405" t="str">
            <v>MOOV</v>
          </cell>
          <cell r="I1405" t="str">
            <v>BANIA</v>
          </cell>
          <cell r="J1405" t="str">
            <v>BOUNA</v>
          </cell>
          <cell r="K1405" t="str">
            <v>BOUNA</v>
          </cell>
          <cell r="L1405" t="str">
            <v>BOUNKANI</v>
          </cell>
          <cell r="M1405" t="str">
            <v>ABENGOUROU</v>
          </cell>
          <cell r="N1405" t="str">
            <v>UPCOUNTRY</v>
          </cell>
        </row>
        <row r="1406">
          <cell r="B1406" t="str">
            <v>ET444</v>
          </cell>
          <cell r="C1406" t="str">
            <v>ATTINGUIE_ZONE</v>
          </cell>
          <cell r="D1406" t="str">
            <v>-4.158681</v>
          </cell>
          <cell r="E1406" t="str">
            <v>5.4140906</v>
          </cell>
          <cell r="F1406" t="str">
            <v>2G/3G/4G</v>
          </cell>
          <cell r="G1406" t="str">
            <v>ERICSSON</v>
          </cell>
          <cell r="H1406" t="str">
            <v>PRESIDENCE</v>
          </cell>
          <cell r="I1406" t="str">
            <v>ATTINGUIE</v>
          </cell>
          <cell r="J1406" t="str">
            <v>ANYAMA</v>
          </cell>
          <cell r="K1406" t="str">
            <v>ABIDJAN</v>
          </cell>
          <cell r="L1406" t="str">
            <v>ABIDJAN</v>
          </cell>
          <cell r="M1406" t="str">
            <v>ABOBO</v>
          </cell>
          <cell r="N1406" t="str">
            <v>ABIDJAN</v>
          </cell>
        </row>
        <row r="1407">
          <cell r="B1407" t="str">
            <v>ET445</v>
          </cell>
          <cell r="C1407" t="str">
            <v>MIADZIN</v>
          </cell>
          <cell r="D1407" t="str">
            <v>-3.904345</v>
          </cell>
          <cell r="E1407" t="str">
            <v>6.04504</v>
          </cell>
          <cell r="F1407" t="str">
            <v>2G/3G/4G</v>
          </cell>
          <cell r="G1407" t="str">
            <v>ERICSSON</v>
          </cell>
          <cell r="H1407" t="str">
            <v>MOOV</v>
          </cell>
          <cell r="I1407" t="str">
            <v>MIADZIN</v>
          </cell>
          <cell r="J1407" t="str">
            <v>ADZOPE</v>
          </cell>
          <cell r="K1407" t="str">
            <v>ADZOPE</v>
          </cell>
          <cell r="L1407" t="str">
            <v>LA ME</v>
          </cell>
          <cell r="M1407" t="str">
            <v>ABENGOUROU</v>
          </cell>
          <cell r="N1407" t="str">
            <v>UPCOUNTRY</v>
          </cell>
        </row>
        <row r="1408">
          <cell r="B1408" t="str">
            <v>ET446</v>
          </cell>
          <cell r="C1408" t="str">
            <v>BROUKRO_IGUELA</v>
          </cell>
          <cell r="D1408" t="str">
            <v>-3.21718</v>
          </cell>
          <cell r="E1408" t="str">
            <v>7.67001</v>
          </cell>
          <cell r="F1408" t="str">
            <v>2G/3G/4G</v>
          </cell>
          <cell r="G1408" t="str">
            <v>ERICSSON</v>
          </cell>
          <cell r="H1408" t="str">
            <v>MOOV</v>
          </cell>
          <cell r="I1408" t="str">
            <v>BROUKRO</v>
          </cell>
          <cell r="J1408" t="str">
            <v>TANDA</v>
          </cell>
          <cell r="K1408" t="str">
            <v>TANDA</v>
          </cell>
          <cell r="L1408" t="str">
            <v>GONTOUGO</v>
          </cell>
          <cell r="M1408" t="str">
            <v>ABENGOUROU</v>
          </cell>
          <cell r="N1408" t="str">
            <v>UPCOUNTRY</v>
          </cell>
        </row>
        <row r="1409">
          <cell r="B1409" t="str">
            <v>ET447</v>
          </cell>
          <cell r="C1409" t="str">
            <v>NIOLONGO</v>
          </cell>
          <cell r="D1409" t="str">
            <v>-3.09713</v>
          </cell>
          <cell r="E1409" t="str">
            <v>9.29746</v>
          </cell>
          <cell r="F1409" t="str">
            <v>2G/3G</v>
          </cell>
          <cell r="G1409" t="str">
            <v>ERICSSON</v>
          </cell>
          <cell r="H1409" t="str">
            <v>MOOV</v>
          </cell>
          <cell r="I1409" t="str">
            <v>NIOLONGO</v>
          </cell>
          <cell r="J1409" t="str">
            <v>BOUNA</v>
          </cell>
          <cell r="K1409" t="str">
            <v>BOUNA</v>
          </cell>
          <cell r="L1409" t="str">
            <v>BOUNKANI</v>
          </cell>
          <cell r="M1409" t="str">
            <v>ABENGOUROU</v>
          </cell>
          <cell r="N1409" t="str">
            <v>UPCOUNTRY</v>
          </cell>
        </row>
        <row r="1410">
          <cell r="B1410" t="str">
            <v>ET448</v>
          </cell>
          <cell r="C1410" t="str">
            <v>AHOKOI</v>
          </cell>
          <cell r="D1410" t="str">
            <v>-3.74029</v>
          </cell>
          <cell r="E1410" t="str">
            <v>6.15885</v>
          </cell>
          <cell r="F1410" t="str">
            <v>2G/3G/4G</v>
          </cell>
          <cell r="G1410" t="str">
            <v>ERICSSON</v>
          </cell>
          <cell r="H1410" t="str">
            <v>MOOV</v>
          </cell>
          <cell r="I1410" t="str">
            <v>AHOKOI</v>
          </cell>
          <cell r="J1410" t="str">
            <v>ADZOPE</v>
          </cell>
          <cell r="K1410" t="str">
            <v>ADZOPE</v>
          </cell>
          <cell r="L1410" t="str">
            <v>LA ME</v>
          </cell>
          <cell r="M1410" t="str">
            <v>ABENGOUROU</v>
          </cell>
          <cell r="N1410" t="str">
            <v>UPCOUNTRY</v>
          </cell>
        </row>
        <row r="1411">
          <cell r="B1411" t="str">
            <v>ET449</v>
          </cell>
          <cell r="C1411" t="str">
            <v>EHUASSO_ALLANGOUANOU</v>
          </cell>
          <cell r="D1411" t="str">
            <v>-3.44797</v>
          </cell>
          <cell r="E1411" t="str">
            <v>6.32783</v>
          </cell>
          <cell r="F1411" t="str">
            <v>2G/3G/4G</v>
          </cell>
          <cell r="G1411" t="str">
            <v>ERICSSON</v>
          </cell>
          <cell r="H1411" t="str">
            <v>MOOV</v>
          </cell>
          <cell r="I1411" t="str">
            <v>EHUASSO ALLANGOUANOU</v>
          </cell>
          <cell r="J1411" t="str">
            <v>ZARANOU</v>
          </cell>
          <cell r="K1411" t="str">
            <v>ABENGOUROU</v>
          </cell>
          <cell r="L1411" t="str">
            <v>INDENIE-DJUABLIN</v>
          </cell>
          <cell r="M1411" t="str">
            <v>ABENGOUROU</v>
          </cell>
          <cell r="N1411" t="str">
            <v>UPCOUNTRY</v>
          </cell>
        </row>
        <row r="1412">
          <cell r="B1412" t="str">
            <v>ET450</v>
          </cell>
          <cell r="C1412" t="str">
            <v>SAYE</v>
          </cell>
          <cell r="D1412" t="str">
            <v>-3.34508</v>
          </cell>
          <cell r="E1412" t="str">
            <v>9.45179</v>
          </cell>
          <cell r="F1412" t="str">
            <v>2G/3G</v>
          </cell>
          <cell r="G1412" t="str">
            <v>ERICSSON</v>
          </cell>
          <cell r="H1412" t="str">
            <v>MOOV</v>
          </cell>
          <cell r="I1412" t="str">
            <v>SAYE</v>
          </cell>
          <cell r="J1412" t="str">
            <v>NIAMOUE</v>
          </cell>
          <cell r="K1412" t="str">
            <v>DOROPO</v>
          </cell>
          <cell r="L1412" t="str">
            <v>BOUNKANI</v>
          </cell>
          <cell r="M1412" t="str">
            <v>ABENGOUROU</v>
          </cell>
          <cell r="N1412" t="str">
            <v>UPCOUNTRY</v>
          </cell>
        </row>
        <row r="1413">
          <cell r="B1413" t="str">
            <v>ET451</v>
          </cell>
          <cell r="C1413" t="str">
            <v>TIENKOIKRO</v>
          </cell>
          <cell r="D1413" t="str">
            <v>-3.06618</v>
          </cell>
          <cell r="E1413" t="str">
            <v>7.21983</v>
          </cell>
          <cell r="F1413" t="str">
            <v>2G/3G/4G</v>
          </cell>
          <cell r="G1413" t="str">
            <v>ERICSSON</v>
          </cell>
          <cell r="H1413" t="str">
            <v>MOOV</v>
          </cell>
          <cell r="I1413" t="str">
            <v>TIENKOIKRO</v>
          </cell>
          <cell r="J1413" t="str">
            <v>TIENKOIKRO</v>
          </cell>
          <cell r="K1413" t="str">
            <v>KOUN-FAO</v>
          </cell>
          <cell r="L1413" t="str">
            <v>GONTOUGO</v>
          </cell>
          <cell r="M1413" t="str">
            <v>ABENGOUROU</v>
          </cell>
          <cell r="N1413" t="str">
            <v>UPCOUNTRY</v>
          </cell>
        </row>
        <row r="1414">
          <cell r="B1414" t="str">
            <v>ET452</v>
          </cell>
          <cell r="C1414" t="str">
            <v>TAKIKRO</v>
          </cell>
          <cell r="D1414" t="str">
            <v>-2.96187</v>
          </cell>
          <cell r="E1414" t="str">
            <v>7.23675</v>
          </cell>
          <cell r="F1414" t="str">
            <v>2G/3G/4G</v>
          </cell>
          <cell r="G1414" t="str">
            <v>ERICSSON</v>
          </cell>
          <cell r="H1414" t="str">
            <v>MOOV</v>
          </cell>
          <cell r="I1414" t="str">
            <v>TAKIKRO</v>
          </cell>
          <cell r="J1414" t="str">
            <v>KOKOMIAN</v>
          </cell>
          <cell r="K1414" t="str">
            <v>KOUN-FAO</v>
          </cell>
          <cell r="L1414" t="str">
            <v>GONTOUGO</v>
          </cell>
          <cell r="M1414" t="str">
            <v>ABENGOUROU</v>
          </cell>
          <cell r="N1414" t="str">
            <v>UPCOUNTRY</v>
          </cell>
        </row>
        <row r="1415">
          <cell r="B1415" t="str">
            <v>ET453</v>
          </cell>
          <cell r="C1415" t="str">
            <v>PRESSO</v>
          </cell>
          <cell r="D1415" t="str">
            <v>-3.1328</v>
          </cell>
          <cell r="E1415" t="str">
            <v>7.17399</v>
          </cell>
          <cell r="F1415" t="str">
            <v>2G/3G/4G</v>
          </cell>
          <cell r="G1415" t="str">
            <v>ERICSSON</v>
          </cell>
          <cell r="H1415" t="str">
            <v>MOOV</v>
          </cell>
          <cell r="I1415" t="str">
            <v>PRESSO</v>
          </cell>
          <cell r="J1415" t="str">
            <v>TIENKOIKRO</v>
          </cell>
          <cell r="K1415" t="str">
            <v>KOUN-FAO</v>
          </cell>
          <cell r="L1415" t="str">
            <v>GONTOUGO</v>
          </cell>
          <cell r="M1415" t="str">
            <v>ABENGOUROU</v>
          </cell>
          <cell r="N1415" t="str">
            <v>UPCOUNTRY</v>
          </cell>
        </row>
        <row r="1416">
          <cell r="B1416" t="str">
            <v>ET454</v>
          </cell>
          <cell r="C1416" t="str">
            <v>DADIAPE</v>
          </cell>
          <cell r="D1416" t="str">
            <v>-2.94818</v>
          </cell>
          <cell r="E1416" t="str">
            <v>7.81751</v>
          </cell>
          <cell r="F1416" t="str">
            <v>2G/3G/4G</v>
          </cell>
          <cell r="G1416" t="str">
            <v>ERICSSON</v>
          </cell>
          <cell r="H1416" t="str">
            <v>MOOV</v>
          </cell>
          <cell r="I1416" t="str">
            <v>DADIASSE</v>
          </cell>
          <cell r="J1416" t="str">
            <v>ASSUEFRY</v>
          </cell>
          <cell r="K1416" t="str">
            <v>TRANSUA</v>
          </cell>
          <cell r="L1416" t="str">
            <v>GONTOUGO</v>
          </cell>
          <cell r="M1416" t="str">
            <v>ABENGOUROU</v>
          </cell>
          <cell r="N1416" t="str">
            <v>UPCOUNTRY</v>
          </cell>
        </row>
        <row r="1417">
          <cell r="B1417" t="str">
            <v>ET455</v>
          </cell>
          <cell r="C1417" t="str">
            <v>KASSASSO</v>
          </cell>
          <cell r="D1417" t="str">
            <v>-4.76708</v>
          </cell>
          <cell r="E1417" t="str">
            <v>5.97059</v>
          </cell>
          <cell r="F1417" t="str">
            <v>2G/3G/4G</v>
          </cell>
          <cell r="G1417" t="str">
            <v>ERICSSON</v>
          </cell>
          <cell r="H1417" t="str">
            <v>MOOV</v>
          </cell>
          <cell r="I1417" t="str">
            <v>KASSASSO</v>
          </cell>
          <cell r="J1417" t="str">
            <v>MOROKRO</v>
          </cell>
          <cell r="K1417" t="str">
            <v>TIASSALE</v>
          </cell>
          <cell r="L1417" t="str">
            <v>AGNEBY-TIASSA</v>
          </cell>
          <cell r="M1417" t="str">
            <v>YOPOUGON SABLE</v>
          </cell>
          <cell r="N1417" t="str">
            <v>UPCOUNTRY</v>
          </cell>
        </row>
        <row r="1418">
          <cell r="B1418" t="str">
            <v>ET456</v>
          </cell>
          <cell r="C1418" t="str">
            <v>PK85</v>
          </cell>
          <cell r="D1418" t="str">
            <v>-4.556067</v>
          </cell>
          <cell r="E1418" t="str">
            <v>5.755283</v>
          </cell>
          <cell r="F1418" t="str">
            <v>2G/3G/4G</v>
          </cell>
          <cell r="G1418" t="str">
            <v>ERICSSON</v>
          </cell>
          <cell r="H1418" t="str">
            <v>MOOV</v>
          </cell>
          <cell r="I1418" t="str">
            <v>PK85</v>
          </cell>
          <cell r="J1418" t="str">
            <v>GOMON</v>
          </cell>
          <cell r="K1418" t="str">
            <v>SIKENSI</v>
          </cell>
          <cell r="L1418" t="str">
            <v>AGNEBY-TIASSA</v>
          </cell>
          <cell r="M1418" t="str">
            <v>YOPOUGON SABLE</v>
          </cell>
          <cell r="N1418" t="str">
            <v>UPCOUNTRY</v>
          </cell>
        </row>
        <row r="1419">
          <cell r="B1419" t="str">
            <v>ET457</v>
          </cell>
          <cell r="C1419" t="str">
            <v>NGOLODOUGOU</v>
          </cell>
          <cell r="D1419" t="str">
            <v>-5.163153</v>
          </cell>
          <cell r="E1419" t="str">
            <v>9.131906</v>
          </cell>
          <cell r="F1419" t="str">
            <v>2G/3G/4G</v>
          </cell>
          <cell r="G1419" t="str">
            <v>HUAWEI</v>
          </cell>
          <cell r="H1419" t="str">
            <v>MOOV</v>
          </cell>
          <cell r="I1419" t="str">
            <v>NGOLODOUGOU</v>
          </cell>
          <cell r="J1419" t="str">
            <v>TAFIRE</v>
          </cell>
          <cell r="K1419" t="str">
            <v>NIAKARAMADOUGOU</v>
          </cell>
          <cell r="L1419" t="str">
            <v>HAMBOL</v>
          </cell>
          <cell r="M1419" t="str">
            <v>KORHOGO</v>
          </cell>
          <cell r="N1419" t="str">
            <v>UPCOUNTRY</v>
          </cell>
        </row>
        <row r="1420">
          <cell r="B1420" t="str">
            <v>ET458</v>
          </cell>
          <cell r="C1420" t="str">
            <v>NDEBO</v>
          </cell>
          <cell r="D1420" t="str">
            <v>-5.27736</v>
          </cell>
          <cell r="E1420" t="str">
            <v>6.98739</v>
          </cell>
          <cell r="F1420" t="str">
            <v>2G/3G/4G</v>
          </cell>
          <cell r="G1420" t="str">
            <v>HUAWEI</v>
          </cell>
          <cell r="H1420" t="str">
            <v>MOOV</v>
          </cell>
          <cell r="I1420" t="str">
            <v>NDEBO</v>
          </cell>
          <cell r="J1420" t="str">
            <v>LOLOBO</v>
          </cell>
          <cell r="K1420" t="str">
            <v>ATTIEGOUAKRO</v>
          </cell>
          <cell r="L1420" t="str">
            <v>YAMOUSSOUKRO</v>
          </cell>
          <cell r="M1420" t="str">
            <v>YAMOUSSOUKRO</v>
          </cell>
          <cell r="N1420" t="str">
            <v>UPCOUNTRY</v>
          </cell>
        </row>
        <row r="1421">
          <cell r="B1421" t="str">
            <v>ET459</v>
          </cell>
          <cell r="C1421" t="str">
            <v>TOUNZOUEBO</v>
          </cell>
          <cell r="D1421" t="str">
            <v>-5.24306</v>
          </cell>
          <cell r="E1421" t="str">
            <v>7.07861</v>
          </cell>
          <cell r="F1421" t="str">
            <v>2G/3G/4G</v>
          </cell>
          <cell r="G1421" t="str">
            <v>HUAWEI</v>
          </cell>
          <cell r="H1421" t="str">
            <v>MOOV</v>
          </cell>
          <cell r="I1421" t="str">
            <v>TOUNZOUEBO</v>
          </cell>
          <cell r="J1421" t="str">
            <v>LOLOBO</v>
          </cell>
          <cell r="K1421" t="str">
            <v>ATTIEGOUAKRO</v>
          </cell>
          <cell r="L1421" t="str">
            <v>YAMOUSSOUKRO</v>
          </cell>
          <cell r="M1421" t="str">
            <v>YAMOUSSOUKRO</v>
          </cell>
          <cell r="N1421" t="str">
            <v>UPCOUNTRY</v>
          </cell>
        </row>
        <row r="1422">
          <cell r="B1422" t="str">
            <v>ET460</v>
          </cell>
          <cell r="C1422" t="str">
            <v>OUREGUEKAHA</v>
          </cell>
          <cell r="D1422" t="str">
            <v>-5.1903894</v>
          </cell>
          <cell r="E1422" t="str">
            <v>8.4501909</v>
          </cell>
          <cell r="F1422" t="str">
            <v>2G/3G/4G</v>
          </cell>
          <cell r="G1422" t="str">
            <v>HUAWEI</v>
          </cell>
          <cell r="H1422" t="str">
            <v>MOOV</v>
          </cell>
          <cell r="I1422" t="str">
            <v>OUREGUEKAHA</v>
          </cell>
          <cell r="J1422" t="str">
            <v>NIAKARAMADOUGOU</v>
          </cell>
          <cell r="K1422" t="str">
            <v>NIAKARAMADOUGOU</v>
          </cell>
          <cell r="L1422" t="str">
            <v>HAMBOL</v>
          </cell>
          <cell r="M1422" t="str">
            <v>BOUAKE</v>
          </cell>
          <cell r="N1422" t="str">
            <v>UPCOUNTRY</v>
          </cell>
        </row>
        <row r="1423">
          <cell r="B1423" t="str">
            <v>ET461</v>
          </cell>
          <cell r="C1423" t="str">
            <v>MBROU</v>
          </cell>
          <cell r="D1423" t="str">
            <v>-4.36175</v>
          </cell>
          <cell r="E1423" t="str">
            <v>5.57584</v>
          </cell>
          <cell r="F1423" t="str">
            <v>2G/3G/4G</v>
          </cell>
          <cell r="G1423" t="str">
            <v>ERICSSON</v>
          </cell>
          <cell r="H1423" t="str">
            <v>MOOV</v>
          </cell>
          <cell r="I1423" t="str">
            <v>MBROU</v>
          </cell>
          <cell r="J1423" t="str">
            <v>GUESSIGUIE</v>
          </cell>
          <cell r="K1423" t="str">
            <v>AGBOVILLE</v>
          </cell>
          <cell r="L1423" t="str">
            <v>AGNEBY-TIASSA</v>
          </cell>
          <cell r="M1423" t="str">
            <v>ABOBO</v>
          </cell>
          <cell r="N1423" t="str">
            <v>ABIDJAN</v>
          </cell>
        </row>
        <row r="1424">
          <cell r="B1424" t="str">
            <v>ET462</v>
          </cell>
          <cell r="C1424" t="str">
            <v>ANYAMA_STADE</v>
          </cell>
          <cell r="D1424" t="str">
            <v>-4.076703</v>
          </cell>
          <cell r="E1424" t="str">
            <v>5.483413</v>
          </cell>
          <cell r="F1424" t="str">
            <v>2G/3G/4G</v>
          </cell>
          <cell r="G1424" t="str">
            <v>ERICSSON</v>
          </cell>
          <cell r="H1424" t="str">
            <v>MTN</v>
          </cell>
          <cell r="I1424" t="str">
            <v>ANYAMA</v>
          </cell>
          <cell r="J1424" t="str">
            <v>ANYAMA</v>
          </cell>
          <cell r="K1424" t="str">
            <v>ABIDJAN</v>
          </cell>
          <cell r="L1424" t="str">
            <v>ABIDJAN</v>
          </cell>
          <cell r="M1424" t="str">
            <v>ABOBO</v>
          </cell>
          <cell r="N1424" t="str">
            <v>ABIDJAN</v>
          </cell>
        </row>
        <row r="1425">
          <cell r="B1425" t="str">
            <v>ET463</v>
          </cell>
          <cell r="C1425" t="str">
            <v>SAFCO</v>
          </cell>
          <cell r="D1425" t="str">
            <v>-4.9255</v>
          </cell>
          <cell r="E1425" t="str">
            <v>6.13315</v>
          </cell>
          <cell r="F1425" t="str">
            <v>2G/3G/4G</v>
          </cell>
          <cell r="G1425" t="str">
            <v>ERICSSON</v>
          </cell>
          <cell r="H1425" t="str">
            <v>MOOV</v>
          </cell>
          <cell r="I1425" t="str">
            <v>SAFCO</v>
          </cell>
          <cell r="J1425" t="str">
            <v>PACCOBO</v>
          </cell>
          <cell r="K1425" t="str">
            <v>TAABO</v>
          </cell>
          <cell r="L1425" t="str">
            <v>AGNEBY-TIASSA</v>
          </cell>
          <cell r="M1425" t="str">
            <v>YOPOUGON SABLE</v>
          </cell>
          <cell r="N1425" t="str">
            <v>UPCOUNTRY</v>
          </cell>
        </row>
        <row r="1426">
          <cell r="B1426" t="str">
            <v>ET464</v>
          </cell>
          <cell r="C1426" t="str">
            <v>LOMO_SUD</v>
          </cell>
          <cell r="D1426" t="str">
            <v>-4.97286</v>
          </cell>
          <cell r="E1426" t="str">
            <v>6.3183</v>
          </cell>
          <cell r="F1426" t="str">
            <v>2G/3G/4G</v>
          </cell>
          <cell r="G1426" t="str">
            <v>HUAWEI</v>
          </cell>
          <cell r="H1426" t="str">
            <v>MOOV</v>
          </cell>
          <cell r="I1426" t="str">
            <v>LOMO-SUD</v>
          </cell>
          <cell r="J1426" t="str">
            <v>KPOUEBO</v>
          </cell>
          <cell r="K1426" t="str">
            <v>TOUMODI</v>
          </cell>
          <cell r="L1426" t="str">
            <v>BELIER</v>
          </cell>
          <cell r="M1426" t="str">
            <v>YAMOUSSOUKRO</v>
          </cell>
          <cell r="N1426" t="str">
            <v>UPCOUNTRY</v>
          </cell>
        </row>
        <row r="1427">
          <cell r="B1427" t="str">
            <v>ET465</v>
          </cell>
          <cell r="C1427" t="str">
            <v>GOMON3</v>
          </cell>
          <cell r="D1427" t="str">
            <v>-4.442883</v>
          </cell>
          <cell r="E1427" t="str">
            <v>5.62285</v>
          </cell>
          <cell r="F1427" t="str">
            <v>2G/3G/4G</v>
          </cell>
          <cell r="G1427" t="str">
            <v>ERICSSON</v>
          </cell>
          <cell r="H1427" t="str">
            <v>MOOV</v>
          </cell>
          <cell r="I1427" t="str">
            <v>GOMON3</v>
          </cell>
          <cell r="J1427" t="str">
            <v>SIKENSI</v>
          </cell>
          <cell r="K1427" t="str">
            <v>SIKENSI</v>
          </cell>
          <cell r="L1427" t="str">
            <v>AGNEBY-TIASSA</v>
          </cell>
          <cell r="M1427" t="str">
            <v>YOPOUGON SABLE</v>
          </cell>
          <cell r="N1427" t="str">
            <v>UPCOUNTRY</v>
          </cell>
        </row>
        <row r="1428">
          <cell r="B1428" t="str">
            <v>ET466</v>
          </cell>
          <cell r="C1428" t="str">
            <v>KROGBA</v>
          </cell>
          <cell r="D1428" t="str">
            <v>-4.241027</v>
          </cell>
          <cell r="E1428" t="str">
            <v>5.505666</v>
          </cell>
          <cell r="F1428" t="str">
            <v>2G/3G/4G</v>
          </cell>
          <cell r="G1428" t="str">
            <v>ERICSSON</v>
          </cell>
          <cell r="H1428" t="str">
            <v>MOOV</v>
          </cell>
          <cell r="I1428" t="str">
            <v>KROGBA</v>
          </cell>
          <cell r="J1428" t="str">
            <v>SONGON</v>
          </cell>
          <cell r="K1428" t="str">
            <v>ABIDJAN</v>
          </cell>
          <cell r="L1428" t="str">
            <v>ABIDJAN</v>
          </cell>
          <cell r="M1428" t="str">
            <v>YOPOUGON SABLE</v>
          </cell>
          <cell r="N1428" t="str">
            <v>ABIDJAN</v>
          </cell>
        </row>
        <row r="1429">
          <cell r="B1429" t="str">
            <v>ET467</v>
          </cell>
          <cell r="C1429" t="str">
            <v>KOSSIHOUEN</v>
          </cell>
          <cell r="D1429" t="str">
            <v>-4.28058</v>
          </cell>
          <cell r="E1429" t="str">
            <v>5.52879</v>
          </cell>
          <cell r="F1429" t="str">
            <v>2G/3G/4G</v>
          </cell>
          <cell r="G1429" t="str">
            <v>ERICSSON</v>
          </cell>
          <cell r="H1429" t="str">
            <v>MOOV</v>
          </cell>
          <cell r="I1429" t="str">
            <v>KOSSIHOUEN</v>
          </cell>
          <cell r="J1429" t="str">
            <v>SONGON</v>
          </cell>
          <cell r="K1429" t="str">
            <v>ABIDJAN</v>
          </cell>
          <cell r="L1429" t="str">
            <v>ABIDJAN</v>
          </cell>
          <cell r="M1429" t="str">
            <v>YOPOUGON SABLE</v>
          </cell>
          <cell r="N1429" t="str">
            <v>ABIDJAN</v>
          </cell>
        </row>
        <row r="1430">
          <cell r="B1430" t="str">
            <v>ET468</v>
          </cell>
          <cell r="C1430" t="str">
            <v>SAHUYE</v>
          </cell>
          <cell r="D1430" t="str">
            <v>-4.53019</v>
          </cell>
          <cell r="E1430" t="str">
            <v>5.73045</v>
          </cell>
          <cell r="F1430" t="str">
            <v>2G/3G/4G</v>
          </cell>
          <cell r="G1430" t="str">
            <v>ERICSSON</v>
          </cell>
          <cell r="H1430" t="str">
            <v>MOOV</v>
          </cell>
          <cell r="I1430" t="str">
            <v>SAHUYE</v>
          </cell>
          <cell r="J1430" t="str">
            <v>GOMON</v>
          </cell>
          <cell r="K1430" t="str">
            <v>SIKENSI</v>
          </cell>
          <cell r="L1430" t="str">
            <v>AGNEBY-TIASSA</v>
          </cell>
          <cell r="M1430" t="str">
            <v>YOPOUGON SABLE</v>
          </cell>
          <cell r="N1430" t="str">
            <v>UPCOUNTRY</v>
          </cell>
        </row>
        <row r="1431">
          <cell r="B1431" t="str">
            <v>ET469</v>
          </cell>
          <cell r="C1431" t="str">
            <v>KAVI</v>
          </cell>
          <cell r="D1431" t="str">
            <v>-4.58324</v>
          </cell>
          <cell r="E1431" t="str">
            <v>5.81146</v>
          </cell>
          <cell r="F1431" t="str">
            <v>2G/3G/4G</v>
          </cell>
          <cell r="G1431" t="str">
            <v>ERICSSON</v>
          </cell>
          <cell r="H1431" t="str">
            <v>MOOV</v>
          </cell>
          <cell r="I1431" t="str">
            <v>KAVI</v>
          </cell>
          <cell r="J1431" t="str">
            <v>GBOLOUVILLE</v>
          </cell>
          <cell r="K1431" t="str">
            <v>TIASSALE</v>
          </cell>
          <cell r="L1431" t="str">
            <v>AGNEBY-TIASSA</v>
          </cell>
          <cell r="M1431" t="str">
            <v>YOPOUGON SABLE</v>
          </cell>
          <cell r="N1431" t="str">
            <v>UPCOUNTRY</v>
          </cell>
        </row>
        <row r="1432">
          <cell r="B1432" t="str">
            <v>ET470</v>
          </cell>
          <cell r="C1432" t="str">
            <v>ATTINGUIE_ZI</v>
          </cell>
          <cell r="D1432" t="str">
            <v>-4.17504</v>
          </cell>
          <cell r="E1432" t="str">
            <v>5.44981</v>
          </cell>
          <cell r="F1432" t="str">
            <v>2G/3G/4G</v>
          </cell>
          <cell r="G1432" t="str">
            <v>ERICSSON</v>
          </cell>
          <cell r="H1432" t="str">
            <v>MOOV</v>
          </cell>
          <cell r="I1432" t="str">
            <v>ATTINGUIE</v>
          </cell>
          <cell r="J1432" t="str">
            <v>ANYAMA</v>
          </cell>
          <cell r="K1432" t="str">
            <v>ABIDJAN</v>
          </cell>
          <cell r="L1432" t="str">
            <v>ABIDJAN</v>
          </cell>
          <cell r="M1432" t="str">
            <v>YOPOUGON SABLE</v>
          </cell>
          <cell r="N1432" t="str">
            <v>ABIDJAN</v>
          </cell>
        </row>
        <row r="1433">
          <cell r="B1433" t="str">
            <v>ET471</v>
          </cell>
          <cell r="C1433" t="str">
            <v>NDAKRO</v>
          </cell>
          <cell r="D1433" t="str">
            <v>-4.727667</v>
          </cell>
          <cell r="E1433" t="str">
            <v>5.9494</v>
          </cell>
          <cell r="F1433" t="str">
            <v>2G/3G/4G</v>
          </cell>
          <cell r="G1433" t="str">
            <v>ERICSSON</v>
          </cell>
          <cell r="H1433" t="str">
            <v>MOOV</v>
          </cell>
          <cell r="I1433" t="str">
            <v>NDAKRO</v>
          </cell>
          <cell r="J1433" t="str">
            <v>MOROKRO</v>
          </cell>
          <cell r="K1433" t="str">
            <v>TIASSALE</v>
          </cell>
          <cell r="L1433" t="str">
            <v>AGNEBY-TIASSA</v>
          </cell>
          <cell r="M1433" t="str">
            <v>YOPOUGON SABLE</v>
          </cell>
          <cell r="N1433" t="str">
            <v>UPCOUNTRY</v>
          </cell>
        </row>
        <row r="1434">
          <cell r="B1434" t="str">
            <v>ET472</v>
          </cell>
          <cell r="C1434" t="str">
            <v>PACOBO</v>
          </cell>
          <cell r="D1434" t="str">
            <v>-4.94132</v>
          </cell>
          <cell r="E1434" t="str">
            <v>6.16961</v>
          </cell>
          <cell r="F1434" t="str">
            <v>2G/3G/4G</v>
          </cell>
          <cell r="G1434" t="str">
            <v>ERICSSON</v>
          </cell>
          <cell r="H1434" t="str">
            <v>MOOV</v>
          </cell>
          <cell r="I1434" t="str">
            <v>PACOBO</v>
          </cell>
          <cell r="J1434" t="str">
            <v>PACCOBO</v>
          </cell>
          <cell r="K1434" t="str">
            <v>TAABO</v>
          </cell>
          <cell r="L1434" t="str">
            <v>AGNEBY-TIASSA</v>
          </cell>
          <cell r="M1434" t="str">
            <v>YAMOUSSOUKRO</v>
          </cell>
          <cell r="N1434" t="str">
            <v>UPCOUNTRY</v>
          </cell>
        </row>
        <row r="1435">
          <cell r="B1435" t="str">
            <v>ET473</v>
          </cell>
          <cell r="C1435" t="str">
            <v>FONDI</v>
          </cell>
          <cell r="D1435" t="str">
            <v>-5.185197</v>
          </cell>
          <cell r="E1435" t="str">
            <v>6.711213</v>
          </cell>
          <cell r="F1435" t="str">
            <v>2G/3G/4G</v>
          </cell>
          <cell r="G1435" t="str">
            <v>HUAWEI</v>
          </cell>
          <cell r="H1435" t="str">
            <v>MOOV</v>
          </cell>
          <cell r="I1435" t="str">
            <v>FONDI</v>
          </cell>
          <cell r="J1435" t="str">
            <v>YAMOUSSOUKRO</v>
          </cell>
          <cell r="K1435" t="str">
            <v>YAMOUSSOUKRO</v>
          </cell>
          <cell r="L1435" t="str">
            <v>YAMOUSSOUKRO</v>
          </cell>
          <cell r="M1435" t="str">
            <v>YAMOUSSOUKRO</v>
          </cell>
          <cell r="N1435" t="str">
            <v>UPCOUNTRY</v>
          </cell>
        </row>
        <row r="1436">
          <cell r="B1436" t="str">
            <v>ET474</v>
          </cell>
          <cell r="C1436" t="str">
            <v>DIO</v>
          </cell>
          <cell r="D1436" t="str">
            <v>-7.577211</v>
          </cell>
          <cell r="E1436" t="str">
            <v>7.781262</v>
          </cell>
          <cell r="F1436" t="str">
            <v>2G/3G/4G</v>
          </cell>
          <cell r="G1436" t="str">
            <v>HUAWEI</v>
          </cell>
          <cell r="H1436" t="str">
            <v>MOOV</v>
          </cell>
          <cell r="I1436" t="str">
            <v>DIO</v>
          </cell>
          <cell r="J1436" t="str">
            <v>BIANKOUMA</v>
          </cell>
          <cell r="K1436" t="str">
            <v>BIANKOUMA</v>
          </cell>
          <cell r="L1436" t="str">
            <v>TONKPI</v>
          </cell>
          <cell r="M1436" t="str">
            <v>MAN</v>
          </cell>
          <cell r="N1436" t="str">
            <v>UPCOUNTRY</v>
          </cell>
        </row>
        <row r="1437">
          <cell r="B1437" t="str">
            <v>ET475</v>
          </cell>
          <cell r="C1437" t="str">
            <v>SAKIARE</v>
          </cell>
          <cell r="D1437" t="str">
            <v>-5.26961</v>
          </cell>
          <cell r="E1437" t="str">
            <v>7.03339</v>
          </cell>
          <cell r="F1437" t="str">
            <v>2G/3G/4G</v>
          </cell>
          <cell r="G1437" t="str">
            <v>HUAWEI</v>
          </cell>
          <cell r="H1437" t="str">
            <v>MOOV</v>
          </cell>
          <cell r="I1437" t="str">
            <v>SAKIARE</v>
          </cell>
          <cell r="J1437" t="str">
            <v>LOLOBO</v>
          </cell>
          <cell r="K1437" t="str">
            <v>ATTIEGOUAKRO</v>
          </cell>
          <cell r="L1437" t="str">
            <v>YAMOUSSOUKRO</v>
          </cell>
          <cell r="M1437" t="str">
            <v>YAMOUSSOUKRO</v>
          </cell>
          <cell r="N1437" t="str">
            <v>UPCOUNTRY</v>
          </cell>
        </row>
        <row r="1438">
          <cell r="B1438" t="str">
            <v>ET476</v>
          </cell>
          <cell r="C1438" t="str">
            <v>KONDOUKRO</v>
          </cell>
          <cell r="D1438" t="str">
            <v>-5.0845528</v>
          </cell>
          <cell r="E1438" t="str">
            <v>7.454391</v>
          </cell>
          <cell r="F1438" t="str">
            <v>2G/3G/4G</v>
          </cell>
          <cell r="G1438" t="str">
            <v>HUAWEI</v>
          </cell>
          <cell r="H1438" t="str">
            <v>MOOV</v>
          </cell>
          <cell r="I1438" t="str">
            <v>KONDOUKRO</v>
          </cell>
          <cell r="J1438" t="str">
            <v>DJEBONOUA</v>
          </cell>
          <cell r="K1438" t="str">
            <v>BOUAKE</v>
          </cell>
          <cell r="L1438" t="str">
            <v>GBEKE</v>
          </cell>
          <cell r="M1438" t="str">
            <v>BOUAKE</v>
          </cell>
          <cell r="N1438" t="str">
            <v>UPCOUNTRY</v>
          </cell>
        </row>
        <row r="1439">
          <cell r="B1439" t="str">
            <v>ET477</v>
          </cell>
          <cell r="C1439" t="str">
            <v>ALLAKRO_CENTRE</v>
          </cell>
          <cell r="D1439" t="str">
            <v>-5.0561764</v>
          </cell>
          <cell r="E1439" t="str">
            <v>7.9361013</v>
          </cell>
          <cell r="F1439" t="str">
            <v>2G/3G/4G</v>
          </cell>
          <cell r="G1439" t="str">
            <v>HUAWEI</v>
          </cell>
          <cell r="H1439" t="str">
            <v>MOOV</v>
          </cell>
          <cell r="I1439" t="str">
            <v>ALLAKRO-BOUAKE</v>
          </cell>
          <cell r="J1439" t="str">
            <v>BOUAKE</v>
          </cell>
          <cell r="K1439" t="str">
            <v>BOUAKE</v>
          </cell>
          <cell r="L1439" t="str">
            <v>GBEKE</v>
          </cell>
          <cell r="M1439" t="str">
            <v>BOUAKE</v>
          </cell>
          <cell r="N1439" t="str">
            <v>UPCOUNTRY</v>
          </cell>
        </row>
        <row r="1440">
          <cell r="B1440" t="str">
            <v>ET478</v>
          </cell>
          <cell r="C1440" t="str">
            <v>HOUPHOUETKAHA</v>
          </cell>
          <cell r="D1440" t="str">
            <v>-5.28033</v>
          </cell>
          <cell r="E1440" t="str">
            <v>9.60447</v>
          </cell>
          <cell r="F1440" t="str">
            <v>2G/3G/4G</v>
          </cell>
          <cell r="G1440" t="str">
            <v>HUAWEI</v>
          </cell>
          <cell r="H1440" t="str">
            <v>MOOV</v>
          </cell>
          <cell r="I1440" t="str">
            <v>HOUPHOUETKAHA</v>
          </cell>
          <cell r="J1440" t="str">
            <v>FERKESSEDOUGOU</v>
          </cell>
          <cell r="K1440" t="str">
            <v>FERKESSEDOUGOU</v>
          </cell>
          <cell r="L1440" t="str">
            <v>TCHOLOGO</v>
          </cell>
          <cell r="M1440" t="str">
            <v>KORHOGO</v>
          </cell>
          <cell r="N1440" t="str">
            <v>UPCOUNTRY</v>
          </cell>
        </row>
        <row r="1441">
          <cell r="B1441" t="str">
            <v>ET479</v>
          </cell>
          <cell r="C1441" t="str">
            <v>MOMIRASSO</v>
          </cell>
          <cell r="D1441" t="str">
            <v>-5.17064</v>
          </cell>
          <cell r="E1441" t="str">
            <v>9.71222</v>
          </cell>
          <cell r="F1441" t="str">
            <v>2G/3G/4G</v>
          </cell>
          <cell r="G1441" t="str">
            <v>HUAWEI</v>
          </cell>
          <cell r="H1441" t="str">
            <v>MOOV</v>
          </cell>
          <cell r="I1441" t="str">
            <v>MOMIRASSO</v>
          </cell>
          <cell r="J1441" t="str">
            <v>FERKESSEDOUGOU</v>
          </cell>
          <cell r="K1441" t="str">
            <v>FERKESSEDOUGOU</v>
          </cell>
          <cell r="L1441" t="str">
            <v>TCHOLOGO</v>
          </cell>
          <cell r="M1441" t="str">
            <v>KORHOGO</v>
          </cell>
          <cell r="N1441" t="str">
            <v>UPCOUNTRY</v>
          </cell>
        </row>
        <row r="1442">
          <cell r="B1442" t="str">
            <v>ET480</v>
          </cell>
          <cell r="C1442" t="str">
            <v>SEPENEDJOKAHA</v>
          </cell>
          <cell r="D1442" t="str">
            <v>-5.16055</v>
          </cell>
          <cell r="E1442" t="str">
            <v>9.84503</v>
          </cell>
          <cell r="F1442" t="str">
            <v>2G/3G/4G</v>
          </cell>
          <cell r="G1442" t="str">
            <v>HUAWEI</v>
          </cell>
          <cell r="H1442" t="str">
            <v>MOOV</v>
          </cell>
          <cell r="I1442" t="str">
            <v>SEPENEDJOKAHA</v>
          </cell>
          <cell r="J1442" t="str">
            <v>FERKESSEDOUGOU</v>
          </cell>
          <cell r="K1442" t="str">
            <v>FERKESSEDOUGOU</v>
          </cell>
          <cell r="L1442" t="str">
            <v>TCHOLOGO</v>
          </cell>
          <cell r="M1442" t="str">
            <v>KORHOGO</v>
          </cell>
          <cell r="N1442" t="str">
            <v>UPCOUNTRY</v>
          </cell>
        </row>
        <row r="1443">
          <cell r="B1443" t="str">
            <v>ET481</v>
          </cell>
          <cell r="C1443" t="str">
            <v>TOUMODI_AUTOROUTE</v>
          </cell>
          <cell r="D1443" t="str">
            <v>-5.032169</v>
          </cell>
          <cell r="E1443" t="str">
            <v>6.549042</v>
          </cell>
          <cell r="F1443" t="str">
            <v>2G/3G/4G</v>
          </cell>
          <cell r="G1443" t="str">
            <v>HUAWEI</v>
          </cell>
          <cell r="H1443" t="str">
            <v>MOOV</v>
          </cell>
          <cell r="I1443" t="str">
            <v>TOUMODI</v>
          </cell>
          <cell r="J1443" t="str">
            <v>TOUMODI</v>
          </cell>
          <cell r="K1443" t="str">
            <v>TOUMODI</v>
          </cell>
          <cell r="L1443" t="str">
            <v>BELIER</v>
          </cell>
          <cell r="M1443" t="str">
            <v>YAMOUSSOUKRO</v>
          </cell>
          <cell r="N1443" t="str">
            <v>UPCOUNTRY</v>
          </cell>
        </row>
        <row r="1444">
          <cell r="B1444" t="str">
            <v>ET482</v>
          </cell>
          <cell r="C1444" t="str">
            <v>CORRIDOR_LALERABA</v>
          </cell>
          <cell r="D1444" t="str">
            <v>-5.075061</v>
          </cell>
          <cell r="E1444" t="str">
            <v>10.159254</v>
          </cell>
          <cell r="F1444" t="str">
            <v>2G/3G/4G</v>
          </cell>
          <cell r="G1444" t="str">
            <v>HUAWEI</v>
          </cell>
          <cell r="H1444" t="str">
            <v>MOOV</v>
          </cell>
          <cell r="I1444" t="str">
            <v>LALERABA</v>
          </cell>
          <cell r="J1444" t="str">
            <v>KAOUARA</v>
          </cell>
          <cell r="K1444" t="str">
            <v>OUANGOLODOUGOU</v>
          </cell>
          <cell r="L1444" t="str">
            <v>TCHOLOGO</v>
          </cell>
          <cell r="M1444" t="str">
            <v>KORHOGO</v>
          </cell>
          <cell r="N1444" t="str">
            <v>UPCOUNTRY</v>
          </cell>
        </row>
        <row r="1445">
          <cell r="B1445" t="str">
            <v>ET483</v>
          </cell>
          <cell r="C1445" t="str">
            <v>SAMO</v>
          </cell>
          <cell r="D1445" t="str">
            <v>-3.527111</v>
          </cell>
          <cell r="E1445" t="str">
            <v>5.282020</v>
          </cell>
          <cell r="F1445" t="str">
            <v>2G/3G/4G</v>
          </cell>
          <cell r="G1445" t="str">
            <v>HUAWEI</v>
          </cell>
          <cell r="H1445" t="str">
            <v>MOOV</v>
          </cell>
          <cell r="I1445" t="str">
            <v>SAMO</v>
          </cell>
          <cell r="J1445" t="str">
            <v>BONOUA</v>
          </cell>
          <cell r="K1445" t="str">
            <v>GRAND-BASSAM</v>
          </cell>
          <cell r="L1445" t="str">
            <v>SUD-COMOE</v>
          </cell>
          <cell r="M1445" t="str">
            <v>MARCORY</v>
          </cell>
          <cell r="N1445" t="str">
            <v>UPCOUNTRY</v>
          </cell>
        </row>
        <row r="1446">
          <cell r="B1446" t="str">
            <v>ET484</v>
          </cell>
          <cell r="C1446" t="str">
            <v>DIATOKRO</v>
          </cell>
          <cell r="D1446" t="str">
            <v>-3.33703</v>
          </cell>
          <cell r="E1446" t="str">
            <v>5.40628</v>
          </cell>
          <cell r="F1446" t="str">
            <v>2G/3G/4G</v>
          </cell>
          <cell r="G1446" t="str">
            <v>ERICSSON</v>
          </cell>
          <cell r="H1446" t="str">
            <v>MOOV</v>
          </cell>
          <cell r="I1446" t="str">
            <v>DIATOKRO</v>
          </cell>
          <cell r="J1446" t="str">
            <v>ADAOU</v>
          </cell>
          <cell r="K1446" t="str">
            <v>ABOISSO</v>
          </cell>
          <cell r="L1446" t="str">
            <v>SUD-COMOE</v>
          </cell>
          <cell r="M1446" t="str">
            <v>MARCORY</v>
          </cell>
          <cell r="N1446" t="str">
            <v>UPCOUNTRY</v>
          </cell>
        </row>
        <row r="1447">
          <cell r="B1447" t="str">
            <v>ET485</v>
          </cell>
          <cell r="C1447" t="str">
            <v>BINGES_BREGBO</v>
          </cell>
          <cell r="D1447" t="str">
            <v>-3.8274</v>
          </cell>
          <cell r="E1447" t="str">
            <v>5.306141</v>
          </cell>
          <cell r="F1447" t="str">
            <v>2G/3G/4G</v>
          </cell>
          <cell r="G1447" t="str">
            <v>ERICSSON</v>
          </cell>
          <cell r="H1447" t="str">
            <v>IHS</v>
          </cell>
          <cell r="I1447" t="str">
            <v>BINGERVILLE</v>
          </cell>
          <cell r="J1447" t="str">
            <v>BINGERVILLE</v>
          </cell>
          <cell r="K1447" t="str">
            <v>ABIDJAN</v>
          </cell>
          <cell r="L1447" t="str">
            <v>ABIDJAN</v>
          </cell>
          <cell r="M1447" t="str">
            <v>COCODY LATRILLE</v>
          </cell>
          <cell r="N1447" t="str">
            <v>ABIDJAN</v>
          </cell>
        </row>
        <row r="1448">
          <cell r="B1448" t="str">
            <v>ET486</v>
          </cell>
          <cell r="C1448" t="str">
            <v>KATCHEKAN</v>
          </cell>
          <cell r="D1448" t="str">
            <v>-4.88518</v>
          </cell>
          <cell r="E1448" t="str">
            <v>5.31045</v>
          </cell>
          <cell r="F1448" t="str">
            <v>2G/3G/4G</v>
          </cell>
          <cell r="G1448" t="str">
            <v>ERICSSON</v>
          </cell>
          <cell r="H1448" t="str">
            <v>MOOV</v>
          </cell>
          <cell r="I1448" t="str">
            <v>KATCHEKAN/KATCHEKAM</v>
          </cell>
          <cell r="J1448" t="str">
            <v>GRAND-LAHOU</v>
          </cell>
          <cell r="K1448" t="str">
            <v>GRAND-LAHOU</v>
          </cell>
          <cell r="L1448" t="str">
            <v>GRANDS-PONTS</v>
          </cell>
          <cell r="M1448" t="str">
            <v>YOPOUGON FICGAYO</v>
          </cell>
          <cell r="N1448" t="str">
            <v>UPCOUNTRY</v>
          </cell>
        </row>
        <row r="1449">
          <cell r="B1449" t="str">
            <v>ET487</v>
          </cell>
          <cell r="C1449" t="str">
            <v>ZUZUOKO</v>
          </cell>
          <cell r="D1449" t="str">
            <v>-5.75764</v>
          </cell>
          <cell r="E1449" t="str">
            <v>5.10697</v>
          </cell>
          <cell r="F1449" t="str">
            <v>2G/3G/4G</v>
          </cell>
          <cell r="G1449" t="str">
            <v>ERICSSON</v>
          </cell>
          <cell r="H1449" t="str">
            <v>MOOV</v>
          </cell>
          <cell r="I1449" t="str">
            <v>ZUZUOKO</v>
          </cell>
          <cell r="J1449" t="str">
            <v>FRESCO</v>
          </cell>
          <cell r="K1449" t="str">
            <v>GBOKLE</v>
          </cell>
          <cell r="L1449" t="str">
            <v>GBOKLE</v>
          </cell>
          <cell r="M1449" t="str">
            <v>SAN-PEDRO</v>
          </cell>
          <cell r="N1449" t="str">
            <v>UPCOUNTRY</v>
          </cell>
        </row>
        <row r="1450">
          <cell r="B1450" t="str">
            <v>IM467</v>
          </cell>
          <cell r="C1450" t="str">
            <v>NEW_ABIDJAN_MALL</v>
          </cell>
          <cell r="D1450" t="str">
            <v>-3.966303</v>
          </cell>
          <cell r="E1450" t="str">
            <v>5.361115</v>
          </cell>
          <cell r="F1450" t="str">
            <v>2G/3G/4G</v>
          </cell>
          <cell r="G1450" t="str">
            <v>ERICSSON</v>
          </cell>
          <cell r="H1450" t="str">
            <v>IHS</v>
          </cell>
          <cell r="I1450" t="str">
            <v>COCODY</v>
          </cell>
          <cell r="J1450" t="str">
            <v>ABIDJAN</v>
          </cell>
          <cell r="K1450" t="str">
            <v>ABIDJAN</v>
          </cell>
          <cell r="L1450" t="str">
            <v>ABIDJAN</v>
          </cell>
          <cell r="M1450" t="str">
            <v>COCODY LATRILLE</v>
          </cell>
          <cell r="N1450" t="str">
            <v>ABIDJAN</v>
          </cell>
        </row>
        <row r="1451">
          <cell r="B1451" t="str">
            <v>ET489</v>
          </cell>
          <cell r="C1451" t="str">
            <v>GRAND_JACQUES</v>
          </cell>
          <cell r="D1451" t="str">
            <v>-4.472529</v>
          </cell>
          <cell r="E1451" t="str">
            <v>5.196886</v>
          </cell>
          <cell r="F1451" t="str">
            <v>2G/3G/4G</v>
          </cell>
          <cell r="G1451" t="str">
            <v>ERICSSON</v>
          </cell>
          <cell r="H1451" t="str">
            <v>MOOV</v>
          </cell>
          <cell r="I1451" t="str">
            <v>GRAND-JACK</v>
          </cell>
          <cell r="J1451" t="str">
            <v>JACQUEVILLE</v>
          </cell>
          <cell r="K1451" t="str">
            <v>JACQUEVILLE</v>
          </cell>
          <cell r="L1451" t="str">
            <v>GRANDS-PONTS</v>
          </cell>
          <cell r="M1451" t="str">
            <v>YOPOUGON FICGAYO</v>
          </cell>
          <cell r="N1451" t="str">
            <v>UPCOUNTRY</v>
          </cell>
        </row>
        <row r="1452">
          <cell r="B1452" t="str">
            <v>ET490</v>
          </cell>
          <cell r="C1452" t="str">
            <v>CANTONDOUGOU</v>
          </cell>
          <cell r="D1452" t="str">
            <v>-6.41676</v>
          </cell>
          <cell r="E1452" t="str">
            <v>4.8756</v>
          </cell>
          <cell r="F1452" t="str">
            <v>2G/3G/4G</v>
          </cell>
          <cell r="G1452" t="str">
            <v>ERICSSON</v>
          </cell>
          <cell r="H1452" t="str">
            <v>MOOV</v>
          </cell>
          <cell r="I1452" t="str">
            <v>CANTONDOUGOU</v>
          </cell>
          <cell r="J1452" t="str">
            <v>SAN-PEDRO</v>
          </cell>
          <cell r="K1452" t="str">
            <v>SAN-PEDRO</v>
          </cell>
          <cell r="L1452" t="str">
            <v>SAN-PEDRO</v>
          </cell>
          <cell r="M1452" t="str">
            <v>SAN-PEDRO</v>
          </cell>
          <cell r="N1452" t="str">
            <v>UPCOUNTRY</v>
          </cell>
        </row>
        <row r="1453">
          <cell r="B1453" t="str">
            <v>ET492</v>
          </cell>
          <cell r="C1453" t="str">
            <v>ADAHIDOUKOU</v>
          </cell>
          <cell r="D1453" t="str">
            <v>-5.23066</v>
          </cell>
          <cell r="E1453" t="str">
            <v>5.30905</v>
          </cell>
          <cell r="F1453" t="str">
            <v>2G/3G/4G</v>
          </cell>
          <cell r="G1453" t="str">
            <v>ERICSSON</v>
          </cell>
          <cell r="H1453" t="str">
            <v>MOOV</v>
          </cell>
          <cell r="I1453" t="str">
            <v>ADAHIDOUKOU</v>
          </cell>
          <cell r="J1453" t="str">
            <v>LAUZOUA</v>
          </cell>
          <cell r="K1453" t="str">
            <v>GUITRY</v>
          </cell>
          <cell r="L1453" t="str">
            <v>LOH-DJIBOUA</v>
          </cell>
          <cell r="M1453" t="str">
            <v>DIVO</v>
          </cell>
          <cell r="N1453" t="str">
            <v>UPCOUNTRY</v>
          </cell>
        </row>
        <row r="1454">
          <cell r="B1454" t="str">
            <v>ET493</v>
          </cell>
          <cell r="C1454" t="str">
            <v>ADIAPOTO</v>
          </cell>
          <cell r="D1454" t="str">
            <v>-4.19584</v>
          </cell>
          <cell r="E1454" t="str">
            <v>5.31711</v>
          </cell>
          <cell r="F1454" t="str">
            <v>2G/3G/4G</v>
          </cell>
          <cell r="G1454" t="str">
            <v>ERICSSON</v>
          </cell>
          <cell r="H1454" t="str">
            <v>MOOV</v>
          </cell>
          <cell r="I1454" t="str">
            <v>ADIAPOTO</v>
          </cell>
          <cell r="J1454" t="str">
            <v>SONGON</v>
          </cell>
          <cell r="K1454" t="str">
            <v>ABIDJAN</v>
          </cell>
          <cell r="L1454" t="str">
            <v>ABIDJAN</v>
          </cell>
          <cell r="M1454" t="str">
            <v>YOPOUGON FICGAYO</v>
          </cell>
          <cell r="N1454" t="str">
            <v>ABIDJAN</v>
          </cell>
        </row>
        <row r="1455">
          <cell r="B1455" t="str">
            <v>ET494</v>
          </cell>
          <cell r="C1455" t="str">
            <v>GNADJI</v>
          </cell>
          <cell r="D1455" t="str">
            <v>-6.5284</v>
          </cell>
          <cell r="E1455" t="str">
            <v>4.84827</v>
          </cell>
          <cell r="F1455" t="str">
            <v>2G/3G/4G</v>
          </cell>
          <cell r="G1455" t="str">
            <v>ERICSSON</v>
          </cell>
          <cell r="H1455" t="str">
            <v>MOOV</v>
          </cell>
          <cell r="I1455" t="str">
            <v>MAPRI</v>
          </cell>
          <cell r="J1455" t="str">
            <v>SAN-PEDRO</v>
          </cell>
          <cell r="K1455" t="str">
            <v>SAN-PEDRO</v>
          </cell>
          <cell r="L1455" t="str">
            <v>SAN-PEDRO</v>
          </cell>
          <cell r="M1455" t="str">
            <v>SAN-PEDRO</v>
          </cell>
          <cell r="N1455" t="str">
            <v>UPCOUNTRY</v>
          </cell>
        </row>
        <row r="1456">
          <cell r="B1456" t="str">
            <v>ET495</v>
          </cell>
          <cell r="C1456" t="str">
            <v>BINGES_AKWE_DJEMIN</v>
          </cell>
          <cell r="D1456" t="str">
            <v>-3.860967</v>
          </cell>
          <cell r="E1456" t="str">
            <v>5.342567</v>
          </cell>
          <cell r="F1456" t="str">
            <v>2G/3G/4G</v>
          </cell>
          <cell r="G1456" t="str">
            <v>ERICSSON</v>
          </cell>
          <cell r="H1456" t="str">
            <v>OCI</v>
          </cell>
          <cell r="I1456" t="str">
            <v>BINGERVILLE</v>
          </cell>
          <cell r="J1456" t="str">
            <v>BINGERVILLE</v>
          </cell>
          <cell r="K1456" t="str">
            <v>ABIDJAN</v>
          </cell>
          <cell r="L1456" t="str">
            <v>ABIDJAN</v>
          </cell>
          <cell r="M1456" t="str">
            <v>COCODY LATRILLE</v>
          </cell>
          <cell r="N1456" t="str">
            <v>ABIDJAN</v>
          </cell>
        </row>
        <row r="1457">
          <cell r="B1457" t="str">
            <v>ET496</v>
          </cell>
          <cell r="C1457" t="str">
            <v>AFFOTOBO</v>
          </cell>
          <cell r="D1457" t="str">
            <v>-5.46045</v>
          </cell>
          <cell r="E1457" t="str">
            <v>7.6704591</v>
          </cell>
          <cell r="F1457" t="str">
            <v>2G/3G/4G</v>
          </cell>
          <cell r="G1457" t="str">
            <v>HUAWEI</v>
          </cell>
          <cell r="H1457" t="str">
            <v>MOOV</v>
          </cell>
          <cell r="I1457" t="str">
            <v>AFFOTOBO</v>
          </cell>
          <cell r="J1457" t="str">
            <v>BEOUMI</v>
          </cell>
          <cell r="K1457" t="str">
            <v>BEOUMI</v>
          </cell>
          <cell r="L1457" t="str">
            <v>GBEKE</v>
          </cell>
          <cell r="M1457" t="str">
            <v>BOUAKE</v>
          </cell>
          <cell r="N1457" t="str">
            <v>UPCOUNTRY</v>
          </cell>
        </row>
        <row r="1458">
          <cell r="B1458" t="str">
            <v>ET497</v>
          </cell>
          <cell r="C1458" t="str">
            <v>AHOUGNANFOUTOU</v>
          </cell>
          <cell r="D1458" t="str">
            <v>-5.3210891</v>
          </cell>
          <cell r="E1458" t="str">
            <v>7.6857624</v>
          </cell>
          <cell r="F1458" t="str">
            <v>2G/3G/4G</v>
          </cell>
          <cell r="G1458" t="str">
            <v>HUAWEI</v>
          </cell>
          <cell r="H1458" t="str">
            <v>MOOV</v>
          </cell>
          <cell r="I1458" t="str">
            <v>AHOUGNANFOUTOU</v>
          </cell>
          <cell r="J1458" t="str">
            <v>LANGUIBONOU</v>
          </cell>
          <cell r="K1458" t="str">
            <v>BOTRO</v>
          </cell>
          <cell r="L1458" t="str">
            <v>GBEKE</v>
          </cell>
          <cell r="M1458" t="str">
            <v>BOUAKE</v>
          </cell>
          <cell r="N1458" t="str">
            <v>UPCOUNTRY</v>
          </cell>
        </row>
        <row r="1459">
          <cell r="B1459" t="str">
            <v>ET498</v>
          </cell>
          <cell r="C1459" t="str">
            <v>ANGOUA_YAOKRO</v>
          </cell>
          <cell r="D1459" t="str">
            <v>-5.2195645</v>
          </cell>
          <cell r="E1459" t="str">
            <v>7.6950398</v>
          </cell>
          <cell r="F1459" t="str">
            <v>2G/3G/4G</v>
          </cell>
          <cell r="G1459" t="str">
            <v>HUAWEI</v>
          </cell>
          <cell r="H1459" t="str">
            <v>MOOV</v>
          </cell>
          <cell r="I1459" t="str">
            <v>ANGOUA YAOKRO</v>
          </cell>
          <cell r="J1459" t="str">
            <v>LANGUIBONOU</v>
          </cell>
          <cell r="K1459" t="str">
            <v>BOTRO</v>
          </cell>
          <cell r="L1459" t="str">
            <v>GBEKE</v>
          </cell>
          <cell r="M1459" t="str">
            <v>BOUAKE</v>
          </cell>
          <cell r="N1459" t="str">
            <v>UPCOUNTRY</v>
          </cell>
        </row>
        <row r="1460">
          <cell r="B1460" t="str">
            <v>ET499</v>
          </cell>
          <cell r="C1460" t="str">
            <v>DOUGOUNOUKOUADIOKRO</v>
          </cell>
          <cell r="D1460" t="str">
            <v>-5.346423</v>
          </cell>
          <cell r="E1460" t="str">
            <v>6.83567</v>
          </cell>
          <cell r="F1460" t="str">
            <v>2G/3G/4G</v>
          </cell>
          <cell r="G1460" t="str">
            <v>HUAWEI</v>
          </cell>
          <cell r="H1460" t="str">
            <v>MOOV</v>
          </cell>
          <cell r="I1460" t="str">
            <v>DOUGOUNOUKOUADIOKRO</v>
          </cell>
          <cell r="J1460" t="str">
            <v>YAMOUSSOUKRO</v>
          </cell>
          <cell r="K1460" t="str">
            <v>YAMOUSSOUKRO</v>
          </cell>
          <cell r="L1460" t="str">
            <v>YAMOUSSOUKRO</v>
          </cell>
          <cell r="M1460" t="str">
            <v>YAMOUSSOUKRO</v>
          </cell>
          <cell r="N1460" t="str">
            <v>UPCOUNTRY</v>
          </cell>
        </row>
        <row r="1461">
          <cell r="B1461" t="str">
            <v>ET500</v>
          </cell>
          <cell r="C1461" t="str">
            <v>SAHABO_GESTOCI</v>
          </cell>
          <cell r="D1461" t="str">
            <v>-5.380525</v>
          </cell>
          <cell r="E1461" t="str">
            <v>6.844506</v>
          </cell>
          <cell r="F1461" t="str">
            <v>2G/3G/4G</v>
          </cell>
          <cell r="G1461" t="str">
            <v>HUAWEI</v>
          </cell>
          <cell r="H1461" t="str">
            <v>MOOV</v>
          </cell>
          <cell r="I1461" t="str">
            <v>SAHABO</v>
          </cell>
          <cell r="J1461" t="str">
            <v>YAMOUSSOUKRO</v>
          </cell>
          <cell r="K1461" t="str">
            <v>YAMOUSSOUKRO</v>
          </cell>
          <cell r="L1461" t="str">
            <v>YAMOUSSOUKRO</v>
          </cell>
          <cell r="M1461" t="str">
            <v>YAMOUSSOUKRO</v>
          </cell>
          <cell r="N1461" t="str">
            <v>UPCOUNTRY</v>
          </cell>
        </row>
        <row r="1462">
          <cell r="B1462" t="str">
            <v>ET501</v>
          </cell>
          <cell r="C1462" t="str">
            <v>GOURGUI</v>
          </cell>
          <cell r="D1462" t="str">
            <v>-5.59667</v>
          </cell>
          <cell r="E1462" t="str">
            <v>6.91806</v>
          </cell>
          <cell r="F1462" t="str">
            <v>2G/3G/4G</v>
          </cell>
          <cell r="G1462" t="str">
            <v>HUAWEI</v>
          </cell>
          <cell r="H1462" t="str">
            <v>MOOV</v>
          </cell>
          <cell r="I1462" t="str">
            <v>GOURGUI</v>
          </cell>
          <cell r="J1462" t="str">
            <v>BOUAFLE</v>
          </cell>
          <cell r="K1462" t="str">
            <v>BOUAFLE</v>
          </cell>
          <cell r="L1462" t="str">
            <v>MARAHOUE</v>
          </cell>
          <cell r="M1462" t="str">
            <v>YAMOUSSOUKRO</v>
          </cell>
          <cell r="N1462" t="str">
            <v>UPCOUNTRY</v>
          </cell>
        </row>
        <row r="1463">
          <cell r="B1463" t="str">
            <v>ET502</v>
          </cell>
          <cell r="C1463" t="str">
            <v>GOBAZRA</v>
          </cell>
          <cell r="D1463" t="str">
            <v>-5.96948</v>
          </cell>
          <cell r="E1463" t="str">
            <v>6.94469</v>
          </cell>
          <cell r="F1463" t="str">
            <v>2G/3G/4G</v>
          </cell>
          <cell r="G1463" t="str">
            <v>HUAWEI</v>
          </cell>
          <cell r="H1463" t="str">
            <v>MOOV</v>
          </cell>
          <cell r="I1463" t="str">
            <v>BOGNONZRA</v>
          </cell>
          <cell r="J1463" t="str">
            <v>BONON</v>
          </cell>
          <cell r="K1463" t="str">
            <v>BOUAFLE</v>
          </cell>
          <cell r="L1463" t="str">
            <v>MARAHOUE</v>
          </cell>
          <cell r="M1463" t="str">
            <v>YAMOUSSOUKRO</v>
          </cell>
          <cell r="N1463" t="str">
            <v>UPCOUNTRY</v>
          </cell>
        </row>
        <row r="1464">
          <cell r="B1464" t="str">
            <v>ET503</v>
          </cell>
          <cell r="C1464" t="str">
            <v>DJAHAKRO</v>
          </cell>
          <cell r="D1464" t="str">
            <v>-6.14778</v>
          </cell>
          <cell r="E1464" t="str">
            <v>6.89919</v>
          </cell>
          <cell r="F1464" t="str">
            <v>2G/3G/4G</v>
          </cell>
          <cell r="G1464" t="str">
            <v>HUAWEI</v>
          </cell>
          <cell r="H1464" t="str">
            <v>MOOV</v>
          </cell>
          <cell r="I1464" t="str">
            <v>DJAHAKRO</v>
          </cell>
          <cell r="J1464" t="str">
            <v>GONATE</v>
          </cell>
          <cell r="K1464" t="str">
            <v>DALOA</v>
          </cell>
          <cell r="L1464" t="str">
            <v>HAUT-SASSANDRA</v>
          </cell>
          <cell r="M1464" t="str">
            <v>DALOA</v>
          </cell>
          <cell r="N1464" t="str">
            <v>UPCOUNTRY</v>
          </cell>
        </row>
        <row r="1465">
          <cell r="B1465" t="str">
            <v>ET504</v>
          </cell>
          <cell r="C1465" t="str">
            <v>ZEPREGUHE</v>
          </cell>
          <cell r="D1465" t="str">
            <v>-6.37256</v>
          </cell>
          <cell r="E1465" t="str">
            <v>6.90322</v>
          </cell>
          <cell r="F1465" t="str">
            <v>2G/3G/4G</v>
          </cell>
          <cell r="G1465" t="str">
            <v>HUAWEI</v>
          </cell>
          <cell r="H1465" t="str">
            <v>MOOV</v>
          </cell>
          <cell r="I1465" t="str">
            <v>ZEPREGUHE</v>
          </cell>
          <cell r="J1465" t="str">
            <v>DALOA</v>
          </cell>
          <cell r="K1465" t="str">
            <v>DALOA</v>
          </cell>
          <cell r="L1465" t="str">
            <v>HAUT-SASSANDRA</v>
          </cell>
          <cell r="M1465" t="str">
            <v>DALOA</v>
          </cell>
          <cell r="N1465" t="str">
            <v>UPCOUNTRY</v>
          </cell>
        </row>
        <row r="1466">
          <cell r="B1466" t="str">
            <v>ET505</v>
          </cell>
          <cell r="C1466" t="str">
            <v>STADE OLYMPIQUE</v>
          </cell>
          <cell r="D1466" t="str">
            <v>-4.06946</v>
          </cell>
          <cell r="E1466" t="str">
            <v>5.47615</v>
          </cell>
          <cell r="F1466" t="str">
            <v>2G/3G/4G</v>
          </cell>
          <cell r="G1466" t="str">
            <v>ERICSSON</v>
          </cell>
          <cell r="H1466" t="str">
            <v>MOOV</v>
          </cell>
          <cell r="I1466" t="str">
            <v>ANYAMA</v>
          </cell>
          <cell r="J1466" t="str">
            <v>ANYAMA</v>
          </cell>
          <cell r="K1466" t="str">
            <v>ABIDJAN</v>
          </cell>
          <cell r="L1466" t="str">
            <v>ABIDJAN</v>
          </cell>
          <cell r="M1466" t="str">
            <v>ABOBO</v>
          </cell>
          <cell r="N1466" t="str">
            <v>ABIDJAN</v>
          </cell>
        </row>
        <row r="1467">
          <cell r="B1467" t="str">
            <v>ET506</v>
          </cell>
          <cell r="C1467" t="str">
            <v>BELLEVILLE_EXT</v>
          </cell>
          <cell r="D1467" t="str">
            <v>-4.02871</v>
          </cell>
          <cell r="E1467" t="str">
            <v>5.47585</v>
          </cell>
          <cell r="F1467" t="str">
            <v>2G/3G/4G</v>
          </cell>
          <cell r="G1467" t="str">
            <v>ERICSSON</v>
          </cell>
          <cell r="H1467" t="str">
            <v>MOOV</v>
          </cell>
          <cell r="I1467" t="str">
            <v>ANYAMA</v>
          </cell>
          <cell r="J1467" t="str">
            <v>ANYAMA</v>
          </cell>
          <cell r="K1467" t="str">
            <v>ABIDJAN</v>
          </cell>
          <cell r="L1467" t="str">
            <v>ABIDJAN</v>
          </cell>
          <cell r="M1467" t="str">
            <v>ABOBO</v>
          </cell>
          <cell r="N1467" t="str">
            <v>ABIDJAN</v>
          </cell>
        </row>
        <row r="1468">
          <cell r="B1468" t="str">
            <v>ET507</v>
          </cell>
          <cell r="C1468" t="str">
            <v>AHOUABO</v>
          </cell>
          <cell r="D1468" t="str">
            <v>-4.04208</v>
          </cell>
          <cell r="E1468" t="str">
            <v>5.50603</v>
          </cell>
          <cell r="F1468" t="str">
            <v>2G/3G/4G</v>
          </cell>
          <cell r="G1468" t="str">
            <v>ERICSSON</v>
          </cell>
          <cell r="H1468" t="str">
            <v>MOOV</v>
          </cell>
          <cell r="I1468" t="str">
            <v>ANYAMA</v>
          </cell>
          <cell r="J1468" t="str">
            <v>ANYAMA</v>
          </cell>
          <cell r="K1468" t="str">
            <v>ABIDJAN</v>
          </cell>
          <cell r="L1468" t="str">
            <v>ABIDJAN</v>
          </cell>
          <cell r="M1468" t="str">
            <v>ABOBO</v>
          </cell>
          <cell r="N1468" t="str">
            <v>ABIDJAN</v>
          </cell>
        </row>
        <row r="1469">
          <cell r="B1469" t="str">
            <v>ET508</v>
          </cell>
          <cell r="C1469" t="str">
            <v>FEKESSE_EXT</v>
          </cell>
          <cell r="D1469" t="str">
            <v>-3.90366</v>
          </cell>
          <cell r="E1469" t="str">
            <v>5.37479</v>
          </cell>
          <cell r="F1469" t="str">
            <v>2G/3G/4G</v>
          </cell>
          <cell r="G1469" t="str">
            <v>ERICSSON</v>
          </cell>
          <cell r="H1469" t="str">
            <v>MOOV</v>
          </cell>
          <cell r="I1469" t="str">
            <v>BINGERVILLE</v>
          </cell>
          <cell r="J1469" t="str">
            <v>BINGERVILLE</v>
          </cell>
          <cell r="K1469" t="str">
            <v>ABIDJAN</v>
          </cell>
          <cell r="L1469" t="str">
            <v>ABIDJAN</v>
          </cell>
          <cell r="M1469" t="str">
            <v>COCODY LATRILLE</v>
          </cell>
          <cell r="N1469" t="str">
            <v>ABIDJAN</v>
          </cell>
        </row>
        <row r="1470">
          <cell r="B1470" t="str">
            <v>ET509</v>
          </cell>
          <cell r="C1470" t="str">
            <v>ATTINGUIE_ZONE_2</v>
          </cell>
          <cell r="D1470" t="str">
            <v>-4.14435</v>
          </cell>
          <cell r="E1470" t="str">
            <v>5.40541</v>
          </cell>
          <cell r="F1470" t="str">
            <v>2G/3G/4G</v>
          </cell>
          <cell r="G1470" t="str">
            <v>ERICSSON</v>
          </cell>
          <cell r="H1470" t="str">
            <v>MOOV</v>
          </cell>
          <cell r="I1470" t="str">
            <v>ATTINGUIE</v>
          </cell>
          <cell r="J1470" t="str">
            <v>ANYAMA</v>
          </cell>
          <cell r="K1470" t="str">
            <v>ABIDJAN</v>
          </cell>
          <cell r="L1470" t="str">
            <v>ABIDJAN</v>
          </cell>
          <cell r="M1470" t="str">
            <v>YOPOUGON SABLE</v>
          </cell>
          <cell r="N1470" t="str">
            <v>ABIDJAN</v>
          </cell>
        </row>
        <row r="1471">
          <cell r="B1471" t="str">
            <v>ET510</v>
          </cell>
          <cell r="C1471" t="str">
            <v>CITE_ATCI_EXT</v>
          </cell>
          <cell r="D1471" t="str">
            <v>-3.93811</v>
          </cell>
          <cell r="E1471" t="str">
            <v>5.36175</v>
          </cell>
          <cell r="F1471" t="str">
            <v>2G/3G/4G</v>
          </cell>
          <cell r="G1471" t="str">
            <v>ERICSSON</v>
          </cell>
          <cell r="H1471" t="str">
            <v>MOOV</v>
          </cell>
          <cell r="I1471" t="str">
            <v>COCODY</v>
          </cell>
          <cell r="J1471" t="str">
            <v>ABIDJAN</v>
          </cell>
          <cell r="K1471" t="str">
            <v>ABIDJAN</v>
          </cell>
          <cell r="L1471" t="str">
            <v>ABIDJAN</v>
          </cell>
          <cell r="M1471" t="str">
            <v>COCODY CENTRE</v>
          </cell>
          <cell r="N1471" t="str">
            <v>ABIDJAN</v>
          </cell>
        </row>
        <row r="1472">
          <cell r="B1472" t="str">
            <v>ET511</v>
          </cell>
          <cell r="C1472" t="str">
            <v>2PLTX_SNEDAI</v>
          </cell>
          <cell r="D1472" t="str">
            <v>-3.99694</v>
          </cell>
          <cell r="E1472" t="str">
            <v>5.35592</v>
          </cell>
          <cell r="F1472" t="str">
            <v>2G/3G/4G</v>
          </cell>
          <cell r="G1472" t="str">
            <v>ERICSSON</v>
          </cell>
          <cell r="H1472" t="str">
            <v>MOOV</v>
          </cell>
          <cell r="I1472" t="str">
            <v>COCODY</v>
          </cell>
          <cell r="J1472" t="str">
            <v>ABIDJAN</v>
          </cell>
          <cell r="K1472" t="str">
            <v>ABIDJAN</v>
          </cell>
          <cell r="L1472" t="str">
            <v>ABIDJAN</v>
          </cell>
          <cell r="M1472" t="str">
            <v>COCODY LATRILLE</v>
          </cell>
          <cell r="N1472" t="str">
            <v>ABIDJAN</v>
          </cell>
        </row>
        <row r="1473">
          <cell r="B1473" t="str">
            <v>ET512</v>
          </cell>
          <cell r="C1473" t="str">
            <v>CITE_DIASPORA</v>
          </cell>
          <cell r="D1473" t="str">
            <v>-3.965374</v>
          </cell>
          <cell r="E1473" t="str">
            <v>5.398623</v>
          </cell>
          <cell r="F1473" t="str">
            <v>2G/3G/4G</v>
          </cell>
          <cell r="G1473" t="str">
            <v>ERICSSON</v>
          </cell>
          <cell r="H1473" t="str">
            <v>IHS</v>
          </cell>
          <cell r="I1473" t="str">
            <v>COCODY</v>
          </cell>
          <cell r="J1473" t="str">
            <v>ABIDJAN</v>
          </cell>
          <cell r="K1473" t="str">
            <v>ABIDJAN</v>
          </cell>
          <cell r="L1473" t="str">
            <v>ABIDJAN</v>
          </cell>
          <cell r="M1473" t="str">
            <v>COCODY LATRILLE</v>
          </cell>
          <cell r="N1473" t="str">
            <v>ABIDJAN</v>
          </cell>
        </row>
        <row r="1474">
          <cell r="B1474" t="str">
            <v>ET513</v>
          </cell>
          <cell r="C1474" t="str">
            <v>ABATTA_BEACH</v>
          </cell>
          <cell r="D1474" t="str">
            <v>-3.92571</v>
          </cell>
          <cell r="E1474" t="str">
            <v>5.32729</v>
          </cell>
          <cell r="F1474" t="str">
            <v>2G/3G/4G</v>
          </cell>
          <cell r="G1474" t="str">
            <v>ERICSSON</v>
          </cell>
          <cell r="H1474" t="str">
            <v>MOOV</v>
          </cell>
          <cell r="I1474" t="str">
            <v>BINGERVILLE</v>
          </cell>
          <cell r="J1474" t="str">
            <v>BINGERVILLE</v>
          </cell>
          <cell r="K1474" t="str">
            <v>ABIDJAN</v>
          </cell>
          <cell r="L1474" t="str">
            <v>ABIDJAN</v>
          </cell>
          <cell r="M1474" t="str">
            <v>COCODY CENTRE</v>
          </cell>
          <cell r="N1474" t="str">
            <v>ABIDJAN</v>
          </cell>
        </row>
        <row r="1475">
          <cell r="B1475" t="str">
            <v>ET514</v>
          </cell>
          <cell r="C1475" t="str">
            <v xml:space="preserve">PROLLO </v>
          </cell>
          <cell r="D1475" t="str">
            <v>-7.53845</v>
          </cell>
          <cell r="E1475" t="str">
            <v>4.4323</v>
          </cell>
          <cell r="F1475" t="str">
            <v>2G/3G/4G</v>
          </cell>
          <cell r="G1475" t="str">
            <v>ERICSSON</v>
          </cell>
          <cell r="H1475" t="str">
            <v>MOOV</v>
          </cell>
          <cell r="I1475" t="str">
            <v>PROLLO</v>
          </cell>
          <cell r="J1475" t="str">
            <v>DJAMANDIOKE</v>
          </cell>
          <cell r="K1475" t="str">
            <v>TABOU</v>
          </cell>
          <cell r="L1475" t="str">
            <v>SAN-PEDRO</v>
          </cell>
          <cell r="M1475" t="str">
            <v>SAN-PEDRO</v>
          </cell>
          <cell r="N1475" t="str">
            <v>UPCOUNTRY</v>
          </cell>
        </row>
        <row r="1476">
          <cell r="B1476" t="str">
            <v>ET515</v>
          </cell>
          <cell r="C1476" t="str">
            <v>GRD MARCHE MARCORY</v>
          </cell>
          <cell r="D1476" t="str">
            <v>-3.97355</v>
          </cell>
          <cell r="E1476" t="str">
            <v>5.29464</v>
          </cell>
          <cell r="F1476" t="str">
            <v>2G/3G/4G</v>
          </cell>
          <cell r="G1476" t="str">
            <v>ERICSSON</v>
          </cell>
          <cell r="H1476" t="str">
            <v>MOOV</v>
          </cell>
          <cell r="I1476" t="str">
            <v>MARCORY</v>
          </cell>
          <cell r="J1476" t="str">
            <v>ABIDJAN</v>
          </cell>
          <cell r="K1476" t="str">
            <v>ABIDJAN</v>
          </cell>
          <cell r="L1476" t="str">
            <v>ABIDJAN</v>
          </cell>
          <cell r="M1476" t="str">
            <v>MARCORY</v>
          </cell>
          <cell r="N1476" t="str">
            <v>ABIDJAN</v>
          </cell>
        </row>
        <row r="1477">
          <cell r="B1477" t="str">
            <v>ET516</v>
          </cell>
          <cell r="C1477" t="str">
            <v>MEAGUI_KABORE</v>
          </cell>
          <cell r="D1477" t="str">
            <v>-6.555722</v>
          </cell>
          <cell r="E1477" t="str">
            <v>5.408719</v>
          </cell>
          <cell r="F1477" t="str">
            <v>2G/3G/4G</v>
          </cell>
          <cell r="G1477" t="str">
            <v>HUAWEI</v>
          </cell>
          <cell r="H1477" t="str">
            <v>MOOV</v>
          </cell>
          <cell r="I1477" t="str">
            <v>MEAGUI</v>
          </cell>
          <cell r="J1477" t="str">
            <v>MEAGUI</v>
          </cell>
          <cell r="K1477" t="str">
            <v>MEAGUI</v>
          </cell>
          <cell r="L1477" t="str">
            <v>NAWA</v>
          </cell>
          <cell r="M1477" t="str">
            <v>SOUBRE</v>
          </cell>
          <cell r="N1477" t="str">
            <v>UPCOUNTRY</v>
          </cell>
        </row>
        <row r="1478">
          <cell r="B1478" t="str">
            <v>ET517</v>
          </cell>
          <cell r="C1478" t="str">
            <v>ADJAME RENAULT</v>
          </cell>
          <cell r="D1478" t="str">
            <v>-4.021621</v>
          </cell>
          <cell r="E1478" t="str">
            <v>5.357662</v>
          </cell>
          <cell r="F1478" t="str">
            <v>2G/3G/4G</v>
          </cell>
          <cell r="G1478" t="str">
            <v>ERICSSON</v>
          </cell>
          <cell r="H1478" t="str">
            <v>MOOV</v>
          </cell>
          <cell r="I1478" t="str">
            <v>ADJAME</v>
          </cell>
          <cell r="J1478" t="str">
            <v>ABIDJAN</v>
          </cell>
          <cell r="K1478" t="str">
            <v>ABIDJAN</v>
          </cell>
          <cell r="L1478" t="str">
            <v>ABIDJAN</v>
          </cell>
          <cell r="M1478" t="str">
            <v>PLATEAU</v>
          </cell>
          <cell r="N1478" t="str">
            <v>ABIDJAN</v>
          </cell>
        </row>
        <row r="1479">
          <cell r="B1479" t="str">
            <v>ET518</v>
          </cell>
          <cell r="C1479" t="str">
            <v>TOUADJI</v>
          </cell>
          <cell r="D1479" t="str">
            <v>-6.57778</v>
          </cell>
          <cell r="E1479" t="str">
            <v>5.51058</v>
          </cell>
          <cell r="F1479" t="str">
            <v>2G/3G/4G</v>
          </cell>
          <cell r="G1479" t="str">
            <v>HUAWEI</v>
          </cell>
          <cell r="H1479" t="str">
            <v>MOOV</v>
          </cell>
          <cell r="I1479" t="str">
            <v>TOUADJI</v>
          </cell>
          <cell r="J1479" t="str">
            <v>MEAGUI</v>
          </cell>
          <cell r="K1479" t="str">
            <v>MEAGUI</v>
          </cell>
          <cell r="L1479" t="str">
            <v>NAWA</v>
          </cell>
          <cell r="M1479" t="str">
            <v>SOUBRE</v>
          </cell>
          <cell r="N1479" t="str">
            <v>UPCOUNTRY</v>
          </cell>
        </row>
        <row r="1480">
          <cell r="B1480" t="str">
            <v>ET519</v>
          </cell>
          <cell r="C1480" t="str">
            <v>MARC_RESIDENTIEL</v>
          </cell>
          <cell r="D1480" t="str">
            <v>-3.99109</v>
          </cell>
          <cell r="E1480" t="str">
            <v>5.31323</v>
          </cell>
          <cell r="F1480" t="str">
            <v>2G/3G/4G</v>
          </cell>
          <cell r="G1480" t="str">
            <v>ERICSSON</v>
          </cell>
          <cell r="H1480" t="str">
            <v>MOOV</v>
          </cell>
          <cell r="I1480" t="str">
            <v>MARCORY</v>
          </cell>
          <cell r="J1480" t="str">
            <v>ABIDJAN</v>
          </cell>
          <cell r="K1480" t="str">
            <v>ABIDJAN</v>
          </cell>
          <cell r="L1480" t="str">
            <v>ABIDJAN</v>
          </cell>
          <cell r="M1480" t="str">
            <v>MARCORY</v>
          </cell>
          <cell r="N1480" t="str">
            <v>ABIDJAN</v>
          </cell>
        </row>
        <row r="1481">
          <cell r="B1481" t="str">
            <v>ET520</v>
          </cell>
          <cell r="C1481" t="str">
            <v>SITARAIL_CIPEX-CI</v>
          </cell>
          <cell r="D1481" t="str">
            <v>-4.01647</v>
          </cell>
          <cell r="E1481" t="str">
            <v>5.3013</v>
          </cell>
          <cell r="F1481" t="str">
            <v>2G/3G/4G</v>
          </cell>
          <cell r="G1481" t="str">
            <v>ERICSSON</v>
          </cell>
          <cell r="H1481" t="str">
            <v>MOOV</v>
          </cell>
          <cell r="I1481" t="str">
            <v>TREICHVILLE</v>
          </cell>
          <cell r="J1481" t="str">
            <v>ABIDJAN</v>
          </cell>
          <cell r="K1481" t="str">
            <v>ABIDJAN</v>
          </cell>
          <cell r="L1481" t="str">
            <v>ABIDJAN</v>
          </cell>
          <cell r="M1481" t="str">
            <v>PLATEAU</v>
          </cell>
          <cell r="N1481" t="str">
            <v>ABIDJAN</v>
          </cell>
        </row>
        <row r="1482">
          <cell r="B1482" t="str">
            <v>ET521</v>
          </cell>
          <cell r="C1482" t="str">
            <v>YOP_CITE_CAISTAB</v>
          </cell>
          <cell r="D1482" t="str">
            <v>-4.110252</v>
          </cell>
          <cell r="E1482" t="str">
            <v>5.321167</v>
          </cell>
          <cell r="F1482" t="str">
            <v>2G/3G/4G</v>
          </cell>
          <cell r="G1482" t="str">
            <v>ERICSSON</v>
          </cell>
          <cell r="H1482" t="str">
            <v>MOOV</v>
          </cell>
          <cell r="I1482" t="str">
            <v>YOPOUGON</v>
          </cell>
          <cell r="J1482" t="str">
            <v>ABIDJAN</v>
          </cell>
          <cell r="K1482" t="str">
            <v>ABIDJAN</v>
          </cell>
          <cell r="L1482" t="str">
            <v>ABIDJAN</v>
          </cell>
          <cell r="M1482" t="str">
            <v>YOPOUGON FICGAYO</v>
          </cell>
          <cell r="N1482" t="str">
            <v>ABIDJAN</v>
          </cell>
        </row>
        <row r="1483">
          <cell r="B1483" t="str">
            <v>ET522</v>
          </cell>
          <cell r="C1483" t="str">
            <v>YOP_CIMAF</v>
          </cell>
          <cell r="D1483" t="str">
            <v>-4.082123</v>
          </cell>
          <cell r="E1483" t="str">
            <v>5.382298</v>
          </cell>
          <cell r="F1483" t="str">
            <v>2G/3G/4G</v>
          </cell>
          <cell r="G1483" t="str">
            <v>ERICSSON</v>
          </cell>
          <cell r="H1483" t="str">
            <v>MOOV</v>
          </cell>
          <cell r="I1483" t="str">
            <v>YOPOUGON</v>
          </cell>
          <cell r="J1483" t="str">
            <v>ABIDJAN</v>
          </cell>
          <cell r="K1483" t="str">
            <v>ABIDJAN</v>
          </cell>
          <cell r="L1483" t="str">
            <v>ABIDJAN</v>
          </cell>
          <cell r="M1483" t="str">
            <v>YOPOUGON SABLE</v>
          </cell>
          <cell r="N1483" t="str">
            <v>ABIDJAN</v>
          </cell>
        </row>
        <row r="1484">
          <cell r="B1484" t="str">
            <v>ET523</v>
          </cell>
          <cell r="C1484" t="str">
            <v>SOFITEL IVOIRE</v>
          </cell>
          <cell r="D1484" t="str">
            <v>-4.004533</v>
          </cell>
          <cell r="E1484" t="str">
            <v>5.325526</v>
          </cell>
          <cell r="F1484" t="str">
            <v>2G/3G/4G/5G</v>
          </cell>
          <cell r="G1484" t="str">
            <v>ERICSSON</v>
          </cell>
          <cell r="H1484" t="str">
            <v>MOOV</v>
          </cell>
          <cell r="I1484" t="str">
            <v>COCODY</v>
          </cell>
          <cell r="J1484" t="str">
            <v>ABIDJAN</v>
          </cell>
          <cell r="K1484" t="str">
            <v>ABIDJAN</v>
          </cell>
          <cell r="L1484" t="str">
            <v>ABIDJAN</v>
          </cell>
          <cell r="M1484" t="str">
            <v>COCODY CENTRE</v>
          </cell>
          <cell r="N1484" t="str">
            <v>ABIDJAN</v>
          </cell>
        </row>
        <row r="1485">
          <cell r="B1485" t="str">
            <v>ET524</v>
          </cell>
          <cell r="C1485" t="str">
            <v>ADJAME_CHATEAU</v>
          </cell>
          <cell r="D1485" t="str">
            <v>-4.0297</v>
          </cell>
          <cell r="E1485" t="str">
            <v>5.35542</v>
          </cell>
          <cell r="F1485" t="str">
            <v>2G/3G/4G</v>
          </cell>
          <cell r="G1485" t="str">
            <v>ERICSSON</v>
          </cell>
          <cell r="H1485" t="str">
            <v>MOOV</v>
          </cell>
          <cell r="I1485" t="str">
            <v>ATTECOUBE</v>
          </cell>
          <cell r="J1485" t="str">
            <v>ABIDJAN</v>
          </cell>
          <cell r="K1485" t="str">
            <v>ABIDJAN</v>
          </cell>
          <cell r="L1485" t="str">
            <v>ABIDJAN</v>
          </cell>
          <cell r="M1485" t="str">
            <v>PLATEAU</v>
          </cell>
          <cell r="N1485" t="str">
            <v>ABIDJAN</v>
          </cell>
        </row>
        <row r="1486">
          <cell r="B1486" t="str">
            <v>ET525</v>
          </cell>
          <cell r="C1486" t="str">
            <v xml:space="preserve">DAKOUPLEU </v>
          </cell>
          <cell r="D1486" t="str">
            <v>-7.57312</v>
          </cell>
          <cell r="E1486" t="str">
            <v>7.17901</v>
          </cell>
          <cell r="F1486" t="str">
            <v>2G/3G/4G</v>
          </cell>
          <cell r="G1486" t="str">
            <v>HUAWEI</v>
          </cell>
          <cell r="H1486" t="str">
            <v>MOOV</v>
          </cell>
          <cell r="I1486" t="str">
            <v xml:space="preserve">DAKOUPLEU </v>
          </cell>
          <cell r="J1486" t="str">
            <v>LOGOUALE</v>
          </cell>
          <cell r="K1486" t="str">
            <v>MAN</v>
          </cell>
          <cell r="L1486" t="str">
            <v>TONKPI</v>
          </cell>
          <cell r="M1486" t="str">
            <v>MAN</v>
          </cell>
          <cell r="N1486" t="str">
            <v>UPCOUNTRY</v>
          </cell>
        </row>
        <row r="1487">
          <cell r="B1487" t="str">
            <v>ET526</v>
          </cell>
          <cell r="C1487" t="str">
            <v>DAL_TAZIBOUO_JUBILE</v>
          </cell>
          <cell r="D1487" t="str">
            <v>-6.439924</v>
          </cell>
          <cell r="E1487" t="str">
            <v>6.895982</v>
          </cell>
          <cell r="F1487" t="str">
            <v>2G/3G/4G</v>
          </cell>
          <cell r="G1487" t="str">
            <v>HUAWEI</v>
          </cell>
          <cell r="H1487" t="str">
            <v>MOOV</v>
          </cell>
          <cell r="I1487" t="str">
            <v>DALOA</v>
          </cell>
          <cell r="J1487" t="str">
            <v>DALOA</v>
          </cell>
          <cell r="K1487" t="str">
            <v>DALOA</v>
          </cell>
          <cell r="L1487" t="str">
            <v>HAUT-SASSANDRA</v>
          </cell>
          <cell r="M1487" t="str">
            <v>DALOA</v>
          </cell>
          <cell r="N1487" t="str">
            <v>UPCOUNTRY</v>
          </cell>
        </row>
        <row r="1488">
          <cell r="B1488" t="str">
            <v>ET527</v>
          </cell>
          <cell r="C1488" t="str">
            <v>DROPLEU</v>
          </cell>
          <cell r="D1488" t="str">
            <v>-7.99687</v>
          </cell>
          <cell r="E1488" t="str">
            <v>7.24407</v>
          </cell>
          <cell r="F1488" t="str">
            <v>2G/3G/4G</v>
          </cell>
          <cell r="G1488" t="str">
            <v>HUAWEI</v>
          </cell>
          <cell r="H1488" t="str">
            <v>MOOV</v>
          </cell>
          <cell r="I1488" t="str">
            <v>DROPLEU</v>
          </cell>
          <cell r="J1488" t="str">
            <v>MAHAPLEU</v>
          </cell>
          <cell r="K1488" t="str">
            <v>DANANE</v>
          </cell>
          <cell r="L1488" t="str">
            <v>TONKPI</v>
          </cell>
          <cell r="M1488" t="str">
            <v>MAN</v>
          </cell>
          <cell r="N1488" t="str">
            <v>UPCOUNTRY</v>
          </cell>
        </row>
        <row r="1489">
          <cell r="B1489" t="str">
            <v>ET528</v>
          </cell>
          <cell r="C1489" t="str">
            <v xml:space="preserve">PLACE AKWABA_GID </v>
          </cell>
          <cell r="D1489" t="str">
            <v>-3.962948</v>
          </cell>
          <cell r="E1489" t="str">
            <v>5.2684883</v>
          </cell>
          <cell r="F1489" t="str">
            <v>2G/3G/4G</v>
          </cell>
          <cell r="G1489" t="str">
            <v>ERICSSON</v>
          </cell>
          <cell r="H1489" t="str">
            <v>MOOV</v>
          </cell>
          <cell r="I1489" t="str">
            <v>PORT-BOUET</v>
          </cell>
          <cell r="J1489" t="str">
            <v>ABIDJAN</v>
          </cell>
          <cell r="K1489" t="str">
            <v>ABIDJAN</v>
          </cell>
          <cell r="L1489" t="str">
            <v>ABIDJAN</v>
          </cell>
          <cell r="M1489" t="str">
            <v>MARCORY</v>
          </cell>
          <cell r="N1489" t="str">
            <v>ABIDJAN</v>
          </cell>
        </row>
        <row r="1490">
          <cell r="B1490" t="str">
            <v>ET529</v>
          </cell>
          <cell r="C1490" t="str">
            <v>PHCIE_RTE_BASSAM</v>
          </cell>
          <cell r="D1490" t="str">
            <v>-3.91019</v>
          </cell>
          <cell r="E1490" t="str">
            <v>5.241082</v>
          </cell>
          <cell r="F1490" t="str">
            <v>2G/3G/4G</v>
          </cell>
          <cell r="G1490" t="str">
            <v>HUAWEI</v>
          </cell>
          <cell r="H1490" t="str">
            <v>OCI</v>
          </cell>
          <cell r="I1490" t="str">
            <v>PORT-BOUET</v>
          </cell>
          <cell r="J1490" t="str">
            <v>ABIDJAN</v>
          </cell>
          <cell r="K1490" t="str">
            <v>ABIDJAN</v>
          </cell>
          <cell r="L1490" t="str">
            <v>ABIDJAN</v>
          </cell>
          <cell r="M1490" t="str">
            <v>MARCORY</v>
          </cell>
          <cell r="N1490" t="str">
            <v>ABIDJAN</v>
          </cell>
        </row>
        <row r="1491">
          <cell r="B1491" t="str">
            <v>ET530</v>
          </cell>
          <cell r="C1491" t="str">
            <v>PLTX_PRESIDENCE_1</v>
          </cell>
          <cell r="D1491" t="str">
            <v>-4.021393</v>
          </cell>
          <cell r="E1491" t="str">
            <v>5.319415</v>
          </cell>
          <cell r="F1491" t="str">
            <v>2G/3G/4G/5G</v>
          </cell>
          <cell r="G1491" t="str">
            <v>ERICSSON</v>
          </cell>
          <cell r="H1491" t="str">
            <v>PRESIDENCE</v>
          </cell>
          <cell r="I1491" t="str">
            <v>PLATEAU</v>
          </cell>
          <cell r="J1491" t="str">
            <v>ABIDJAN</v>
          </cell>
          <cell r="K1491" t="str">
            <v>ABIDJAN</v>
          </cell>
          <cell r="L1491" t="str">
            <v>ABIDJAN</v>
          </cell>
          <cell r="M1491" t="str">
            <v>PLATEAU</v>
          </cell>
          <cell r="N1491" t="str">
            <v>ABIDJAN</v>
          </cell>
        </row>
        <row r="1492">
          <cell r="B1492" t="str">
            <v>ET532</v>
          </cell>
          <cell r="C1492" t="str">
            <v>MARC_LBTP</v>
          </cell>
          <cell r="D1492" t="str">
            <v>-3.989096</v>
          </cell>
          <cell r="E1492" t="str">
            <v>5.295919</v>
          </cell>
          <cell r="F1492" t="str">
            <v>2G/3G/4G</v>
          </cell>
          <cell r="G1492" t="str">
            <v>ERICSSON</v>
          </cell>
          <cell r="H1492" t="str">
            <v>MOOV</v>
          </cell>
          <cell r="I1492" t="str">
            <v>MARCORY</v>
          </cell>
          <cell r="J1492" t="str">
            <v>ABIDJAN</v>
          </cell>
          <cell r="K1492" t="str">
            <v>ABIDJAN</v>
          </cell>
          <cell r="L1492" t="str">
            <v>ABIDJAN</v>
          </cell>
          <cell r="M1492" t="str">
            <v>MARCORY</v>
          </cell>
          <cell r="N1492" t="str">
            <v>ABIDJAN</v>
          </cell>
        </row>
        <row r="1493">
          <cell r="B1493" t="str">
            <v>ET533</v>
          </cell>
          <cell r="C1493" t="str">
            <v>ST_EXUPERY</v>
          </cell>
          <cell r="D1493" t="str">
            <v>-3.912789</v>
          </cell>
          <cell r="E1493" t="str">
            <v>5.248125</v>
          </cell>
          <cell r="F1493" t="str">
            <v>2G/3G/4G</v>
          </cell>
          <cell r="G1493" t="str">
            <v>HUAWEI</v>
          </cell>
          <cell r="H1493" t="str">
            <v>MOOV</v>
          </cell>
          <cell r="I1493" t="str">
            <v>PORT-BOUET</v>
          </cell>
          <cell r="J1493" t="str">
            <v>ABIDJAN</v>
          </cell>
          <cell r="K1493" t="str">
            <v>ABIDJAN</v>
          </cell>
          <cell r="L1493" t="str">
            <v>ABIDJAN</v>
          </cell>
          <cell r="M1493" t="str">
            <v>MARCORY</v>
          </cell>
          <cell r="N1493" t="str">
            <v>ABIDJAN</v>
          </cell>
        </row>
        <row r="1494">
          <cell r="B1494" t="str">
            <v>ET534</v>
          </cell>
          <cell r="C1494" t="str">
            <v>GONZAKUS</v>
          </cell>
          <cell r="D1494" t="str">
            <v>-3.8926194</v>
          </cell>
          <cell r="E1494" t="str">
            <v>5.248988</v>
          </cell>
          <cell r="F1494" t="str">
            <v>2G/3G/4G</v>
          </cell>
          <cell r="G1494" t="str">
            <v>HUAWEI</v>
          </cell>
          <cell r="H1494" t="str">
            <v>OCI</v>
          </cell>
          <cell r="I1494" t="str">
            <v>PORT-BOUET</v>
          </cell>
          <cell r="J1494" t="str">
            <v>ABIDJAN</v>
          </cell>
          <cell r="K1494" t="str">
            <v>ABIDJAN</v>
          </cell>
          <cell r="L1494" t="str">
            <v>ABIDJAN</v>
          </cell>
          <cell r="M1494" t="str">
            <v>MARCORY</v>
          </cell>
          <cell r="N1494" t="str">
            <v>ABIDJAN</v>
          </cell>
        </row>
        <row r="1495">
          <cell r="B1495" t="str">
            <v>ET535</v>
          </cell>
          <cell r="C1495" t="str">
            <v>GONZAGUE_AIR_FRANCE</v>
          </cell>
          <cell r="D1495" t="str">
            <v>-3.902451</v>
          </cell>
          <cell r="E1495" t="str">
            <v>5.257207</v>
          </cell>
          <cell r="F1495" t="str">
            <v>2G/3G/4G</v>
          </cell>
          <cell r="G1495" t="str">
            <v>HUAWEI</v>
          </cell>
          <cell r="H1495" t="str">
            <v>MOOV</v>
          </cell>
          <cell r="I1495" t="str">
            <v>PORT-BOUET</v>
          </cell>
          <cell r="J1495" t="str">
            <v>ABIDJAN</v>
          </cell>
          <cell r="K1495" t="str">
            <v>ABIDJAN</v>
          </cell>
          <cell r="L1495" t="str">
            <v>ABIDJAN</v>
          </cell>
          <cell r="M1495" t="str">
            <v>MARCORY</v>
          </cell>
          <cell r="N1495" t="str">
            <v>ABIDJAN</v>
          </cell>
        </row>
        <row r="1496">
          <cell r="B1496" t="str">
            <v>ET536</v>
          </cell>
          <cell r="C1496" t="str">
            <v>ADJAHUI</v>
          </cell>
          <cell r="D1496" t="str">
            <v>-3.949344</v>
          </cell>
          <cell r="E1496" t="str">
            <v>5.275518</v>
          </cell>
          <cell r="F1496" t="str">
            <v>2G/3G/4G</v>
          </cell>
          <cell r="G1496" t="str">
            <v>HUAWEI</v>
          </cell>
          <cell r="H1496" t="str">
            <v>IHS</v>
          </cell>
          <cell r="I1496" t="str">
            <v>PORT-BOUET</v>
          </cell>
          <cell r="J1496" t="str">
            <v>ABIDJAN</v>
          </cell>
          <cell r="K1496" t="str">
            <v>ABIDJAN</v>
          </cell>
          <cell r="L1496" t="str">
            <v>ABIDJAN</v>
          </cell>
          <cell r="M1496" t="str">
            <v>MARCORY</v>
          </cell>
          <cell r="N1496" t="str">
            <v>ABIDJAN</v>
          </cell>
        </row>
        <row r="1497">
          <cell r="B1497" t="str">
            <v>ET537</v>
          </cell>
          <cell r="C1497" t="str">
            <v>BENOGOSSO</v>
          </cell>
          <cell r="D1497" t="str">
            <v>-3.891586</v>
          </cell>
          <cell r="E1497" t="str">
            <v>5.277748</v>
          </cell>
          <cell r="F1497" t="str">
            <v>2G/3G/4G</v>
          </cell>
          <cell r="G1497" t="str">
            <v>HUAWEI</v>
          </cell>
          <cell r="H1497" t="str">
            <v>MOOV</v>
          </cell>
          <cell r="I1497" t="str">
            <v>PORT-BOUET</v>
          </cell>
          <cell r="J1497" t="str">
            <v>ABIDJAN</v>
          </cell>
          <cell r="K1497" t="str">
            <v>ABIDJAN</v>
          </cell>
          <cell r="L1497" t="str">
            <v>ABIDJAN</v>
          </cell>
          <cell r="M1497" t="str">
            <v>MARCORY</v>
          </cell>
          <cell r="N1497" t="str">
            <v>ABIDJAN</v>
          </cell>
        </row>
        <row r="1498">
          <cell r="B1498" t="str">
            <v>ET539</v>
          </cell>
          <cell r="C1498" t="str">
            <v>YOP_KOUTE</v>
          </cell>
          <cell r="D1498" t="str">
            <v>-4.06477</v>
          </cell>
          <cell r="E1498" t="str">
            <v>5.32447</v>
          </cell>
          <cell r="F1498" t="str">
            <v>2G/3G/4G</v>
          </cell>
          <cell r="G1498" t="str">
            <v>ERICSSON</v>
          </cell>
          <cell r="H1498" t="str">
            <v>MOOV</v>
          </cell>
          <cell r="I1498" t="str">
            <v>YOPOUGON</v>
          </cell>
          <cell r="J1498" t="str">
            <v>ABIDJAN</v>
          </cell>
          <cell r="K1498" t="str">
            <v>ABIDJAN</v>
          </cell>
          <cell r="L1498" t="str">
            <v>ABIDJAN</v>
          </cell>
          <cell r="M1498" t="str">
            <v>YOPOUGON SABLE</v>
          </cell>
          <cell r="N1498" t="str">
            <v>ABIDJAN</v>
          </cell>
        </row>
        <row r="1499">
          <cell r="B1499" t="str">
            <v>ET540</v>
          </cell>
          <cell r="C1499" t="str">
            <v>YOP_CITE_NESTLE</v>
          </cell>
          <cell r="D1499" t="str">
            <v>-4.056313</v>
          </cell>
          <cell r="E1499" t="str">
            <v>5.31072</v>
          </cell>
          <cell r="F1499" t="str">
            <v>2G/3G/4G</v>
          </cell>
          <cell r="G1499" t="str">
            <v>ERICSSON</v>
          </cell>
          <cell r="H1499" t="str">
            <v>IHS</v>
          </cell>
          <cell r="I1499" t="str">
            <v>YOPOUGON</v>
          </cell>
          <cell r="J1499" t="str">
            <v>ABIDJAN</v>
          </cell>
          <cell r="K1499" t="str">
            <v>ABIDJAN</v>
          </cell>
          <cell r="L1499" t="str">
            <v>ABIDJAN</v>
          </cell>
          <cell r="M1499" t="str">
            <v>YOPOUGON SABLE</v>
          </cell>
          <cell r="N1499" t="str">
            <v>ABIDJAN</v>
          </cell>
        </row>
        <row r="1500">
          <cell r="B1500" t="str">
            <v>ET541</v>
          </cell>
          <cell r="C1500" t="str">
            <v>YOP_FIGAYO</v>
          </cell>
          <cell r="D1500" t="str">
            <v>-4.071218</v>
          </cell>
          <cell r="E1500" t="str">
            <v>5.35118</v>
          </cell>
          <cell r="F1500" t="str">
            <v>2G/3G/4G</v>
          </cell>
          <cell r="G1500" t="str">
            <v>ERICSSON</v>
          </cell>
          <cell r="H1500" t="str">
            <v>MOOV</v>
          </cell>
          <cell r="I1500" t="str">
            <v>YOPOUGON</v>
          </cell>
          <cell r="J1500" t="str">
            <v>ABIDJAN</v>
          </cell>
          <cell r="K1500" t="str">
            <v>ABIDJAN</v>
          </cell>
          <cell r="L1500" t="str">
            <v>ABIDJAN</v>
          </cell>
          <cell r="M1500" t="str">
            <v>YOPOUGON SABLE</v>
          </cell>
          <cell r="N1500" t="str">
            <v>ABIDJAN</v>
          </cell>
        </row>
        <row r="1501">
          <cell r="B1501" t="str">
            <v>ET542</v>
          </cell>
          <cell r="C1501" t="str">
            <v>YOP_PORT-BOUET2</v>
          </cell>
          <cell r="D1501" t="str">
            <v>-4.093077</v>
          </cell>
          <cell r="E1501" t="str">
            <v>5.355069</v>
          </cell>
          <cell r="F1501" t="str">
            <v>2G/3G/4G</v>
          </cell>
          <cell r="G1501" t="str">
            <v>ERICSSON</v>
          </cell>
          <cell r="H1501" t="str">
            <v>MOOV</v>
          </cell>
          <cell r="I1501" t="str">
            <v>YOPOUGON</v>
          </cell>
          <cell r="J1501" t="str">
            <v>ABIDJAN</v>
          </cell>
          <cell r="K1501" t="str">
            <v>ABIDJAN</v>
          </cell>
          <cell r="L1501" t="str">
            <v>ABIDJAN</v>
          </cell>
          <cell r="M1501" t="str">
            <v>YOPOUGON FICGAYO</v>
          </cell>
          <cell r="N1501" t="str">
            <v>ABIDJAN</v>
          </cell>
        </row>
        <row r="1502">
          <cell r="B1502" t="str">
            <v>ET543</v>
          </cell>
          <cell r="C1502" t="str">
            <v>YOP_GESCO_BONIKRO</v>
          </cell>
          <cell r="D1502" t="str">
            <v>-4.115889</v>
          </cell>
          <cell r="E1502" t="str">
            <v>5.363972</v>
          </cell>
          <cell r="F1502" t="str">
            <v>2G/3G/4G</v>
          </cell>
          <cell r="G1502" t="str">
            <v>ERICSSON</v>
          </cell>
          <cell r="H1502" t="str">
            <v>IHS</v>
          </cell>
          <cell r="I1502" t="str">
            <v>YOPOUGON</v>
          </cell>
          <cell r="J1502" t="str">
            <v>ABIDJAN</v>
          </cell>
          <cell r="K1502" t="str">
            <v>ABIDJAN</v>
          </cell>
          <cell r="L1502" t="str">
            <v>ABIDJAN</v>
          </cell>
          <cell r="M1502" t="str">
            <v>YOPOUGON FICGAYO</v>
          </cell>
          <cell r="N1502" t="str">
            <v>ABIDJAN</v>
          </cell>
        </row>
        <row r="1503">
          <cell r="B1503" t="str">
            <v>ET546</v>
          </cell>
          <cell r="C1503" t="str">
            <v>ADIAKE_BUISSONKRO</v>
          </cell>
          <cell r="D1503" t="str">
            <v>-3.302481</v>
          </cell>
          <cell r="E1503" t="str">
            <v>5.277916</v>
          </cell>
          <cell r="F1503" t="str">
            <v>2G/3G/4G</v>
          </cell>
          <cell r="G1503" t="str">
            <v>ERICSSON</v>
          </cell>
          <cell r="H1503" t="str">
            <v>OCI</v>
          </cell>
          <cell r="I1503" t="str">
            <v>ADIAKE</v>
          </cell>
          <cell r="J1503" t="str">
            <v>ADIAKE</v>
          </cell>
          <cell r="K1503" t="str">
            <v>ADIAKE</v>
          </cell>
          <cell r="L1503" t="str">
            <v>SUD-COMOE</v>
          </cell>
          <cell r="M1503" t="str">
            <v>MARCORY</v>
          </cell>
          <cell r="N1503" t="str">
            <v>UPCOUNTRY</v>
          </cell>
        </row>
        <row r="1504">
          <cell r="B1504" t="str">
            <v>ET547</v>
          </cell>
          <cell r="C1504" t="str">
            <v>ADIOPODOUME_2</v>
          </cell>
          <cell r="D1504" t="str">
            <v>-4.133092</v>
          </cell>
          <cell r="E1504" t="str">
            <v>5.3457169</v>
          </cell>
          <cell r="F1504" t="str">
            <v>2G/3G/4G</v>
          </cell>
          <cell r="G1504" t="str">
            <v>ERICSSON</v>
          </cell>
          <cell r="H1504" t="str">
            <v>MOOV</v>
          </cell>
          <cell r="I1504" t="str">
            <v>ADIOPODOUME</v>
          </cell>
          <cell r="J1504" t="str">
            <v>SONGON</v>
          </cell>
          <cell r="K1504" t="str">
            <v>ABIDJAN</v>
          </cell>
          <cell r="L1504" t="str">
            <v>ABIDJAN</v>
          </cell>
          <cell r="M1504" t="str">
            <v>YOPOUGON FICGAYO</v>
          </cell>
          <cell r="N1504" t="str">
            <v>ABIDJAN</v>
          </cell>
        </row>
        <row r="1505">
          <cell r="B1505" t="str">
            <v>ET548</v>
          </cell>
          <cell r="C1505" t="str">
            <v>ADZOPE_OCANARI</v>
          </cell>
          <cell r="D1505" t="str">
            <v>-3.85063</v>
          </cell>
          <cell r="E1505" t="str">
            <v>6.10822</v>
          </cell>
          <cell r="F1505" t="str">
            <v>2G/3G/4G</v>
          </cell>
          <cell r="G1505" t="str">
            <v>ERICSSON</v>
          </cell>
          <cell r="H1505" t="str">
            <v>MOOV</v>
          </cell>
          <cell r="I1505" t="str">
            <v>ADZOPE</v>
          </cell>
          <cell r="J1505" t="str">
            <v>ADZOPE</v>
          </cell>
          <cell r="K1505" t="str">
            <v>ADZOPE</v>
          </cell>
          <cell r="L1505" t="str">
            <v>LA ME</v>
          </cell>
          <cell r="M1505" t="str">
            <v>ABENGOUROU</v>
          </cell>
          <cell r="N1505" t="str">
            <v>UPCOUNTRY</v>
          </cell>
        </row>
        <row r="1506">
          <cell r="B1506" t="str">
            <v>ET550</v>
          </cell>
          <cell r="C1506" t="str">
            <v>AGNIBILEKROU_BELLEVILLE</v>
          </cell>
          <cell r="D1506" t="str">
            <v>-3.215986</v>
          </cell>
          <cell r="E1506" t="str">
            <v>7.131192</v>
          </cell>
          <cell r="F1506" t="str">
            <v>2G/3G/4G</v>
          </cell>
          <cell r="G1506" t="str">
            <v>ERICSSON</v>
          </cell>
          <cell r="H1506" t="str">
            <v>IHS</v>
          </cell>
          <cell r="I1506" t="str">
            <v>AGNIBILEKROU</v>
          </cell>
          <cell r="J1506" t="str">
            <v>AGNIBILEKROU</v>
          </cell>
          <cell r="K1506" t="str">
            <v>AGNIBILEKROU</v>
          </cell>
          <cell r="L1506" t="str">
            <v>INDENIE-DJUABLIN</v>
          </cell>
          <cell r="M1506" t="str">
            <v>ABENGOUROU</v>
          </cell>
          <cell r="N1506" t="str">
            <v>UPCOUNTRY</v>
          </cell>
        </row>
        <row r="1507">
          <cell r="B1507" t="str">
            <v>ET551</v>
          </cell>
          <cell r="C1507" t="str">
            <v>AKOUPE_MAIRIE</v>
          </cell>
          <cell r="D1507" t="str">
            <v>-3.887367</v>
          </cell>
          <cell r="E1507" t="str">
            <v>6.39325</v>
          </cell>
          <cell r="F1507" t="str">
            <v>2G/3G/4G</v>
          </cell>
          <cell r="G1507" t="str">
            <v>ERICSSON</v>
          </cell>
          <cell r="H1507" t="str">
            <v>IHS</v>
          </cell>
          <cell r="I1507" t="str">
            <v>AKOUPE</v>
          </cell>
          <cell r="J1507" t="str">
            <v>AKOUPE</v>
          </cell>
          <cell r="K1507" t="str">
            <v>AKOUPE</v>
          </cell>
          <cell r="L1507" t="str">
            <v>LA ME</v>
          </cell>
          <cell r="M1507" t="str">
            <v>ABENGOUROU</v>
          </cell>
          <cell r="N1507" t="str">
            <v>UPCOUNTRY</v>
          </cell>
        </row>
        <row r="1508">
          <cell r="B1508" t="str">
            <v>ET552</v>
          </cell>
          <cell r="C1508" t="str">
            <v>ANYAMA_SOCIFAB</v>
          </cell>
          <cell r="D1508" t="str">
            <v>-4.072306</v>
          </cell>
          <cell r="E1508" t="str">
            <v>5.567056</v>
          </cell>
          <cell r="F1508" t="str">
            <v>2G/3G/4G</v>
          </cell>
          <cell r="G1508" t="str">
            <v>ERICSSON</v>
          </cell>
          <cell r="H1508" t="str">
            <v>IHS</v>
          </cell>
          <cell r="I1508" t="str">
            <v>ANYAMA</v>
          </cell>
          <cell r="J1508" t="str">
            <v>ANYAMA</v>
          </cell>
          <cell r="K1508" t="str">
            <v>ABIDJAN</v>
          </cell>
          <cell r="L1508" t="str">
            <v>ABIDJAN</v>
          </cell>
          <cell r="M1508" t="str">
            <v>ABOBO</v>
          </cell>
          <cell r="N1508" t="str">
            <v>ABIDJAN</v>
          </cell>
        </row>
        <row r="1509">
          <cell r="B1509" t="str">
            <v>ET555</v>
          </cell>
          <cell r="C1509" t="str">
            <v>ANGRE_STAR_6</v>
          </cell>
          <cell r="D1509" t="str">
            <v>-3.988573</v>
          </cell>
          <cell r="E1509" t="str">
            <v>5.409493</v>
          </cell>
          <cell r="F1509" t="str">
            <v>2G/3G/4G</v>
          </cell>
          <cell r="G1509" t="str">
            <v>ERICSSON</v>
          </cell>
          <cell r="H1509" t="str">
            <v>MOOV</v>
          </cell>
          <cell r="I1509" t="str">
            <v>COCODY</v>
          </cell>
          <cell r="J1509" t="str">
            <v>ABIDJAN</v>
          </cell>
          <cell r="K1509" t="str">
            <v>ABIDJAN</v>
          </cell>
          <cell r="L1509" t="str">
            <v>ABIDJAN</v>
          </cell>
          <cell r="M1509" t="str">
            <v>COCODY LATRILLE</v>
          </cell>
          <cell r="N1509" t="str">
            <v>ABIDJAN</v>
          </cell>
        </row>
        <row r="1510">
          <cell r="B1510" t="str">
            <v>ET556</v>
          </cell>
          <cell r="C1510" t="str">
            <v>ROUTE_AKANDJE</v>
          </cell>
          <cell r="D1510" t="str">
            <v>-3.89643</v>
          </cell>
          <cell r="E1510" t="str">
            <v>5.39742</v>
          </cell>
          <cell r="F1510" t="str">
            <v>2G/3G/4G</v>
          </cell>
          <cell r="G1510" t="str">
            <v>ERICSSON</v>
          </cell>
          <cell r="H1510" t="str">
            <v>MOOV</v>
          </cell>
          <cell r="I1510" t="str">
            <v>BINGERVILLE</v>
          </cell>
          <cell r="J1510" t="str">
            <v>BINGERVILLE</v>
          </cell>
          <cell r="K1510" t="str">
            <v>ABIDJAN</v>
          </cell>
          <cell r="L1510" t="str">
            <v>ABIDJAN</v>
          </cell>
          <cell r="M1510" t="str">
            <v>COCODY LATRILLE</v>
          </cell>
          <cell r="N1510" t="str">
            <v>ABIDJAN</v>
          </cell>
        </row>
        <row r="1511">
          <cell r="B1511" t="str">
            <v>ET557</v>
          </cell>
          <cell r="C1511" t="str">
            <v>BONDOUKOU_ABEMA</v>
          </cell>
          <cell r="D1511" t="str">
            <v>-2.798139</v>
          </cell>
          <cell r="E1511" t="str">
            <v>8.055374</v>
          </cell>
          <cell r="F1511" t="str">
            <v>2G/3G/4G</v>
          </cell>
          <cell r="G1511" t="str">
            <v>ERICSSON</v>
          </cell>
          <cell r="H1511" t="str">
            <v>OCI</v>
          </cell>
          <cell r="I1511" t="str">
            <v>BONDOUKOU</v>
          </cell>
          <cell r="J1511" t="str">
            <v>BONDOUKOU</v>
          </cell>
          <cell r="K1511" t="str">
            <v>BONDOUKOU</v>
          </cell>
          <cell r="L1511" t="str">
            <v>GONTOUGO</v>
          </cell>
          <cell r="M1511" t="str">
            <v>ABENGOUROU</v>
          </cell>
          <cell r="N1511" t="str">
            <v>UPCOUNTRY</v>
          </cell>
        </row>
        <row r="1512">
          <cell r="B1512" t="str">
            <v>ET558</v>
          </cell>
          <cell r="C1512" t="str">
            <v>BONGOUANOU_PLACE_HKB</v>
          </cell>
          <cell r="D1512" t="str">
            <v>-4.1953</v>
          </cell>
          <cell r="E1512" t="str">
            <v>6.64468</v>
          </cell>
          <cell r="F1512" t="str">
            <v>2G/3G/4G</v>
          </cell>
          <cell r="G1512" t="str">
            <v>HUAWEI</v>
          </cell>
          <cell r="H1512" t="str">
            <v>MOOV</v>
          </cell>
          <cell r="I1512" t="str">
            <v>BONGOUANOU</v>
          </cell>
          <cell r="J1512" t="str">
            <v>BONGOUANOU</v>
          </cell>
          <cell r="K1512" t="str">
            <v>BONGOUANOU</v>
          </cell>
          <cell r="L1512" t="str">
            <v>MORONOU</v>
          </cell>
          <cell r="M1512" t="str">
            <v>ABENGOUROU</v>
          </cell>
          <cell r="N1512" t="str">
            <v>UPCOUNTRY</v>
          </cell>
        </row>
        <row r="1513">
          <cell r="B1513" t="str">
            <v>ET559</v>
          </cell>
          <cell r="C1513" t="str">
            <v xml:space="preserve">BONON_BELLEVILLE </v>
          </cell>
          <cell r="D1513" t="str">
            <v>-6.0567621</v>
          </cell>
          <cell r="E1513" t="str">
            <v>6.9174427</v>
          </cell>
          <cell r="F1513" t="str">
            <v>2G/3G/4G</v>
          </cell>
          <cell r="G1513" t="str">
            <v>HUAWEI</v>
          </cell>
          <cell r="H1513" t="str">
            <v>OCI</v>
          </cell>
          <cell r="I1513" t="str">
            <v>BONON</v>
          </cell>
          <cell r="J1513" t="str">
            <v>BONON</v>
          </cell>
          <cell r="K1513" t="str">
            <v>BOUAFLE</v>
          </cell>
          <cell r="L1513" t="str">
            <v>MARAHOUE</v>
          </cell>
          <cell r="M1513" t="str">
            <v>DALOA</v>
          </cell>
          <cell r="N1513" t="str">
            <v>UPCOUNTRY</v>
          </cell>
        </row>
        <row r="1514">
          <cell r="B1514" t="str">
            <v>ET560</v>
          </cell>
          <cell r="C1514" t="str">
            <v xml:space="preserve">BONOUA_DINGUI </v>
          </cell>
          <cell r="D1514" t="str">
            <v>-3.59648</v>
          </cell>
          <cell r="E1514" t="str">
            <v>5.282907</v>
          </cell>
          <cell r="F1514" t="str">
            <v>2G/3G/4G</v>
          </cell>
          <cell r="G1514" t="str">
            <v>HUAWEI</v>
          </cell>
          <cell r="H1514" t="str">
            <v>IHS</v>
          </cell>
          <cell r="I1514" t="str">
            <v>BONOUA</v>
          </cell>
          <cell r="J1514" t="str">
            <v>BONOUA</v>
          </cell>
          <cell r="K1514" t="str">
            <v>GRAND-BASSAM</v>
          </cell>
          <cell r="L1514" t="str">
            <v>SUD-COMOE</v>
          </cell>
          <cell r="M1514" t="str">
            <v>MARCORY</v>
          </cell>
          <cell r="N1514" t="str">
            <v>UPCOUNTRY</v>
          </cell>
        </row>
        <row r="1515">
          <cell r="B1515" t="str">
            <v>ET561</v>
          </cell>
          <cell r="C1515" t="str">
            <v>BONOUA_YAOU_RESIDENTIEL</v>
          </cell>
          <cell r="D1515" t="str">
            <v>-3.614175</v>
          </cell>
          <cell r="E1515" t="str">
            <v>5.242393</v>
          </cell>
          <cell r="F1515" t="str">
            <v>2G/3G/4G</v>
          </cell>
          <cell r="G1515" t="str">
            <v>HUAWEI</v>
          </cell>
          <cell r="H1515" t="str">
            <v>MTN</v>
          </cell>
          <cell r="I1515" t="str">
            <v>BONOUA YAOU</v>
          </cell>
          <cell r="J1515" t="str">
            <v>BONOUA</v>
          </cell>
          <cell r="K1515" t="str">
            <v>GRAND-BASSAM</v>
          </cell>
          <cell r="L1515" t="str">
            <v>SUD-COMOE</v>
          </cell>
          <cell r="M1515" t="str">
            <v>MARCORY</v>
          </cell>
          <cell r="N1515" t="str">
            <v>UPCOUNTRY</v>
          </cell>
        </row>
        <row r="1516">
          <cell r="B1516" t="str">
            <v>ET562</v>
          </cell>
          <cell r="C1516" t="str">
            <v xml:space="preserve">BOUAFLE_DIOULABOUGOU </v>
          </cell>
          <cell r="D1516" t="str">
            <v>-5.741303</v>
          </cell>
          <cell r="E1516" t="str">
            <v>6.987819</v>
          </cell>
          <cell r="F1516" t="str">
            <v>2G/3G/4G</v>
          </cell>
          <cell r="G1516" t="str">
            <v>HUAWEI</v>
          </cell>
          <cell r="H1516" t="str">
            <v>MOOV</v>
          </cell>
          <cell r="I1516" t="str">
            <v>BOUAFLE</v>
          </cell>
          <cell r="J1516" t="str">
            <v>BOUAFLE</v>
          </cell>
          <cell r="K1516" t="str">
            <v>BOUAFLE</v>
          </cell>
          <cell r="L1516" t="str">
            <v>MARAHOUE</v>
          </cell>
          <cell r="M1516" t="str">
            <v>YAMOUSSOUKRO</v>
          </cell>
          <cell r="N1516" t="str">
            <v>UPCOUNTRY</v>
          </cell>
        </row>
        <row r="1517">
          <cell r="B1517" t="str">
            <v>ET563</v>
          </cell>
          <cell r="C1517" t="str">
            <v>BOUAFLE_BLAMA</v>
          </cell>
          <cell r="D1517" t="str">
            <v>-5.75767</v>
          </cell>
          <cell r="E1517" t="str">
            <v>6.99948</v>
          </cell>
          <cell r="F1517" t="str">
            <v>2G/3G/4G</v>
          </cell>
          <cell r="G1517" t="str">
            <v>HUAWEI</v>
          </cell>
          <cell r="H1517" t="str">
            <v>IHS</v>
          </cell>
          <cell r="I1517" t="str">
            <v>BOUAFLE</v>
          </cell>
          <cell r="J1517" t="str">
            <v>BOUAFLE</v>
          </cell>
          <cell r="K1517" t="str">
            <v>BOUAFLE</v>
          </cell>
          <cell r="L1517" t="str">
            <v>MARAHOUE</v>
          </cell>
          <cell r="M1517" t="str">
            <v>YAMOUSSOUKRO</v>
          </cell>
          <cell r="N1517" t="str">
            <v>UPCOUNTRY</v>
          </cell>
        </row>
        <row r="1518">
          <cell r="B1518" t="str">
            <v>ET565</v>
          </cell>
          <cell r="C1518" t="str">
            <v>ATTINGUIE_CIMOD</v>
          </cell>
          <cell r="D1518" t="str">
            <v>-4.145708</v>
          </cell>
          <cell r="E1518" t="str">
            <v>5.420426</v>
          </cell>
          <cell r="F1518" t="str">
            <v>2G/3G/4G</v>
          </cell>
          <cell r="G1518" t="str">
            <v>ERICSSON</v>
          </cell>
          <cell r="H1518" t="str">
            <v>MOOV</v>
          </cell>
          <cell r="I1518" t="str">
            <v>ATTINGUIE</v>
          </cell>
          <cell r="J1518" t="str">
            <v>ANYAMA</v>
          </cell>
          <cell r="K1518" t="str">
            <v>ABIDJAN</v>
          </cell>
          <cell r="L1518" t="str">
            <v>ABIDJAN</v>
          </cell>
          <cell r="M1518" t="str">
            <v>YOPOUGON SABLE</v>
          </cell>
          <cell r="N1518" t="str">
            <v>ABIDJAN</v>
          </cell>
        </row>
        <row r="1519">
          <cell r="B1519" t="str">
            <v>ET567</v>
          </cell>
          <cell r="C1519" t="str">
            <v>BKE_CAMPUS2</v>
          </cell>
          <cell r="D1519" t="str">
            <v>-5.0798409</v>
          </cell>
          <cell r="E1519" t="str">
            <v>7.6780641</v>
          </cell>
          <cell r="F1519" t="str">
            <v>2G/3G/4G/5G</v>
          </cell>
          <cell r="G1519" t="str">
            <v>HUAWEI</v>
          </cell>
          <cell r="H1519" t="str">
            <v>MOOV</v>
          </cell>
          <cell r="I1519" t="str">
            <v>BOUAKE</v>
          </cell>
          <cell r="J1519" t="str">
            <v>BOUAKE</v>
          </cell>
          <cell r="K1519" t="str">
            <v>BOUAKE</v>
          </cell>
          <cell r="L1519" t="str">
            <v>GBEKE</v>
          </cell>
          <cell r="M1519" t="str">
            <v>BOUAKE</v>
          </cell>
          <cell r="N1519" t="str">
            <v>UPCOUNTRY</v>
          </cell>
        </row>
        <row r="1520">
          <cell r="B1520" t="str">
            <v>ET568</v>
          </cell>
          <cell r="C1520" t="str">
            <v>BKE_AGENCE MOOV</v>
          </cell>
          <cell r="D1520" t="str">
            <v>-5.0278318</v>
          </cell>
          <cell r="E1520" t="str">
            <v>7.6810104</v>
          </cell>
          <cell r="F1520" t="str">
            <v>2G/3G/4G/5G</v>
          </cell>
          <cell r="G1520" t="str">
            <v>HUAWEI</v>
          </cell>
          <cell r="H1520" t="str">
            <v>MOOV</v>
          </cell>
          <cell r="I1520" t="str">
            <v>BOUAKE</v>
          </cell>
          <cell r="J1520" t="str">
            <v>BOUAKE</v>
          </cell>
          <cell r="K1520" t="str">
            <v>BOUAKE</v>
          </cell>
          <cell r="L1520" t="str">
            <v>GBEKE</v>
          </cell>
          <cell r="M1520" t="str">
            <v>BOUAKE</v>
          </cell>
          <cell r="N1520" t="str">
            <v>UPCOUNTRY</v>
          </cell>
        </row>
        <row r="1521">
          <cell r="B1521" t="str">
            <v>ET569</v>
          </cell>
          <cell r="C1521" t="str">
            <v>BKE_VILLAGE_CAN</v>
          </cell>
          <cell r="D1521" t="str">
            <v>-4.9818557</v>
          </cell>
          <cell r="E1521" t="str">
            <v>7.6825488</v>
          </cell>
          <cell r="F1521" t="str">
            <v>2G/3G/4G</v>
          </cell>
          <cell r="G1521" t="str">
            <v>HUAWEI</v>
          </cell>
          <cell r="H1521" t="str">
            <v>MOOV</v>
          </cell>
          <cell r="I1521" t="str">
            <v>BOUAKE</v>
          </cell>
          <cell r="J1521" t="str">
            <v>BOUAKE</v>
          </cell>
          <cell r="K1521" t="str">
            <v>BOUAKE</v>
          </cell>
          <cell r="L1521" t="str">
            <v>GBEKE</v>
          </cell>
          <cell r="M1521" t="str">
            <v>BOUAKE</v>
          </cell>
          <cell r="N1521" t="str">
            <v>UPCOUNTRY</v>
          </cell>
        </row>
        <row r="1522">
          <cell r="B1522" t="str">
            <v>ET570</v>
          </cell>
          <cell r="C1522" t="str">
            <v>DABOU_GBOUGBO</v>
          </cell>
          <cell r="D1522" t="str">
            <v>-4.376073</v>
          </cell>
          <cell r="E1522" t="str">
            <v>5.310969</v>
          </cell>
          <cell r="F1522" t="str">
            <v>2G/3G/4G</v>
          </cell>
          <cell r="G1522" t="str">
            <v>ERICSSON</v>
          </cell>
          <cell r="H1522" t="str">
            <v>OCI</v>
          </cell>
          <cell r="I1522" t="str">
            <v>DABOU</v>
          </cell>
          <cell r="J1522" t="str">
            <v>DABOU</v>
          </cell>
          <cell r="K1522" t="str">
            <v>DABOU</v>
          </cell>
          <cell r="L1522" t="str">
            <v>GRANDS-PONTS</v>
          </cell>
          <cell r="M1522" t="str">
            <v>YOPOUGON FICGAYO</v>
          </cell>
          <cell r="N1522" t="str">
            <v>UPCOUNTRY</v>
          </cell>
        </row>
        <row r="1523">
          <cell r="B1523" t="str">
            <v>ET571</v>
          </cell>
          <cell r="C1523" t="str">
            <v>DABOU_RWOD_CSP</v>
          </cell>
          <cell r="D1523" t="str">
            <v>-4.384931</v>
          </cell>
          <cell r="E1523" t="str">
            <v>5.332065</v>
          </cell>
          <cell r="F1523" t="str">
            <v>2G/3G/4G</v>
          </cell>
          <cell r="G1523" t="str">
            <v>ERICSSON</v>
          </cell>
          <cell r="H1523" t="str">
            <v>MTN</v>
          </cell>
          <cell r="I1523" t="str">
            <v>DABOU</v>
          </cell>
          <cell r="J1523" t="str">
            <v>DABOU</v>
          </cell>
          <cell r="K1523" t="str">
            <v>DABOU</v>
          </cell>
          <cell r="L1523" t="str">
            <v>GRANDS-PONTS</v>
          </cell>
          <cell r="M1523" t="str">
            <v>YOPOUGON FICGAYO</v>
          </cell>
          <cell r="N1523" t="str">
            <v>UPCOUNTRY</v>
          </cell>
        </row>
        <row r="1524">
          <cell r="B1524" t="str">
            <v>ET572</v>
          </cell>
          <cell r="C1524" t="str">
            <v>DAL_GBEULYVILLE</v>
          </cell>
          <cell r="D1524" t="str">
            <v>-6.45781</v>
          </cell>
          <cell r="E1524" t="str">
            <v>6.8784062</v>
          </cell>
          <cell r="F1524" t="str">
            <v>2G/3G/4G</v>
          </cell>
          <cell r="G1524" t="str">
            <v>HUAWEI</v>
          </cell>
          <cell r="H1524" t="str">
            <v>OCI</v>
          </cell>
          <cell r="I1524" t="str">
            <v>DALOA</v>
          </cell>
          <cell r="J1524" t="str">
            <v>DALOA</v>
          </cell>
          <cell r="K1524" t="str">
            <v>DALOA</v>
          </cell>
          <cell r="L1524" t="str">
            <v>HAUT-SASSANDRA</v>
          </cell>
          <cell r="M1524" t="str">
            <v>DALOA</v>
          </cell>
          <cell r="N1524" t="str">
            <v>UPCOUNTRY</v>
          </cell>
        </row>
        <row r="1525">
          <cell r="B1525" t="str">
            <v>ET573</v>
          </cell>
          <cell r="C1525" t="str">
            <v>DALOA_RTE_BOUAFLE</v>
          </cell>
          <cell r="D1525" t="str">
            <v>-6.411645</v>
          </cell>
          <cell r="E1525" t="str">
            <v>6.90064</v>
          </cell>
          <cell r="F1525" t="str">
            <v>2G/3G/4G</v>
          </cell>
          <cell r="G1525" t="str">
            <v>HUAWEI</v>
          </cell>
          <cell r="H1525" t="str">
            <v>IHS</v>
          </cell>
          <cell r="I1525" t="str">
            <v>DALOA</v>
          </cell>
          <cell r="J1525" t="str">
            <v>DALOA</v>
          </cell>
          <cell r="K1525" t="str">
            <v>DALOA</v>
          </cell>
          <cell r="L1525" t="str">
            <v>HAUT-SASSANDRA</v>
          </cell>
          <cell r="M1525" t="str">
            <v>DALOA</v>
          </cell>
          <cell r="N1525" t="str">
            <v>UPCOUNTRY</v>
          </cell>
        </row>
        <row r="1526">
          <cell r="B1526" t="str">
            <v>ET574</v>
          </cell>
          <cell r="C1526" t="str">
            <v>DAOUKRO_120 LGTS</v>
          </cell>
          <cell r="D1526" t="str">
            <v>-3.972069</v>
          </cell>
          <cell r="E1526" t="str">
            <v>7.045777</v>
          </cell>
          <cell r="F1526" t="str">
            <v>2G/3G/4G</v>
          </cell>
          <cell r="G1526" t="str">
            <v>HUAWEI</v>
          </cell>
          <cell r="H1526" t="str">
            <v>IHS</v>
          </cell>
          <cell r="I1526" t="str">
            <v>DAOUKRO</v>
          </cell>
          <cell r="J1526" t="str">
            <v>DAOUKRO</v>
          </cell>
          <cell r="K1526" t="str">
            <v>DAOUKRO</v>
          </cell>
          <cell r="L1526" t="str">
            <v>IFFOU</v>
          </cell>
          <cell r="M1526" t="str">
            <v>ABENGOUROU</v>
          </cell>
          <cell r="N1526" t="str">
            <v>UPCOUNTRY</v>
          </cell>
        </row>
        <row r="1527">
          <cell r="B1527" t="str">
            <v>ET575</v>
          </cell>
          <cell r="C1527" t="str">
            <v>DIMBOKRO_ZONE_ECO</v>
          </cell>
          <cell r="D1527" t="str">
            <v>-4.695278</v>
          </cell>
          <cell r="E1527" t="str">
            <v>6.661167</v>
          </cell>
          <cell r="F1527" t="str">
            <v>2G/3G/4G</v>
          </cell>
          <cell r="G1527" t="str">
            <v>HUAWEI</v>
          </cell>
          <cell r="H1527" t="str">
            <v>OCI</v>
          </cell>
          <cell r="I1527" t="str">
            <v>DIMBOKRO</v>
          </cell>
          <cell r="J1527" t="str">
            <v>DIMBOKRO</v>
          </cell>
          <cell r="K1527" t="str">
            <v>DIMBOKRO</v>
          </cell>
          <cell r="L1527" t="str">
            <v>N'ZI</v>
          </cell>
          <cell r="M1527" t="str">
            <v>YAMOUSSOUKRO</v>
          </cell>
          <cell r="N1527" t="str">
            <v>UPCOUNTRY</v>
          </cell>
        </row>
        <row r="1528">
          <cell r="B1528" t="str">
            <v>ET577</v>
          </cell>
          <cell r="C1528" t="str">
            <v>FERKE_LANVIARA</v>
          </cell>
          <cell r="D1528" t="str">
            <v>-5.209248</v>
          </cell>
          <cell r="E1528" t="str">
            <v>9.59386</v>
          </cell>
          <cell r="F1528" t="str">
            <v>2G/3G/4G</v>
          </cell>
          <cell r="G1528" t="str">
            <v>HUAWEI</v>
          </cell>
          <cell r="H1528" t="str">
            <v>IHS</v>
          </cell>
          <cell r="I1528" t="str">
            <v>FERKESSEDOUGOU</v>
          </cell>
          <cell r="J1528" t="str">
            <v>FERKESSEDOUGOU</v>
          </cell>
          <cell r="K1528" t="str">
            <v>FERKESSEDOUGOU</v>
          </cell>
          <cell r="L1528" t="str">
            <v>TCHOLOGO</v>
          </cell>
          <cell r="M1528" t="str">
            <v>KORHOGO</v>
          </cell>
          <cell r="N1528" t="str">
            <v>UPCOUNTRY</v>
          </cell>
        </row>
        <row r="1529">
          <cell r="B1529" t="str">
            <v>ET578</v>
          </cell>
          <cell r="C1529" t="str">
            <v>GAGNOA CHÂTEAU</v>
          </cell>
          <cell r="D1529" t="str">
            <v>-5.959727</v>
          </cell>
          <cell r="E1529" t="str">
            <v>6.13858</v>
          </cell>
          <cell r="F1529" t="str">
            <v>2G/3G/4G</v>
          </cell>
          <cell r="G1529" t="str">
            <v>HUAWEI</v>
          </cell>
          <cell r="H1529" t="str">
            <v>IHS</v>
          </cell>
          <cell r="I1529" t="str">
            <v>GAGNOA</v>
          </cell>
          <cell r="J1529" t="str">
            <v>GAGNOA</v>
          </cell>
          <cell r="K1529" t="str">
            <v>GAGNOA</v>
          </cell>
          <cell r="L1529" t="str">
            <v>GOH</v>
          </cell>
          <cell r="M1529" t="str">
            <v>GAGNOA</v>
          </cell>
          <cell r="N1529" t="str">
            <v>UPCOUNTRY</v>
          </cell>
        </row>
        <row r="1530">
          <cell r="B1530" t="str">
            <v>ET579</v>
          </cell>
          <cell r="C1530" t="str">
            <v>GAGNOA_DELBO</v>
          </cell>
          <cell r="D1530" t="str">
            <v>-5.97981</v>
          </cell>
          <cell r="E1530" t="str">
            <v>6.14959</v>
          </cell>
          <cell r="F1530" t="str">
            <v>2G/3G/4G</v>
          </cell>
          <cell r="G1530" t="str">
            <v>HUAWEI</v>
          </cell>
          <cell r="H1530" t="str">
            <v>MTN</v>
          </cell>
          <cell r="I1530" t="str">
            <v>GAGNOA</v>
          </cell>
          <cell r="J1530" t="str">
            <v>GAGNOA</v>
          </cell>
          <cell r="K1530" t="str">
            <v>GAGNOA</v>
          </cell>
          <cell r="L1530" t="str">
            <v>GOH</v>
          </cell>
          <cell r="M1530" t="str">
            <v>GAGNOA</v>
          </cell>
          <cell r="N1530" t="str">
            <v>UPCOUNTRY</v>
          </cell>
        </row>
        <row r="1531">
          <cell r="B1531" t="str">
            <v>ET580</v>
          </cell>
          <cell r="C1531" t="str">
            <v>MODESTE_LYS DE MARIE</v>
          </cell>
          <cell r="D1531" t="str">
            <v>-3.816566</v>
          </cell>
          <cell r="E1531" t="str">
            <v>5.228887</v>
          </cell>
          <cell r="F1531" t="str">
            <v>2G/3G/4G</v>
          </cell>
          <cell r="G1531" t="str">
            <v>HUAWEI</v>
          </cell>
          <cell r="H1531" t="str">
            <v>MOOV</v>
          </cell>
          <cell r="I1531" t="str">
            <v>GRAND-BASSAM</v>
          </cell>
          <cell r="J1531" t="str">
            <v>GRAND-BASSAM</v>
          </cell>
          <cell r="K1531" t="str">
            <v>GRAND-BASSAM</v>
          </cell>
          <cell r="L1531" t="str">
            <v>SUD-COMOE</v>
          </cell>
          <cell r="M1531" t="str">
            <v>MARCORY</v>
          </cell>
          <cell r="N1531" t="str">
            <v>UPCOUNTRY</v>
          </cell>
        </row>
        <row r="1532">
          <cell r="B1532" t="str">
            <v>ET581</v>
          </cell>
          <cell r="C1532" t="str">
            <v>BASSAM_ETOILE</v>
          </cell>
          <cell r="D1532" t="str">
            <v>-3.736474</v>
          </cell>
          <cell r="E1532" t="str">
            <v>5.194637</v>
          </cell>
          <cell r="F1532" t="str">
            <v>2G/3G/4G</v>
          </cell>
          <cell r="G1532" t="str">
            <v>HUAWEI</v>
          </cell>
          <cell r="H1532" t="str">
            <v>OCI</v>
          </cell>
          <cell r="I1532" t="str">
            <v>GRAND-BASSAM</v>
          </cell>
          <cell r="J1532" t="str">
            <v>GRAND-BASSAM</v>
          </cell>
          <cell r="K1532" t="str">
            <v>GRAND-BASSAM</v>
          </cell>
          <cell r="L1532" t="str">
            <v>SUD-COMOE</v>
          </cell>
          <cell r="M1532" t="str">
            <v>MARCORY</v>
          </cell>
          <cell r="N1532" t="str">
            <v>UPCOUNTRY</v>
          </cell>
        </row>
        <row r="1533">
          <cell r="B1533" t="str">
            <v>ET582</v>
          </cell>
          <cell r="C1533" t="str">
            <v>BASSAM_PHARE</v>
          </cell>
          <cell r="D1533" t="str">
            <v>-3.73139</v>
          </cell>
          <cell r="E1533" t="str">
            <v>5.20972</v>
          </cell>
          <cell r="F1533" t="str">
            <v>2G/3G/4G</v>
          </cell>
          <cell r="G1533" t="str">
            <v>HUAWEI</v>
          </cell>
          <cell r="H1533" t="str">
            <v>IHS</v>
          </cell>
          <cell r="I1533" t="str">
            <v>GRAND-BASSAM</v>
          </cell>
          <cell r="J1533" t="str">
            <v>GRAND-BASSAM</v>
          </cell>
          <cell r="K1533" t="str">
            <v>GRAND-BASSAM</v>
          </cell>
          <cell r="L1533" t="str">
            <v>SUD-COMOE</v>
          </cell>
          <cell r="M1533" t="str">
            <v>MARCORY</v>
          </cell>
          <cell r="N1533" t="str">
            <v>UPCOUNTRY</v>
          </cell>
        </row>
        <row r="1534">
          <cell r="B1534" t="str">
            <v>ET583</v>
          </cell>
          <cell r="C1534" t="str">
            <v>GD_LAHOU_STADE</v>
          </cell>
          <cell r="D1534" t="str">
            <v>-4.991521</v>
          </cell>
          <cell r="E1534" t="str">
            <v>5.244176</v>
          </cell>
          <cell r="F1534" t="str">
            <v>2G/3G/4G</v>
          </cell>
          <cell r="G1534" t="str">
            <v>ERICSSON</v>
          </cell>
          <cell r="H1534" t="str">
            <v>OCI</v>
          </cell>
          <cell r="I1534" t="str">
            <v>GRAND-LAHOU</v>
          </cell>
          <cell r="J1534" t="str">
            <v>GRAND-LAHOU</v>
          </cell>
          <cell r="K1534" t="str">
            <v>GRAND-LAHOU</v>
          </cell>
          <cell r="L1534" t="str">
            <v>GRANDS-PONTS</v>
          </cell>
          <cell r="M1534" t="str">
            <v>YOPOUGON FICGAYO</v>
          </cell>
          <cell r="N1534" t="str">
            <v>UPCOUNTRY</v>
          </cell>
        </row>
        <row r="1535">
          <cell r="B1535" t="str">
            <v>ET584</v>
          </cell>
          <cell r="C1535" t="str">
            <v>PRUNELLE_JACQUEVIL</v>
          </cell>
          <cell r="D1535" t="str">
            <v>-4.394251</v>
          </cell>
          <cell r="E1535" t="str">
            <v>5.20847</v>
          </cell>
          <cell r="F1535" t="str">
            <v>2G/3G/4G</v>
          </cell>
          <cell r="G1535" t="str">
            <v>ERICSSON</v>
          </cell>
          <cell r="H1535" t="str">
            <v>OCI</v>
          </cell>
          <cell r="I1535" t="str">
            <v>JACQUEVILLE</v>
          </cell>
          <cell r="J1535" t="str">
            <v>JACQUEVILLE</v>
          </cell>
          <cell r="K1535" t="str">
            <v>JACQUEVILLE</v>
          </cell>
          <cell r="L1535" t="str">
            <v>GRANDS-PONTS</v>
          </cell>
          <cell r="M1535" t="str">
            <v>YOPOUGON FICGAYO</v>
          </cell>
          <cell r="N1535" t="str">
            <v>UPCOUNTRY</v>
          </cell>
        </row>
        <row r="1536">
          <cell r="B1536" t="str">
            <v>ET585</v>
          </cell>
          <cell r="C1536" t="str">
            <v>KATIOLA_MANGOROSSO</v>
          </cell>
          <cell r="D1536" t="str">
            <v>-5.091179</v>
          </cell>
          <cell r="E1536" t="str">
            <v>8.148992</v>
          </cell>
          <cell r="F1536" t="str">
            <v>2G/3G/4G</v>
          </cell>
          <cell r="G1536" t="str">
            <v>HUAWEI</v>
          </cell>
          <cell r="H1536" t="str">
            <v>MOOV</v>
          </cell>
          <cell r="I1536" t="str">
            <v>KATIOLA</v>
          </cell>
          <cell r="J1536" t="str">
            <v>KATIOLA</v>
          </cell>
          <cell r="K1536" t="str">
            <v>KATIOLA</v>
          </cell>
          <cell r="L1536" t="str">
            <v>HAMBOL</v>
          </cell>
          <cell r="M1536" t="str">
            <v>BOUAKE</v>
          </cell>
          <cell r="N1536" t="str">
            <v>UPCOUNTRY</v>
          </cell>
        </row>
        <row r="1537">
          <cell r="B1537" t="str">
            <v>ET586</v>
          </cell>
          <cell r="C1537" t="str">
            <v>KOR_BELLEVILLE</v>
          </cell>
          <cell r="D1537" t="str">
            <v>-5.606446</v>
          </cell>
          <cell r="E1537" t="str">
            <v>9.430155</v>
          </cell>
          <cell r="F1537" t="str">
            <v>2G/3G/4G</v>
          </cell>
          <cell r="G1537" t="str">
            <v>HUAWEI</v>
          </cell>
          <cell r="H1537" t="str">
            <v>MOOV</v>
          </cell>
          <cell r="I1537" t="str">
            <v>KORHOGO</v>
          </cell>
          <cell r="J1537" t="str">
            <v>KORHOGO</v>
          </cell>
          <cell r="K1537" t="str">
            <v>KORHOGO</v>
          </cell>
          <cell r="L1537" t="str">
            <v>PORO</v>
          </cell>
          <cell r="M1537" t="str">
            <v>KORHOGO</v>
          </cell>
          <cell r="N1537" t="str">
            <v>UPCOUNTRY</v>
          </cell>
        </row>
        <row r="1538">
          <cell r="B1538" t="str">
            <v>ET590</v>
          </cell>
          <cell r="C1538" t="str">
            <v>KOR_PELEFERO_GON</v>
          </cell>
          <cell r="D1538" t="str">
            <v>-5.63557</v>
          </cell>
          <cell r="E1538" t="str">
            <v>9.428167</v>
          </cell>
          <cell r="F1538" t="str">
            <v>2G/3G/4G</v>
          </cell>
          <cell r="G1538" t="str">
            <v>HUAWEI</v>
          </cell>
          <cell r="H1538" t="str">
            <v>MOOV</v>
          </cell>
          <cell r="I1538" t="str">
            <v>KORHOGO</v>
          </cell>
          <cell r="J1538" t="str">
            <v>KORHOGO</v>
          </cell>
          <cell r="K1538" t="str">
            <v>KORHOGO</v>
          </cell>
          <cell r="L1538" t="str">
            <v>PORO</v>
          </cell>
          <cell r="M1538" t="str">
            <v>KORHOGO</v>
          </cell>
          <cell r="N1538" t="str">
            <v>UPCOUNTRY</v>
          </cell>
        </row>
        <row r="1539">
          <cell r="B1539" t="str">
            <v>ET592</v>
          </cell>
          <cell r="C1539" t="str">
            <v>MAN_RENFO</v>
          </cell>
          <cell r="D1539" t="str">
            <v>-7.53311</v>
          </cell>
          <cell r="E1539" t="str">
            <v>7.400027</v>
          </cell>
          <cell r="F1539" t="str">
            <v>2G/3G/4G</v>
          </cell>
          <cell r="G1539" t="str">
            <v>HUAWEI</v>
          </cell>
          <cell r="H1539" t="str">
            <v>IHS</v>
          </cell>
          <cell r="I1539" t="str">
            <v>MAN</v>
          </cell>
          <cell r="J1539" t="str">
            <v>MAN</v>
          </cell>
          <cell r="K1539" t="str">
            <v>MAN</v>
          </cell>
          <cell r="L1539" t="str">
            <v>TONKPI</v>
          </cell>
          <cell r="M1539" t="str">
            <v>MAN</v>
          </cell>
          <cell r="N1539" t="str">
            <v>UPCOUNTRY</v>
          </cell>
        </row>
        <row r="1540">
          <cell r="B1540" t="str">
            <v>ET595</v>
          </cell>
          <cell r="C1540" t="str">
            <v>OUME 3</v>
          </cell>
          <cell r="D1540" t="str">
            <v>-5.41577</v>
          </cell>
          <cell r="E1540" t="str">
            <v>6.388324</v>
          </cell>
          <cell r="F1540" t="str">
            <v>2G/3G/4G</v>
          </cell>
          <cell r="G1540" t="str">
            <v>HUAWEI</v>
          </cell>
          <cell r="H1540" t="str">
            <v>IHS</v>
          </cell>
          <cell r="I1540" t="str">
            <v>OUME</v>
          </cell>
          <cell r="J1540" t="str">
            <v>OUME</v>
          </cell>
          <cell r="K1540" t="str">
            <v>OUME</v>
          </cell>
          <cell r="L1540" t="str">
            <v>GOH</v>
          </cell>
          <cell r="M1540" t="str">
            <v>GAGNOA</v>
          </cell>
          <cell r="N1540" t="str">
            <v>UPCOUNTRY</v>
          </cell>
        </row>
        <row r="1541">
          <cell r="B1541" t="str">
            <v>ET596</v>
          </cell>
          <cell r="C1541" t="str">
            <v>SP_BELLEVILLE</v>
          </cell>
          <cell r="D1541" t="str">
            <v>-6.6875533</v>
          </cell>
          <cell r="E1541" t="str">
            <v>4.77524</v>
          </cell>
          <cell r="F1541" t="str">
            <v>2G/3G/4G</v>
          </cell>
          <cell r="G1541" t="str">
            <v>ERICSSON</v>
          </cell>
          <cell r="H1541" t="str">
            <v>IHS</v>
          </cell>
          <cell r="I1541" t="str">
            <v>SAN-PEDRO</v>
          </cell>
          <cell r="J1541" t="str">
            <v>SAN-PEDRO</v>
          </cell>
          <cell r="K1541" t="str">
            <v>SAN-PEDRO</v>
          </cell>
          <cell r="L1541" t="str">
            <v>SAN-PEDRO</v>
          </cell>
          <cell r="M1541" t="str">
            <v>SAN-PEDRO</v>
          </cell>
          <cell r="N1541" t="str">
            <v>UPCOUNTRY</v>
          </cell>
        </row>
        <row r="1542">
          <cell r="B1542" t="str">
            <v>ET597</v>
          </cell>
          <cell r="C1542" t="str">
            <v>SP_CORRIDOR_ABJ</v>
          </cell>
          <cell r="D1542" t="str">
            <v>-6.6422083</v>
          </cell>
          <cell r="E1542" t="str">
            <v>4.81046</v>
          </cell>
          <cell r="F1542" t="str">
            <v>2G/3G/4G</v>
          </cell>
          <cell r="G1542" t="str">
            <v>ERICSSON</v>
          </cell>
          <cell r="H1542" t="str">
            <v>IHS</v>
          </cell>
          <cell r="I1542" t="str">
            <v>SAN-PEDRO</v>
          </cell>
          <cell r="J1542" t="str">
            <v>SAN-PEDRO</v>
          </cell>
          <cell r="K1542" t="str">
            <v>SAN-PEDRO</v>
          </cell>
          <cell r="L1542" t="str">
            <v>SAN-PEDRO</v>
          </cell>
          <cell r="M1542" t="str">
            <v>SAN-PEDRO</v>
          </cell>
          <cell r="N1542" t="str">
            <v>UPCOUNTRY</v>
          </cell>
        </row>
        <row r="1543">
          <cell r="B1543" t="str">
            <v>ET598</v>
          </cell>
          <cell r="C1543" t="str">
            <v>SP_SONOUKO_EXT</v>
          </cell>
          <cell r="D1543" t="str">
            <v>-6.64797</v>
          </cell>
          <cell r="E1543" t="str">
            <v>4.73333</v>
          </cell>
          <cell r="F1543" t="str">
            <v>2G/3G/4G</v>
          </cell>
          <cell r="G1543" t="str">
            <v>ERICSSON</v>
          </cell>
          <cell r="H1543" t="str">
            <v>MOOV</v>
          </cell>
          <cell r="I1543" t="str">
            <v>SAN-PEDRO</v>
          </cell>
          <cell r="J1543" t="str">
            <v>SAN-PEDRO</v>
          </cell>
          <cell r="K1543" t="str">
            <v>SAN-PEDRO</v>
          </cell>
          <cell r="L1543" t="str">
            <v>SAN-PEDRO</v>
          </cell>
          <cell r="M1543" t="str">
            <v>SAN-PEDRO</v>
          </cell>
          <cell r="N1543" t="str">
            <v>UPCOUNTRY</v>
          </cell>
        </row>
        <row r="1544">
          <cell r="B1544" t="str">
            <v>ET600</v>
          </cell>
          <cell r="C1544" t="str">
            <v>SOUBRE_CITE BARRAGE</v>
          </cell>
          <cell r="D1544" t="str">
            <v>-6.607225</v>
          </cell>
          <cell r="E1544" t="str">
            <v>5.798612</v>
          </cell>
          <cell r="F1544" t="str">
            <v>2G/3G/4G</v>
          </cell>
          <cell r="G1544" t="str">
            <v>HUAWEI</v>
          </cell>
          <cell r="H1544" t="str">
            <v>OCI</v>
          </cell>
          <cell r="I1544" t="str">
            <v>SOUBRE</v>
          </cell>
          <cell r="J1544" t="str">
            <v>SOUBRE</v>
          </cell>
          <cell r="K1544" t="str">
            <v>SOUBRE</v>
          </cell>
          <cell r="L1544" t="str">
            <v>NAWA</v>
          </cell>
          <cell r="M1544" t="str">
            <v>SOUBRE</v>
          </cell>
          <cell r="N1544" t="str">
            <v>UPCOUNTRY</v>
          </cell>
        </row>
        <row r="1545">
          <cell r="B1545" t="str">
            <v>ET601</v>
          </cell>
          <cell r="C1545" t="str">
            <v>TANDA_CHATEAU</v>
          </cell>
          <cell r="D1545" t="str">
            <v>-3.166713</v>
          </cell>
          <cell r="E1545" t="str">
            <v>7.80769</v>
          </cell>
          <cell r="F1545" t="str">
            <v>2G/3G/4G</v>
          </cell>
          <cell r="G1545" t="str">
            <v>ERICSSON</v>
          </cell>
          <cell r="H1545" t="str">
            <v>IHS</v>
          </cell>
          <cell r="I1545" t="str">
            <v>TANDA</v>
          </cell>
          <cell r="J1545" t="str">
            <v>TANDA</v>
          </cell>
          <cell r="K1545" t="str">
            <v>TANDA</v>
          </cell>
          <cell r="L1545" t="str">
            <v>GONTOUGO</v>
          </cell>
          <cell r="M1545" t="str">
            <v>ABENGOUROU</v>
          </cell>
          <cell r="N1545" t="str">
            <v>UPCOUNTRY</v>
          </cell>
        </row>
        <row r="1546">
          <cell r="B1546" t="str">
            <v>ET602</v>
          </cell>
          <cell r="C1546" t="str">
            <v>YAM_Rte_OUME</v>
          </cell>
          <cell r="D1546" t="str">
            <v>-5.27954</v>
          </cell>
          <cell r="E1546" t="str">
            <v>6.752262</v>
          </cell>
          <cell r="F1546" t="str">
            <v>2G/3G/4G</v>
          </cell>
          <cell r="G1546" t="str">
            <v>HUAWEI</v>
          </cell>
          <cell r="H1546" t="str">
            <v>MTN</v>
          </cell>
          <cell r="I1546" t="str">
            <v>YAMOUSSOUKRO</v>
          </cell>
          <cell r="J1546" t="str">
            <v>YAMOUSSOUKRO</v>
          </cell>
          <cell r="K1546" t="str">
            <v>YAMOUSSOUKRO</v>
          </cell>
          <cell r="L1546" t="str">
            <v>YAMOUSSOUKRO</v>
          </cell>
          <cell r="M1546" t="str">
            <v>YAMOUSSOUKRO</v>
          </cell>
          <cell r="N1546" t="str">
            <v>UPCOUNTRY</v>
          </cell>
        </row>
        <row r="1547">
          <cell r="B1547" t="str">
            <v>ET603</v>
          </cell>
          <cell r="C1547" t="str">
            <v>ZUENOULA_SOKOURA</v>
          </cell>
          <cell r="D1547" t="str">
            <v>-6.06058</v>
          </cell>
          <cell r="E1547" t="str">
            <v>7.43057</v>
          </cell>
          <cell r="F1547" t="str">
            <v>2G/3G/4G</v>
          </cell>
          <cell r="G1547" t="str">
            <v>HUAWEI</v>
          </cell>
          <cell r="H1547" t="str">
            <v>IHS</v>
          </cell>
          <cell r="I1547" t="str">
            <v>ZUENOULA</v>
          </cell>
          <cell r="J1547" t="str">
            <v>ZUENOULA</v>
          </cell>
          <cell r="K1547" t="str">
            <v>ZUENOULA</v>
          </cell>
          <cell r="L1547" t="str">
            <v>MARAHOUE</v>
          </cell>
          <cell r="M1547" t="str">
            <v>YAMOUSSOUKRO</v>
          </cell>
          <cell r="N1547" t="str">
            <v>UPCOUNTRY</v>
          </cell>
        </row>
        <row r="1548">
          <cell r="B1548" t="str">
            <v>ET604</v>
          </cell>
          <cell r="C1548" t="str">
            <v>IPOUAGUI</v>
          </cell>
          <cell r="D1548" t="str">
            <v>-6.871627</v>
          </cell>
          <cell r="E1548" t="str">
            <v>5.493225</v>
          </cell>
          <cell r="F1548" t="str">
            <v>2G/3G/4G</v>
          </cell>
          <cell r="G1548" t="str">
            <v>HUAWEI</v>
          </cell>
          <cell r="H1548" t="str">
            <v>IHS</v>
          </cell>
          <cell r="I1548" t="str">
            <v>IPOUAGUI</v>
          </cell>
          <cell r="J1548" t="str">
            <v>OUPOYO</v>
          </cell>
          <cell r="K1548" t="str">
            <v>MEAGUI</v>
          </cell>
          <cell r="L1548" t="str">
            <v>NAWA</v>
          </cell>
          <cell r="M1548" t="str">
            <v>SOUBRE</v>
          </cell>
          <cell r="N1548" t="str">
            <v>UPCOUNTRY</v>
          </cell>
        </row>
        <row r="1549">
          <cell r="B1549" t="str">
            <v>ET605</v>
          </cell>
          <cell r="C1549" t="str">
            <v>GLIGBEUADJI</v>
          </cell>
          <cell r="D1549" t="str">
            <v>-6.69523</v>
          </cell>
          <cell r="E1549" t="str">
            <v>5.20306</v>
          </cell>
          <cell r="F1549" t="str">
            <v>2G/3G/4G</v>
          </cell>
          <cell r="G1549" t="str">
            <v>HUAWEI</v>
          </cell>
          <cell r="H1549" t="str">
            <v>IHS</v>
          </cell>
          <cell r="I1549" t="str">
            <v>GLIGBEUADJI</v>
          </cell>
          <cell r="J1549" t="str">
            <v>DOBA</v>
          </cell>
          <cell r="K1549" t="str">
            <v>SAN-PEDRO</v>
          </cell>
          <cell r="L1549" t="str">
            <v>SAN-PEDRO</v>
          </cell>
          <cell r="M1549" t="str">
            <v>SOUBRE</v>
          </cell>
          <cell r="N1549" t="str">
            <v>UPCOUNTRY</v>
          </cell>
        </row>
        <row r="1550">
          <cell r="B1550" t="str">
            <v>ET607</v>
          </cell>
          <cell r="C1550" t="str">
            <v>BEDY-GOAZON</v>
          </cell>
          <cell r="D1550" t="str">
            <v>-7.781282</v>
          </cell>
          <cell r="E1550" t="str">
            <v>6.567008</v>
          </cell>
          <cell r="F1550" t="str">
            <v>2G/3G/4G</v>
          </cell>
          <cell r="G1550" t="str">
            <v>HUAWEI</v>
          </cell>
          <cell r="H1550" t="str">
            <v>IHS</v>
          </cell>
          <cell r="I1550" t="str">
            <v>BEDY-GOAZON</v>
          </cell>
          <cell r="J1550" t="str">
            <v>BEDY-GOAZON</v>
          </cell>
          <cell r="K1550" t="str">
            <v>GUIGLO</v>
          </cell>
          <cell r="L1550" t="str">
            <v>CAVALLY</v>
          </cell>
          <cell r="M1550" t="str">
            <v>MAN</v>
          </cell>
          <cell r="N1550" t="str">
            <v>UPCOUNTRY</v>
          </cell>
        </row>
        <row r="1551">
          <cell r="B1551" t="str">
            <v>ET608</v>
          </cell>
          <cell r="C1551" t="str">
            <v>DIBOBLI</v>
          </cell>
          <cell r="D1551" t="str">
            <v>-7.019716</v>
          </cell>
          <cell r="E1551" t="str">
            <v>6.739189</v>
          </cell>
          <cell r="F1551" t="str">
            <v>2G/3G/4G</v>
          </cell>
          <cell r="G1551" t="str">
            <v>HUAWEI</v>
          </cell>
          <cell r="H1551" t="str">
            <v>IHS</v>
          </cell>
          <cell r="I1551" t="str">
            <v>DIBOBLI</v>
          </cell>
          <cell r="J1551" t="str">
            <v>GUEZON</v>
          </cell>
          <cell r="K1551" t="str">
            <v>DUEKOUE</v>
          </cell>
          <cell r="L1551" t="str">
            <v>GUEMON</v>
          </cell>
          <cell r="M1551" t="str">
            <v>MAN</v>
          </cell>
          <cell r="N1551" t="str">
            <v>UPCOUNTRY</v>
          </cell>
        </row>
        <row r="1552">
          <cell r="B1552" t="str">
            <v>ET609</v>
          </cell>
          <cell r="C1552" t="str">
            <v>LOVIGUIE</v>
          </cell>
          <cell r="D1552" t="str">
            <v>-4.328489</v>
          </cell>
          <cell r="E1552" t="str">
            <v>5.809316</v>
          </cell>
          <cell r="F1552" t="str">
            <v>2G/3G/4G</v>
          </cell>
          <cell r="G1552" t="str">
            <v>ERICSSON</v>
          </cell>
          <cell r="H1552" t="str">
            <v>MOOV</v>
          </cell>
          <cell r="I1552" t="str">
            <v>LOVIGUIE</v>
          </cell>
          <cell r="J1552" t="str">
            <v>LOVIGUIE</v>
          </cell>
          <cell r="K1552" t="str">
            <v>AGBOVILLE</v>
          </cell>
          <cell r="L1552" t="str">
            <v>AGNEBY-TIASSA</v>
          </cell>
          <cell r="M1552" t="str">
            <v>ABOBO</v>
          </cell>
          <cell r="N1552" t="str">
            <v>UPCOUNTRY</v>
          </cell>
        </row>
        <row r="1553">
          <cell r="B1553" t="str">
            <v>ET610</v>
          </cell>
          <cell r="C1553" t="str">
            <v>OBROUAYO</v>
          </cell>
          <cell r="D1553" t="str">
            <v>-6.64952</v>
          </cell>
          <cell r="E1553" t="str">
            <v>5.88961</v>
          </cell>
          <cell r="F1553" t="str">
            <v>2G/3G/4G</v>
          </cell>
          <cell r="G1553" t="str">
            <v>HUAWEI</v>
          </cell>
          <cell r="H1553" t="str">
            <v>IHS</v>
          </cell>
          <cell r="I1553" t="str">
            <v>OBROUAYO</v>
          </cell>
          <cell r="J1553" t="str">
            <v>SOUBRE</v>
          </cell>
          <cell r="K1553" t="str">
            <v>SOUBRE</v>
          </cell>
          <cell r="L1553" t="str">
            <v>NAWA</v>
          </cell>
          <cell r="M1553" t="str">
            <v>SOUBRE</v>
          </cell>
          <cell r="N1553" t="str">
            <v>UPCOUNTRY</v>
          </cell>
        </row>
        <row r="1554">
          <cell r="B1554" t="str">
            <v>ET611</v>
          </cell>
          <cell r="C1554" t="str">
            <v>GAOULOU</v>
          </cell>
          <cell r="D1554" t="str">
            <v>-6.15235</v>
          </cell>
          <cell r="E1554" t="str">
            <v>5.03219</v>
          </cell>
          <cell r="F1554" t="str">
            <v>2G/3G/4G</v>
          </cell>
          <cell r="G1554" t="str">
            <v>ERICSSON</v>
          </cell>
          <cell r="H1554" t="str">
            <v>MOOV</v>
          </cell>
          <cell r="I1554" t="str">
            <v>GAOULOU</v>
          </cell>
          <cell r="J1554" t="str">
            <v>SASSANDRA</v>
          </cell>
          <cell r="K1554" t="str">
            <v>SASSANDRA</v>
          </cell>
          <cell r="L1554" t="str">
            <v>GBOKLE</v>
          </cell>
          <cell r="M1554" t="str">
            <v>SAN-PEDRO</v>
          </cell>
          <cell r="N1554" t="str">
            <v>UPCOUNTRY</v>
          </cell>
        </row>
        <row r="1555">
          <cell r="B1555" t="str">
            <v>ET612</v>
          </cell>
          <cell r="C1555" t="str">
            <v>GRIHIRI</v>
          </cell>
          <cell r="D1555" t="str">
            <v>-6.34528</v>
          </cell>
          <cell r="E1555" t="str">
            <v>5.43444</v>
          </cell>
          <cell r="F1555" t="str">
            <v>2G/3G/4G</v>
          </cell>
          <cell r="G1555" t="str">
            <v>ERICSSON</v>
          </cell>
          <cell r="H1555" t="str">
            <v>IHS</v>
          </cell>
          <cell r="I1555" t="str">
            <v>GRIHIRI</v>
          </cell>
          <cell r="J1555" t="str">
            <v>GRIHIRI</v>
          </cell>
          <cell r="K1555" t="str">
            <v>SASSANDRA</v>
          </cell>
          <cell r="L1555" t="str">
            <v>GBOKLE</v>
          </cell>
          <cell r="M1555" t="str">
            <v>SAN-PEDRO</v>
          </cell>
          <cell r="N1555" t="str">
            <v>UPCOUNTRY</v>
          </cell>
        </row>
        <row r="1556">
          <cell r="B1556" t="str">
            <v>ET613</v>
          </cell>
          <cell r="C1556" t="str">
            <v>LUEHOUAN_2</v>
          </cell>
          <cell r="D1556" t="str">
            <v>-6.80089</v>
          </cell>
          <cell r="E1556" t="str">
            <v>6.29085</v>
          </cell>
          <cell r="F1556" t="str">
            <v>2G/3G/4G</v>
          </cell>
          <cell r="G1556" t="str">
            <v>HUAWEI</v>
          </cell>
          <cell r="H1556" t="str">
            <v>MOOV</v>
          </cell>
          <cell r="I1556" t="str">
            <v>LUEHOUAN 2</v>
          </cell>
          <cell r="J1556" t="str">
            <v>NAMANE</v>
          </cell>
          <cell r="K1556" t="str">
            <v>ISSIA</v>
          </cell>
          <cell r="L1556" t="str">
            <v>HAUT-SASSANDRA</v>
          </cell>
          <cell r="M1556" t="str">
            <v>DALOA</v>
          </cell>
          <cell r="N1556" t="str">
            <v>UPCOUNTRY</v>
          </cell>
        </row>
        <row r="1557">
          <cell r="B1557" t="str">
            <v>ET614</v>
          </cell>
          <cell r="C1557" t="str">
            <v>LESSIRI</v>
          </cell>
          <cell r="D1557" t="str">
            <v>-6.486609</v>
          </cell>
          <cell r="E1557" t="str">
            <v>5.917291</v>
          </cell>
          <cell r="F1557" t="str">
            <v>2G/3G/4G</v>
          </cell>
          <cell r="G1557" t="str">
            <v>HUAWEI</v>
          </cell>
          <cell r="H1557" t="str">
            <v>IHS</v>
          </cell>
          <cell r="I1557" t="str">
            <v>LESSIRI</v>
          </cell>
          <cell r="J1557" t="str">
            <v>LILIYO</v>
          </cell>
          <cell r="K1557" t="str">
            <v>SOUBRE</v>
          </cell>
          <cell r="L1557" t="str">
            <v>NAWA</v>
          </cell>
          <cell r="M1557" t="str">
            <v>SOUBRE</v>
          </cell>
          <cell r="N1557" t="str">
            <v>UPCOUNTRY</v>
          </cell>
        </row>
        <row r="1558">
          <cell r="B1558" t="str">
            <v>ET615</v>
          </cell>
          <cell r="C1558" t="str">
            <v>ILE_BOULAY</v>
          </cell>
          <cell r="D1558" t="str">
            <v>-4.08125</v>
          </cell>
          <cell r="E1558" t="str">
            <v>5.26869</v>
          </cell>
          <cell r="F1558" t="str">
            <v>2G/3G/4G</v>
          </cell>
          <cell r="G1558" t="str">
            <v>ERICSSON</v>
          </cell>
          <cell r="H1558" t="str">
            <v>IHS</v>
          </cell>
          <cell r="I1558" t="str">
            <v>ILE_BOULAY</v>
          </cell>
          <cell r="J1558" t="str">
            <v>ABIDJAN</v>
          </cell>
          <cell r="K1558" t="str">
            <v>ABIDJAN</v>
          </cell>
          <cell r="L1558" t="str">
            <v>ABIDJAN</v>
          </cell>
          <cell r="M1558" t="str">
            <v>YOPOUGON FICGAYO</v>
          </cell>
          <cell r="N1558" t="str">
            <v>ABIDJAN</v>
          </cell>
        </row>
        <row r="1559">
          <cell r="B1559" t="str">
            <v>ET616</v>
          </cell>
          <cell r="C1559" t="str">
            <v>TIASSALE_QUARTIER_PROF</v>
          </cell>
          <cell r="D1559" t="str">
            <v>-4.830574</v>
          </cell>
          <cell r="E1559" t="str">
            <v>5.897606</v>
          </cell>
          <cell r="F1559" t="str">
            <v>2G/3G/4G</v>
          </cell>
          <cell r="G1559" t="str">
            <v>ERICSSON</v>
          </cell>
          <cell r="H1559" t="str">
            <v>MOOV</v>
          </cell>
          <cell r="I1559" t="str">
            <v>TIASSALE</v>
          </cell>
          <cell r="J1559" t="str">
            <v>TIASSALE</v>
          </cell>
          <cell r="K1559" t="str">
            <v>TIASSALE</v>
          </cell>
          <cell r="L1559" t="str">
            <v>AGNEBY-TIASSA</v>
          </cell>
          <cell r="M1559" t="str">
            <v>YOPOUGON SABLE</v>
          </cell>
          <cell r="N1559" t="str">
            <v>UPCOUNTRY</v>
          </cell>
        </row>
        <row r="1560">
          <cell r="B1560" t="str">
            <v>ET619</v>
          </cell>
          <cell r="C1560" t="str">
            <v>GBABO</v>
          </cell>
          <cell r="D1560" t="str">
            <v>-6.76501</v>
          </cell>
          <cell r="E1560" t="str">
            <v>7.12096</v>
          </cell>
          <cell r="F1560" t="str">
            <v>2G/3G/4G</v>
          </cell>
          <cell r="G1560" t="str">
            <v>HUAWEI</v>
          </cell>
          <cell r="H1560" t="str">
            <v>MOOV</v>
          </cell>
          <cell r="I1560" t="str">
            <v>GBABO</v>
          </cell>
          <cell r="J1560" t="str">
            <v>DANIA</v>
          </cell>
          <cell r="K1560" t="str">
            <v>VAVOUA</v>
          </cell>
          <cell r="L1560" t="str">
            <v>HAUT-SASSANDRA</v>
          </cell>
          <cell r="M1560" t="str">
            <v>DALOA</v>
          </cell>
          <cell r="N1560" t="str">
            <v>UPCOUNTRY</v>
          </cell>
        </row>
        <row r="1561">
          <cell r="B1561" t="str">
            <v>ET621</v>
          </cell>
          <cell r="C1561" t="str">
            <v>SEITIFLA</v>
          </cell>
          <cell r="D1561" t="str">
            <v>-6.71717</v>
          </cell>
          <cell r="E1561" t="str">
            <v>7.43595</v>
          </cell>
          <cell r="F1561" t="str">
            <v>2G/3G/4G</v>
          </cell>
          <cell r="G1561" t="str">
            <v>HUAWEI</v>
          </cell>
          <cell r="H1561" t="str">
            <v>IHS</v>
          </cell>
          <cell r="I1561" t="str">
            <v>SEITIFLA</v>
          </cell>
          <cell r="J1561" t="str">
            <v>SEITIFLA</v>
          </cell>
          <cell r="K1561" t="str">
            <v>VAVOUA</v>
          </cell>
          <cell r="L1561" t="str">
            <v>HAUT-SASSANDRA</v>
          </cell>
          <cell r="M1561" t="str">
            <v>DALOA</v>
          </cell>
          <cell r="N1561" t="str">
            <v>UPCOUNTRY</v>
          </cell>
        </row>
        <row r="1562">
          <cell r="B1562" t="str">
            <v>ET622</v>
          </cell>
          <cell r="C1562" t="str">
            <v>ALLOSSO 2</v>
          </cell>
          <cell r="D1562" t="str">
            <v>-3.498662</v>
          </cell>
          <cell r="E1562" t="str">
            <v>5.573742</v>
          </cell>
          <cell r="F1562" t="str">
            <v>2G/3G/4G</v>
          </cell>
          <cell r="G1562" t="str">
            <v>ERICSSON</v>
          </cell>
          <cell r="H1562" t="str">
            <v>IHS</v>
          </cell>
          <cell r="I1562" t="str">
            <v>ALLOSSO II</v>
          </cell>
          <cell r="J1562" t="str">
            <v>ALLOSSO</v>
          </cell>
          <cell r="K1562" t="str">
            <v>ALEPE</v>
          </cell>
          <cell r="L1562" t="str">
            <v>LA ME</v>
          </cell>
          <cell r="M1562" t="str">
            <v>MARCORY</v>
          </cell>
          <cell r="N1562" t="str">
            <v>UPCOUNTRY</v>
          </cell>
        </row>
        <row r="1563">
          <cell r="B1563" t="str">
            <v>ET623</v>
          </cell>
          <cell r="C1563" t="str">
            <v>VROUO II</v>
          </cell>
          <cell r="D1563" t="str">
            <v>-6.66718</v>
          </cell>
          <cell r="E1563" t="str">
            <v>7.68621</v>
          </cell>
          <cell r="F1563" t="str">
            <v>2G/3G/4G</v>
          </cell>
          <cell r="G1563" t="str">
            <v>HUAWEI</v>
          </cell>
          <cell r="H1563" t="str">
            <v>IHS</v>
          </cell>
          <cell r="I1563" t="str">
            <v>VROUO II</v>
          </cell>
          <cell r="J1563" t="str">
            <v>BAZRA - NATTIS</v>
          </cell>
          <cell r="K1563" t="str">
            <v>VAVOUA</v>
          </cell>
          <cell r="L1563" t="str">
            <v>HAUT-SASSANDRA</v>
          </cell>
          <cell r="M1563" t="str">
            <v>DALOA</v>
          </cell>
          <cell r="N1563" t="str">
            <v>UPCOUNTRY</v>
          </cell>
        </row>
        <row r="1564">
          <cell r="B1564" t="str">
            <v>ET624</v>
          </cell>
          <cell r="C1564" t="str">
            <v>ONOSALCI</v>
          </cell>
          <cell r="D1564" t="str">
            <v>-3.561321</v>
          </cell>
          <cell r="E1564" t="str">
            <v>5.38186</v>
          </cell>
          <cell r="F1564" t="str">
            <v>2G/3G/4G</v>
          </cell>
          <cell r="G1564" t="str">
            <v>ERICSSON</v>
          </cell>
          <cell r="H1564" t="str">
            <v>IHS</v>
          </cell>
          <cell r="I1564" t="str">
            <v>ONOSALCI</v>
          </cell>
          <cell r="J1564" t="str">
            <v>BONGO</v>
          </cell>
          <cell r="K1564" t="str">
            <v>GRAND-BASSAM</v>
          </cell>
          <cell r="L1564" t="str">
            <v>SUD-COMOE</v>
          </cell>
          <cell r="M1564" t="str">
            <v>MARCORY</v>
          </cell>
          <cell r="N1564" t="str">
            <v>UPCOUNTRY</v>
          </cell>
        </row>
        <row r="1565">
          <cell r="B1565" t="str">
            <v>ET627</v>
          </cell>
          <cell r="C1565" t="str">
            <v>NIEKY_BONJOUR</v>
          </cell>
          <cell r="D1565" t="str">
            <v>-4.25155</v>
          </cell>
          <cell r="E1565" t="str">
            <v>5.42112</v>
          </cell>
          <cell r="F1565" t="str">
            <v>2G/3G/4G</v>
          </cell>
          <cell r="G1565" t="str">
            <v>ERICSSON</v>
          </cell>
          <cell r="H1565" t="str">
            <v>IHS</v>
          </cell>
          <cell r="I1565" t="str">
            <v>NIECKY BONJOUR</v>
          </cell>
          <cell r="J1565" t="str">
            <v>SONGON</v>
          </cell>
          <cell r="K1565" t="str">
            <v>ABIDJAN</v>
          </cell>
          <cell r="L1565" t="str">
            <v>ABIDJAN</v>
          </cell>
          <cell r="M1565" t="str">
            <v>YOPOUGON FICGAYO</v>
          </cell>
          <cell r="N1565" t="str">
            <v>ABIDJAN</v>
          </cell>
        </row>
        <row r="1566">
          <cell r="B1566" t="str">
            <v>ET629</v>
          </cell>
          <cell r="C1566" t="str">
            <v>GRAND-ALEPE</v>
          </cell>
          <cell r="D1566" t="str">
            <v>-3.771667</v>
          </cell>
          <cell r="E1566" t="str">
            <v>5.470222</v>
          </cell>
          <cell r="F1566" t="str">
            <v>2G/3G/4G</v>
          </cell>
          <cell r="G1566" t="str">
            <v>ERICSSON</v>
          </cell>
          <cell r="H1566" t="str">
            <v>IHS</v>
          </cell>
          <cell r="I1566" t="str">
            <v>GRAND-ALEPE</v>
          </cell>
          <cell r="J1566" t="str">
            <v>ALEPE</v>
          </cell>
          <cell r="K1566" t="str">
            <v>ALEPE</v>
          </cell>
          <cell r="L1566" t="str">
            <v>LA ME</v>
          </cell>
          <cell r="M1566" t="str">
            <v>ABOBO</v>
          </cell>
          <cell r="N1566" t="str">
            <v>UPCOUNTRY</v>
          </cell>
        </row>
        <row r="1567">
          <cell r="B1567" t="str">
            <v>ET630</v>
          </cell>
          <cell r="C1567" t="str">
            <v>OUYABLY-GNONDROU</v>
          </cell>
          <cell r="D1567" t="str">
            <v>-7.21083</v>
          </cell>
          <cell r="E1567" t="str">
            <v>7.32806</v>
          </cell>
          <cell r="F1567" t="str">
            <v>2G/3G/4G</v>
          </cell>
          <cell r="G1567" t="str">
            <v>HUAWEI</v>
          </cell>
          <cell r="H1567" t="str">
            <v>IHS</v>
          </cell>
          <cell r="I1567" t="str">
            <v>OUYABLY-GNONDROU</v>
          </cell>
          <cell r="J1567" t="str">
            <v>OUYABLY-GNONDROU</v>
          </cell>
          <cell r="K1567" t="str">
            <v>KOUIBLY</v>
          </cell>
          <cell r="L1567" t="str">
            <v>GUEMON</v>
          </cell>
          <cell r="M1567" t="str">
            <v>MAN</v>
          </cell>
          <cell r="N1567" t="str">
            <v>UPCOUNTRY</v>
          </cell>
        </row>
        <row r="1568">
          <cell r="B1568" t="str">
            <v>ET631</v>
          </cell>
          <cell r="C1568" t="str">
            <v>ZOUHOUNOU</v>
          </cell>
          <cell r="D1568" t="str">
            <v>-3.29238</v>
          </cell>
          <cell r="E1568" t="str">
            <v>6.61641</v>
          </cell>
          <cell r="F1568" t="str">
            <v>2G/3G/4G</v>
          </cell>
          <cell r="G1568" t="str">
            <v>ERICSSON</v>
          </cell>
          <cell r="H1568" t="str">
            <v>MOOV</v>
          </cell>
          <cell r="I1568" t="str">
            <v>ZOUHOUNOU</v>
          </cell>
          <cell r="J1568" t="str">
            <v>NIABLE</v>
          </cell>
          <cell r="K1568" t="str">
            <v>ABENGOUROU</v>
          </cell>
          <cell r="L1568" t="str">
            <v>INDENIE-DJUABLIN</v>
          </cell>
          <cell r="M1568" t="str">
            <v>ABENGOUROU</v>
          </cell>
          <cell r="N1568" t="str">
            <v>UPCOUNTRY</v>
          </cell>
        </row>
        <row r="1569">
          <cell r="B1569" t="str">
            <v>ET633</v>
          </cell>
          <cell r="C1569" t="str">
            <v>NAHIO</v>
          </cell>
          <cell r="D1569" t="str">
            <v>-6.22772</v>
          </cell>
          <cell r="E1569" t="str">
            <v>6.387215</v>
          </cell>
          <cell r="F1569" t="str">
            <v>2G/3G/4G</v>
          </cell>
          <cell r="G1569" t="str">
            <v>HUAWEI</v>
          </cell>
          <cell r="H1569" t="str">
            <v>MOOV</v>
          </cell>
          <cell r="I1569" t="str">
            <v>NAHIO</v>
          </cell>
          <cell r="J1569" t="str">
            <v>NAHIO</v>
          </cell>
          <cell r="K1569" t="str">
            <v>ISSIA</v>
          </cell>
          <cell r="L1569" t="str">
            <v>HAUT-SASSANDRA</v>
          </cell>
          <cell r="M1569" t="str">
            <v>DALOA</v>
          </cell>
          <cell r="N1569" t="str">
            <v>UPCOUNTRY</v>
          </cell>
        </row>
        <row r="1570">
          <cell r="B1570" t="str">
            <v>ET634</v>
          </cell>
          <cell r="C1570" t="str">
            <v>YOBOUAKRO</v>
          </cell>
          <cell r="D1570" t="str">
            <v>-3.31363</v>
          </cell>
          <cell r="E1570" t="str">
            <v>7.238</v>
          </cell>
          <cell r="F1570" t="str">
            <v>2G/3G/4G</v>
          </cell>
          <cell r="G1570" t="str">
            <v>ERICSSON</v>
          </cell>
          <cell r="H1570" t="str">
            <v>MOOV</v>
          </cell>
          <cell r="I1570" t="str">
            <v>YOBOUAKRO</v>
          </cell>
          <cell r="J1570" t="str">
            <v>AGNIBILEKROU</v>
          </cell>
          <cell r="K1570" t="str">
            <v>AGNIBILEKROU</v>
          </cell>
          <cell r="L1570" t="str">
            <v>INDENIE-DJUABLIN</v>
          </cell>
          <cell r="M1570" t="str">
            <v>ABENGOUROU</v>
          </cell>
          <cell r="N1570" t="str">
            <v>UPCOUNTRY</v>
          </cell>
        </row>
        <row r="1571">
          <cell r="B1571" t="str">
            <v>ET635</v>
          </cell>
          <cell r="C1571" t="str">
            <v>TINHOU</v>
          </cell>
          <cell r="D1571" t="str">
            <v>-8.160639</v>
          </cell>
          <cell r="E1571" t="str">
            <v>6.441831</v>
          </cell>
          <cell r="F1571" t="str">
            <v>2G/3G/4G</v>
          </cell>
          <cell r="G1571" t="str">
            <v>HUAWEI</v>
          </cell>
          <cell r="H1571" t="str">
            <v>OCI</v>
          </cell>
          <cell r="I1571" t="str">
            <v>TINHOU</v>
          </cell>
          <cell r="J1571" t="str">
            <v>TINHOU</v>
          </cell>
          <cell r="K1571" t="str">
            <v>BLOLEQUIN</v>
          </cell>
          <cell r="L1571" t="str">
            <v>CAVALLY</v>
          </cell>
          <cell r="M1571" t="str">
            <v>MAN</v>
          </cell>
          <cell r="N1571" t="str">
            <v>UPCOUNTRY</v>
          </cell>
        </row>
        <row r="1572">
          <cell r="B1572" t="str">
            <v>ET636</v>
          </cell>
          <cell r="C1572" t="str">
            <v>CIB_BLOLEQUIN</v>
          </cell>
          <cell r="D1572" t="str">
            <v>-7.894722</v>
          </cell>
          <cell r="E1572" t="str">
            <v>6.652778</v>
          </cell>
          <cell r="F1572" t="str">
            <v>2G/3G/4G</v>
          </cell>
          <cell r="G1572" t="str">
            <v>HUAWEI</v>
          </cell>
          <cell r="H1572" t="str">
            <v>IHS</v>
          </cell>
          <cell r="I1572" t="str">
            <v>BLOLEQUIN-CIB</v>
          </cell>
          <cell r="J1572" t="str">
            <v>ZEAGLO</v>
          </cell>
          <cell r="K1572" t="str">
            <v>BLOLEQUIN</v>
          </cell>
          <cell r="L1572" t="str">
            <v>CAVALLY</v>
          </cell>
          <cell r="M1572" t="str">
            <v>MAN</v>
          </cell>
          <cell r="N1572" t="str">
            <v>UPCOUNTRY</v>
          </cell>
        </row>
        <row r="1573">
          <cell r="B1573" t="str">
            <v>ET637</v>
          </cell>
          <cell r="C1573" t="str">
            <v>BELLEVILLE</v>
          </cell>
          <cell r="D1573" t="str">
            <v>-6.8762626</v>
          </cell>
          <cell r="E1573" t="str">
            <v>6.1690409</v>
          </cell>
          <cell r="F1573" t="str">
            <v>2G/3G/4G</v>
          </cell>
          <cell r="G1573" t="str">
            <v>HUAWEI</v>
          </cell>
          <cell r="H1573" t="str">
            <v>MOOV</v>
          </cell>
          <cell r="I1573" t="str">
            <v>BELLEVILLE</v>
          </cell>
          <cell r="J1573" t="str">
            <v>DAPEOUA</v>
          </cell>
          <cell r="K1573" t="str">
            <v>BUYO</v>
          </cell>
          <cell r="L1573" t="str">
            <v>NAWA</v>
          </cell>
          <cell r="M1573" t="str">
            <v>SOUBRE</v>
          </cell>
          <cell r="N1573" t="str">
            <v>UPCOUNTRY</v>
          </cell>
        </row>
        <row r="1574">
          <cell r="B1574" t="str">
            <v>ET639</v>
          </cell>
          <cell r="C1574" t="str">
            <v>FOUEDOUGOU</v>
          </cell>
          <cell r="D1574" t="str">
            <v>-7.253476</v>
          </cell>
          <cell r="E1574" t="str">
            <v>6.518369</v>
          </cell>
          <cell r="F1574" t="str">
            <v>2G/3G/4G</v>
          </cell>
          <cell r="G1574" t="str">
            <v>HUAWEI</v>
          </cell>
          <cell r="H1574" t="str">
            <v>MOOV</v>
          </cell>
          <cell r="I1574" t="str">
            <v>FOUEDOUGOU</v>
          </cell>
          <cell r="J1574" t="str">
            <v>GBAPLEU</v>
          </cell>
          <cell r="K1574" t="str">
            <v>DUEKOUE</v>
          </cell>
          <cell r="L1574" t="str">
            <v>GUEMON</v>
          </cell>
          <cell r="M1574" t="str">
            <v>MAN</v>
          </cell>
          <cell r="N1574" t="str">
            <v>UPCOUNTRY</v>
          </cell>
        </row>
        <row r="1575">
          <cell r="B1575" t="str">
            <v>ET640</v>
          </cell>
          <cell r="C1575" t="str">
            <v>ABONGOUA_KOTOBI</v>
          </cell>
          <cell r="D1575" t="str">
            <v>-4.094427</v>
          </cell>
          <cell r="E1575" t="str">
            <v>6.64822</v>
          </cell>
          <cell r="F1575" t="str">
            <v>2G/3G/4G</v>
          </cell>
          <cell r="G1575" t="str">
            <v>ERICSSON</v>
          </cell>
          <cell r="H1575" t="str">
            <v>IHS</v>
          </cell>
          <cell r="I1575" t="str">
            <v>ABONGOUA</v>
          </cell>
          <cell r="J1575" t="str">
            <v>KOTOBI</v>
          </cell>
          <cell r="K1575" t="str">
            <v>ARRAH</v>
          </cell>
          <cell r="L1575" t="str">
            <v>MORONOU</v>
          </cell>
          <cell r="M1575" t="str">
            <v>ABENGOUROU</v>
          </cell>
          <cell r="N1575" t="str">
            <v>UPCOUNTRY</v>
          </cell>
        </row>
        <row r="1576">
          <cell r="B1576" t="str">
            <v>ET642</v>
          </cell>
          <cell r="C1576" t="str">
            <v>ZOUAN</v>
          </cell>
          <cell r="D1576" t="str">
            <v>-7.597383</v>
          </cell>
          <cell r="E1576" t="str">
            <v>6.538345</v>
          </cell>
          <cell r="F1576" t="str">
            <v>2G/3G/4G</v>
          </cell>
          <cell r="G1576" t="str">
            <v>HUAWEI</v>
          </cell>
          <cell r="H1576" t="str">
            <v>OCI</v>
          </cell>
          <cell r="I1576" t="str">
            <v>ZOUAN</v>
          </cell>
          <cell r="J1576" t="str">
            <v>GUIGLO</v>
          </cell>
          <cell r="K1576" t="str">
            <v>GUIGLO</v>
          </cell>
          <cell r="L1576" t="str">
            <v>CAVALLY</v>
          </cell>
          <cell r="M1576" t="str">
            <v>MAN</v>
          </cell>
          <cell r="N1576" t="str">
            <v>UPCOUNTRY</v>
          </cell>
        </row>
        <row r="1577">
          <cell r="B1577" t="str">
            <v>ET643</v>
          </cell>
          <cell r="C1577" t="str">
            <v>PINHOU-ZARABAON</v>
          </cell>
          <cell r="D1577" t="str">
            <v>-7.763579</v>
          </cell>
          <cell r="E1577" t="str">
            <v>6.922584</v>
          </cell>
          <cell r="F1577" t="str">
            <v>2G/3G/4G</v>
          </cell>
          <cell r="G1577" t="str">
            <v>HUAWEI</v>
          </cell>
          <cell r="H1577" t="str">
            <v>OCI</v>
          </cell>
          <cell r="I1577" t="str">
            <v>PINHOU-ZARABAON</v>
          </cell>
          <cell r="J1577" t="str">
            <v>KAHIN-ZARABAON</v>
          </cell>
          <cell r="K1577" t="str">
            <v>BANGOLO</v>
          </cell>
          <cell r="L1577" t="str">
            <v>GUEMON</v>
          </cell>
          <cell r="M1577" t="str">
            <v>MAN</v>
          </cell>
          <cell r="N1577" t="str">
            <v>UPCOUNTRY</v>
          </cell>
        </row>
        <row r="1578">
          <cell r="B1578" t="str">
            <v>ET644</v>
          </cell>
          <cell r="C1578" t="str">
            <v>DOUAGUE</v>
          </cell>
          <cell r="D1578" t="str">
            <v>-7.13191</v>
          </cell>
          <cell r="E1578" t="str">
            <v>7.47617</v>
          </cell>
          <cell r="F1578" t="str">
            <v>2G/3G/4G</v>
          </cell>
          <cell r="G1578" t="str">
            <v>HUAWEI</v>
          </cell>
          <cell r="H1578" t="str">
            <v>IHS</v>
          </cell>
          <cell r="I1578" t="str">
            <v>DOUAGUE</v>
          </cell>
          <cell r="J1578" t="str">
            <v>OUYABLY-GNONDROU</v>
          </cell>
          <cell r="K1578" t="str">
            <v>KOUIBLY</v>
          </cell>
          <cell r="L1578" t="str">
            <v>GUEMON</v>
          </cell>
          <cell r="M1578" t="str">
            <v>MAN</v>
          </cell>
          <cell r="N1578" t="str">
            <v>UPCOUNTRY</v>
          </cell>
        </row>
        <row r="1579">
          <cell r="B1579" t="str">
            <v>ET645</v>
          </cell>
          <cell r="C1579" t="str">
            <v>GBETOGO</v>
          </cell>
          <cell r="D1579" t="str">
            <v>-6.941861</v>
          </cell>
          <cell r="E1579" t="str">
            <v>8.125056</v>
          </cell>
          <cell r="F1579" t="str">
            <v>2G/3G/4G</v>
          </cell>
          <cell r="G1579" t="str">
            <v>HUAWEI</v>
          </cell>
          <cell r="H1579" t="str">
            <v>IHS</v>
          </cell>
          <cell r="I1579" t="str">
            <v>GBETOGO</v>
          </cell>
          <cell r="J1579" t="str">
            <v>WOROFLA</v>
          </cell>
          <cell r="K1579" t="str">
            <v>SEGUELA</v>
          </cell>
          <cell r="L1579" t="str">
            <v>WORODOUGOU</v>
          </cell>
          <cell r="M1579" t="str">
            <v>DALOA</v>
          </cell>
          <cell r="N1579" t="str">
            <v>UPCOUNTRY</v>
          </cell>
        </row>
        <row r="1580">
          <cell r="B1580" t="str">
            <v>ET648</v>
          </cell>
          <cell r="C1580" t="str">
            <v>TEAPLEU</v>
          </cell>
          <cell r="D1580" t="str">
            <v>-8.12937</v>
          </cell>
          <cell r="E1580" t="str">
            <v>7.04513</v>
          </cell>
          <cell r="F1580" t="str">
            <v>2G/3G/4G</v>
          </cell>
          <cell r="G1580" t="str">
            <v>HUAWEI</v>
          </cell>
          <cell r="H1580" t="str">
            <v>MOOV</v>
          </cell>
          <cell r="I1580" t="str">
            <v>TEAPLEU</v>
          </cell>
          <cell r="J1580" t="str">
            <v>TEAPLEU</v>
          </cell>
          <cell r="K1580" t="str">
            <v>ZOUAN-HOUNIEN</v>
          </cell>
          <cell r="L1580" t="str">
            <v>TONKPI</v>
          </cell>
          <cell r="M1580" t="str">
            <v>MAN</v>
          </cell>
          <cell r="N1580" t="str">
            <v>UPCOUNTRY</v>
          </cell>
        </row>
        <row r="1581">
          <cell r="B1581" t="str">
            <v>ET650</v>
          </cell>
          <cell r="C1581" t="str">
            <v>VAAFLA</v>
          </cell>
          <cell r="D1581" t="str">
            <v>-6.644869</v>
          </cell>
          <cell r="E1581" t="str">
            <v>7.422251</v>
          </cell>
          <cell r="F1581" t="str">
            <v>2G/3G/4G</v>
          </cell>
          <cell r="G1581" t="str">
            <v>HUAWEI</v>
          </cell>
          <cell r="H1581" t="str">
            <v>MOOV</v>
          </cell>
          <cell r="I1581" t="str">
            <v>VAAFLA</v>
          </cell>
          <cell r="J1581" t="str">
            <v>SEITIFLA</v>
          </cell>
          <cell r="K1581" t="str">
            <v>VAVOUA</v>
          </cell>
          <cell r="L1581" t="str">
            <v>HAUT-SASSANDRA</v>
          </cell>
          <cell r="M1581" t="str">
            <v>DALOA</v>
          </cell>
          <cell r="N1581" t="str">
            <v>UPCOUNTRY</v>
          </cell>
        </row>
        <row r="1582">
          <cell r="B1582" t="str">
            <v>ET651</v>
          </cell>
          <cell r="C1582" t="str">
            <v>TREICH_CHU</v>
          </cell>
          <cell r="D1582" t="str">
            <v>-4.007555556</v>
          </cell>
          <cell r="E1582" t="str">
            <v>5.293527778</v>
          </cell>
          <cell r="F1582" t="str">
            <v>2G/3G/4G</v>
          </cell>
          <cell r="G1582" t="str">
            <v>ERICSSON</v>
          </cell>
          <cell r="H1582" t="str">
            <v>IHS</v>
          </cell>
          <cell r="I1582" t="str">
            <v>TREICHVILLE</v>
          </cell>
          <cell r="J1582" t="str">
            <v>ABIDJAN</v>
          </cell>
          <cell r="K1582" t="str">
            <v>ABIDJAN</v>
          </cell>
          <cell r="L1582" t="str">
            <v>ABIDJAN</v>
          </cell>
          <cell r="M1582" t="str">
            <v>PLATEAU</v>
          </cell>
          <cell r="N1582" t="str">
            <v>ABIDJAN</v>
          </cell>
        </row>
        <row r="1583">
          <cell r="B1583" t="str">
            <v>ET652</v>
          </cell>
          <cell r="C1583" t="str">
            <v>TIEKOU-CARREFOUR</v>
          </cell>
          <cell r="D1583" t="str">
            <v>-4.287993</v>
          </cell>
          <cell r="E1583" t="str">
            <v>6.359582</v>
          </cell>
          <cell r="F1583" t="str">
            <v>2G/3G/4G</v>
          </cell>
          <cell r="G1583" t="str">
            <v>ERICSSON</v>
          </cell>
          <cell r="H1583" t="str">
            <v>IHS</v>
          </cell>
          <cell r="I1583" t="str">
            <v>TIEKOU-CARREFOUR</v>
          </cell>
          <cell r="J1583" t="str">
            <v>M'BATTO</v>
          </cell>
          <cell r="K1583" t="str">
            <v>M'BATTO</v>
          </cell>
          <cell r="L1583" t="str">
            <v>MORONOU</v>
          </cell>
          <cell r="M1583" t="str">
            <v>ABENGOUROU</v>
          </cell>
          <cell r="N1583" t="str">
            <v>UPCOUNTRY</v>
          </cell>
        </row>
        <row r="1584">
          <cell r="B1584" t="str">
            <v>ET656</v>
          </cell>
          <cell r="C1584" t="str">
            <v>FARABA</v>
          </cell>
          <cell r="D1584" t="str">
            <v>-6.253547</v>
          </cell>
          <cell r="E1584" t="str">
            <v>8.657951</v>
          </cell>
          <cell r="F1584" t="str">
            <v>2G/3G/4G</v>
          </cell>
          <cell r="G1584" t="str">
            <v>HUAWEI</v>
          </cell>
          <cell r="H1584" t="str">
            <v>IHS</v>
          </cell>
          <cell r="I1584" t="str">
            <v>FARABA</v>
          </cell>
          <cell r="J1584" t="str">
            <v>DIANRA-VILLAGE</v>
          </cell>
          <cell r="K1584" t="str">
            <v>DIANRA</v>
          </cell>
          <cell r="L1584" t="str">
            <v>BERE</v>
          </cell>
          <cell r="M1584" t="str">
            <v>BOUAKE</v>
          </cell>
          <cell r="N1584" t="str">
            <v>UPCOUNTRY</v>
          </cell>
        </row>
        <row r="1585">
          <cell r="B1585" t="str">
            <v>ET658</v>
          </cell>
          <cell r="C1585" t="str">
            <v>BANGOUA</v>
          </cell>
          <cell r="D1585" t="str">
            <v>-3.47075</v>
          </cell>
          <cell r="E1585" t="str">
            <v>7.335361</v>
          </cell>
          <cell r="F1585" t="str">
            <v>2G/3G/4G</v>
          </cell>
          <cell r="G1585" t="str">
            <v>ERICSSON</v>
          </cell>
          <cell r="H1585" t="str">
            <v>IHS</v>
          </cell>
          <cell r="I1585" t="str">
            <v>BANGOUA</v>
          </cell>
          <cell r="J1585" t="str">
            <v>DUFFREBO</v>
          </cell>
          <cell r="K1585" t="str">
            <v>AGNIBILEKROU</v>
          </cell>
          <cell r="L1585" t="str">
            <v>INDENIE-DJUABLIN</v>
          </cell>
          <cell r="M1585" t="str">
            <v>ABENGOUROU</v>
          </cell>
          <cell r="N1585" t="str">
            <v>UPCOUNTRY</v>
          </cell>
        </row>
        <row r="1586">
          <cell r="B1586" t="str">
            <v>ET661</v>
          </cell>
          <cell r="C1586" t="str">
            <v>BANADJE</v>
          </cell>
          <cell r="D1586" t="str">
            <v>-6.74611</v>
          </cell>
          <cell r="E1586" t="str">
            <v>8.82135</v>
          </cell>
          <cell r="F1586" t="str">
            <v>2G/3G/4G</v>
          </cell>
          <cell r="G1586" t="str">
            <v>HUAWEI</v>
          </cell>
          <cell r="H1586" t="str">
            <v>IHS</v>
          </cell>
          <cell r="I1586" t="str">
            <v>BANADJE</v>
          </cell>
          <cell r="J1586" t="str">
            <v>FADJADOUGOU</v>
          </cell>
          <cell r="K1586" t="str">
            <v>KANI</v>
          </cell>
          <cell r="L1586" t="str">
            <v>WORODOUGOU</v>
          </cell>
          <cell r="M1586" t="str">
            <v>DALOA</v>
          </cell>
          <cell r="N1586" t="str">
            <v>UPCOUNTRY</v>
          </cell>
        </row>
        <row r="1587">
          <cell r="B1587" t="str">
            <v>ET667</v>
          </cell>
          <cell r="C1587" t="str">
            <v>MONOGAGA</v>
          </cell>
          <cell r="D1587" t="str">
            <v>-6.451556</v>
          </cell>
          <cell r="E1587" t="str">
            <v>4.822885</v>
          </cell>
          <cell r="F1587" t="str">
            <v>2G/3G/4G</v>
          </cell>
          <cell r="G1587" t="str">
            <v>ERICSSON</v>
          </cell>
          <cell r="H1587" t="str">
            <v>MOOV</v>
          </cell>
          <cell r="I1587" t="str">
            <v>MONOGAGA</v>
          </cell>
          <cell r="J1587" t="str">
            <v>SAN-PEDRO</v>
          </cell>
          <cell r="K1587" t="str">
            <v>SAN-PEDRO</v>
          </cell>
          <cell r="L1587" t="str">
            <v>SAN-PEDRO</v>
          </cell>
          <cell r="M1587" t="str">
            <v>SAN-PEDRO</v>
          </cell>
          <cell r="N1587" t="str">
            <v>UPCOUNTRY</v>
          </cell>
        </row>
        <row r="1588">
          <cell r="B1588" t="str">
            <v>ET670</v>
          </cell>
          <cell r="C1588" t="str">
            <v>ABOBO_ANONKOUA SUD</v>
          </cell>
          <cell r="D1588" t="str">
            <v>-4.045115</v>
          </cell>
          <cell r="E1588" t="str">
            <v>5.424916</v>
          </cell>
          <cell r="F1588" t="str">
            <v>2G/3G/4G</v>
          </cell>
          <cell r="G1588" t="str">
            <v>ERICSSON</v>
          </cell>
          <cell r="H1588" t="str">
            <v>OCI</v>
          </cell>
          <cell r="I1588" t="str">
            <v>ABOBO</v>
          </cell>
          <cell r="J1588" t="str">
            <v>ABIDJAN</v>
          </cell>
          <cell r="K1588" t="str">
            <v>ABIDJAN</v>
          </cell>
          <cell r="L1588" t="str">
            <v>ABIDJAN</v>
          </cell>
          <cell r="M1588" t="str">
            <v>ABOBO</v>
          </cell>
          <cell r="N1588" t="str">
            <v>ABIDJAN</v>
          </cell>
        </row>
        <row r="1589">
          <cell r="B1589" t="str">
            <v>ET671</v>
          </cell>
          <cell r="C1589" t="str">
            <v>NDOTRE_CASSE</v>
          </cell>
          <cell r="D1589" t="str">
            <v>-4.078275</v>
          </cell>
          <cell r="E1589" t="str">
            <v>5.430474</v>
          </cell>
          <cell r="F1589" t="str">
            <v>2G/3G/4G</v>
          </cell>
          <cell r="G1589" t="str">
            <v>ERICSSON</v>
          </cell>
          <cell r="H1589" t="str">
            <v>OCI</v>
          </cell>
          <cell r="I1589" t="str">
            <v>ABOBO</v>
          </cell>
          <cell r="J1589" t="str">
            <v>ABIDJAN</v>
          </cell>
          <cell r="K1589" t="str">
            <v>ABIDJAN</v>
          </cell>
          <cell r="L1589" t="str">
            <v>ABIDJAN</v>
          </cell>
          <cell r="M1589" t="str">
            <v>ABOBO</v>
          </cell>
          <cell r="N1589" t="str">
            <v>ABIDJAN</v>
          </cell>
        </row>
        <row r="1590">
          <cell r="B1590" t="str">
            <v>ET672</v>
          </cell>
          <cell r="C1590" t="str">
            <v>BKE_KOKO</v>
          </cell>
          <cell r="D1590" t="str">
            <v>-5.0331164</v>
          </cell>
          <cell r="E1590" t="str">
            <v>7.6925818</v>
          </cell>
          <cell r="F1590" t="str">
            <v>2G/3G/4G/5G</v>
          </cell>
          <cell r="G1590" t="str">
            <v>HUAWEI</v>
          </cell>
          <cell r="H1590" t="str">
            <v>OCI</v>
          </cell>
          <cell r="I1590" t="str">
            <v>BOUAKE</v>
          </cell>
          <cell r="J1590" t="str">
            <v>BOUAKE</v>
          </cell>
          <cell r="K1590" t="str">
            <v>BOUAKE</v>
          </cell>
          <cell r="L1590" t="str">
            <v>GBEKE</v>
          </cell>
          <cell r="M1590" t="str">
            <v>BOUAKE</v>
          </cell>
          <cell r="N1590" t="str">
            <v>UPCOUNTRY</v>
          </cell>
        </row>
        <row r="1591">
          <cell r="B1591" t="str">
            <v>ET674</v>
          </cell>
          <cell r="C1591" t="str">
            <v>GNAGO 1</v>
          </cell>
          <cell r="D1591" t="str">
            <v>-5.78966</v>
          </cell>
          <cell r="E1591" t="str">
            <v>5.24473</v>
          </cell>
          <cell r="F1591" t="str">
            <v>2G/3G/4G</v>
          </cell>
          <cell r="G1591" t="str">
            <v>ERICSSON</v>
          </cell>
          <cell r="H1591" t="str">
            <v>MOOV</v>
          </cell>
          <cell r="I1591" t="str">
            <v>GNAGO I</v>
          </cell>
          <cell r="J1591" t="str">
            <v>SAGO</v>
          </cell>
          <cell r="K1591" t="str">
            <v>SASSANDRA</v>
          </cell>
          <cell r="L1591" t="str">
            <v>GBOKLE</v>
          </cell>
          <cell r="M1591" t="str">
            <v>SAN-PEDRO</v>
          </cell>
          <cell r="N1591" t="str">
            <v>UPCOUNTRY</v>
          </cell>
        </row>
        <row r="1592">
          <cell r="B1592" t="str">
            <v>ET676</v>
          </cell>
          <cell r="C1592" t="str">
            <v>ANANI_CARR_MOTARD</v>
          </cell>
          <cell r="D1592" t="str">
            <v>-3.881012</v>
          </cell>
          <cell r="E1592" t="str">
            <v>5.248971</v>
          </cell>
          <cell r="F1592" t="str">
            <v>2G/3G/4G</v>
          </cell>
          <cell r="G1592" t="str">
            <v>HUAWEI</v>
          </cell>
          <cell r="H1592" t="str">
            <v>OCI</v>
          </cell>
          <cell r="I1592" t="str">
            <v>PORT-BOUET</v>
          </cell>
          <cell r="J1592" t="str">
            <v>ABIDJAN</v>
          </cell>
          <cell r="K1592" t="str">
            <v>ABIDJAN</v>
          </cell>
          <cell r="L1592" t="str">
            <v>ABIDJAN</v>
          </cell>
          <cell r="M1592" t="str">
            <v>MARCORY</v>
          </cell>
          <cell r="N1592" t="str">
            <v>ABIDJAN</v>
          </cell>
        </row>
        <row r="1593">
          <cell r="B1593" t="str">
            <v>ET677</v>
          </cell>
          <cell r="C1593" t="str">
            <v>SP_LYCEE_ALGADJI</v>
          </cell>
          <cell r="D1593" t="str">
            <v>-6.632942</v>
          </cell>
          <cell r="E1593" t="str">
            <v>4.737295</v>
          </cell>
          <cell r="F1593" t="str">
            <v>2G/3G/4G</v>
          </cell>
          <cell r="G1593" t="str">
            <v>ERICSSON</v>
          </cell>
          <cell r="H1593" t="str">
            <v>OCI</v>
          </cell>
          <cell r="I1593" t="str">
            <v>SAN-PEDRO</v>
          </cell>
          <cell r="J1593" t="str">
            <v>SAN-PEDRO</v>
          </cell>
          <cell r="K1593" t="str">
            <v>SAN-PEDRO</v>
          </cell>
          <cell r="L1593" t="str">
            <v>SAN-PEDRO</v>
          </cell>
          <cell r="M1593" t="str">
            <v>SAN-PEDRO</v>
          </cell>
          <cell r="N1593" t="str">
            <v>UPCOUNTRY</v>
          </cell>
        </row>
        <row r="1594">
          <cell r="B1594" t="str">
            <v>ET678</v>
          </cell>
          <cell r="C1594" t="str">
            <v>PHAMARCIE_IROKO</v>
          </cell>
          <cell r="D1594" t="str">
            <v>-3.96448</v>
          </cell>
          <cell r="E1594" t="str">
            <v>5.2944</v>
          </cell>
          <cell r="F1594" t="str">
            <v>2G/3G/4G</v>
          </cell>
          <cell r="G1594" t="str">
            <v>ERICSSON</v>
          </cell>
          <cell r="H1594" t="str">
            <v>IHS</v>
          </cell>
          <cell r="I1594" t="str">
            <v>KOUMASSI</v>
          </cell>
          <cell r="J1594" t="str">
            <v>ABIDJAN</v>
          </cell>
          <cell r="K1594" t="str">
            <v>ABIDJAN</v>
          </cell>
          <cell r="L1594" t="str">
            <v>ABIDJAN</v>
          </cell>
          <cell r="M1594" t="str">
            <v>MARCORY</v>
          </cell>
          <cell r="N1594" t="str">
            <v>ABIDJAN</v>
          </cell>
        </row>
        <row r="1595">
          <cell r="B1595" t="str">
            <v>ET681</v>
          </cell>
          <cell r="C1595" t="str">
            <v>AUBERGE_BONNE_ETOILE</v>
          </cell>
          <cell r="D1595" t="str">
            <v>-2.812584</v>
          </cell>
          <cell r="E1595" t="str">
            <v>8.019622</v>
          </cell>
          <cell r="F1595" t="str">
            <v>2G/3G/4G</v>
          </cell>
          <cell r="G1595" t="str">
            <v>ERICSSON</v>
          </cell>
          <cell r="H1595" t="str">
            <v>IHS</v>
          </cell>
          <cell r="I1595" t="str">
            <v>BONDOUKOU</v>
          </cell>
          <cell r="J1595" t="str">
            <v>BONDOUKOU</v>
          </cell>
          <cell r="K1595" t="str">
            <v>BONDOUKOU</v>
          </cell>
          <cell r="L1595" t="str">
            <v>GONTOUGO</v>
          </cell>
          <cell r="M1595" t="str">
            <v>ABENGOUROU</v>
          </cell>
          <cell r="N1595" t="str">
            <v>UPCOUNTRY</v>
          </cell>
        </row>
        <row r="1596">
          <cell r="B1596" t="str">
            <v>ET683</v>
          </cell>
          <cell r="C1596" t="str">
            <v>KONDIEBOUMA</v>
          </cell>
          <cell r="D1596" t="str">
            <v>-4.543183</v>
          </cell>
          <cell r="E1596" t="str">
            <v>6.21852</v>
          </cell>
          <cell r="F1596" t="str">
            <v>2G/3G/4G</v>
          </cell>
          <cell r="G1596" t="str">
            <v>ERICSSON</v>
          </cell>
          <cell r="H1596" t="str">
            <v>IHS</v>
          </cell>
          <cell r="I1596" t="str">
            <v>KONDIEBOUMA</v>
          </cell>
          <cell r="J1596" t="str">
            <v>MOROKRO</v>
          </cell>
          <cell r="K1596" t="str">
            <v>TIASSALE</v>
          </cell>
          <cell r="L1596" t="str">
            <v>AGNEBY-TIASSA</v>
          </cell>
          <cell r="M1596" t="str">
            <v>YOPOUGON SABLE</v>
          </cell>
          <cell r="N1596" t="str">
            <v>UPCOUNTRY</v>
          </cell>
        </row>
        <row r="1597">
          <cell r="B1597" t="str">
            <v>ET684</v>
          </cell>
          <cell r="C1597" t="str">
            <v>BINZRA</v>
          </cell>
          <cell r="D1597" t="str">
            <v>-6.009123</v>
          </cell>
          <cell r="E1597" t="str">
            <v>7.325168</v>
          </cell>
          <cell r="F1597" t="str">
            <v>2G/3G/4G</v>
          </cell>
          <cell r="G1597" t="str">
            <v>HUAWEI</v>
          </cell>
          <cell r="H1597" t="str">
            <v>MOOV</v>
          </cell>
          <cell r="I1597" t="str">
            <v>BINZRA</v>
          </cell>
          <cell r="J1597" t="str">
            <v>ZUENOULA</v>
          </cell>
          <cell r="K1597" t="str">
            <v>ZUENOULA</v>
          </cell>
          <cell r="L1597" t="str">
            <v>MARAHOUE</v>
          </cell>
          <cell r="M1597" t="str">
            <v>YAMOUSSOUKRO</v>
          </cell>
          <cell r="N1597" t="str">
            <v>UPCOUNTRY</v>
          </cell>
        </row>
        <row r="1598">
          <cell r="B1598" t="str">
            <v>ET685</v>
          </cell>
          <cell r="C1598" t="str">
            <v>CITE_BNETD</v>
          </cell>
          <cell r="D1598" t="str">
            <v>-3.932483</v>
          </cell>
          <cell r="E1598" t="str">
            <v>5.378063</v>
          </cell>
          <cell r="F1598" t="str">
            <v>2G/3G/4G</v>
          </cell>
          <cell r="G1598" t="str">
            <v>ERICSSON</v>
          </cell>
          <cell r="H1598" t="str">
            <v>MOOV</v>
          </cell>
          <cell r="I1598" t="str">
            <v>COCODY</v>
          </cell>
          <cell r="J1598" t="str">
            <v>ABIDJAN</v>
          </cell>
          <cell r="K1598" t="str">
            <v>ABIDJAN</v>
          </cell>
          <cell r="L1598" t="str">
            <v>ABIDJAN</v>
          </cell>
          <cell r="M1598" t="str">
            <v>COCODY LATRILLE</v>
          </cell>
          <cell r="N1598" t="str">
            <v>ABIDJAN</v>
          </cell>
        </row>
        <row r="1599">
          <cell r="B1599" t="str">
            <v>ET690</v>
          </cell>
          <cell r="C1599" t="str">
            <v>SP_STADE</v>
          </cell>
          <cell r="D1599" t="str">
            <v>-6.629488</v>
          </cell>
          <cell r="E1599" t="str">
            <v>4.821064</v>
          </cell>
          <cell r="F1599" t="str">
            <v>2G/3G/4G</v>
          </cell>
          <cell r="G1599" t="str">
            <v>ERICSSON</v>
          </cell>
          <cell r="H1599" t="str">
            <v>MTN</v>
          </cell>
          <cell r="I1599" t="str">
            <v>SAN-PEDRO</v>
          </cell>
          <cell r="J1599" t="str">
            <v>SAN-PEDRO</v>
          </cell>
          <cell r="K1599" t="str">
            <v>SAN-PEDRO</v>
          </cell>
          <cell r="L1599" t="str">
            <v>SAN-PEDRO</v>
          </cell>
          <cell r="M1599" t="str">
            <v>SAN-PEDRO</v>
          </cell>
          <cell r="N1599" t="str">
            <v>UPCOUNTRY</v>
          </cell>
        </row>
        <row r="1600">
          <cell r="B1600" t="str">
            <v>ET693</v>
          </cell>
          <cell r="C1600" t="str">
            <v>GAGNOA_MAMCOUL</v>
          </cell>
          <cell r="D1600" t="str">
            <v>-5.973192</v>
          </cell>
          <cell r="E1600" t="str">
            <v>6.136601</v>
          </cell>
          <cell r="F1600" t="str">
            <v>2G/3G/4G</v>
          </cell>
          <cell r="G1600" t="str">
            <v>HUAWEI</v>
          </cell>
          <cell r="H1600" t="str">
            <v>MOOV</v>
          </cell>
          <cell r="I1600" t="str">
            <v>GAGNOA</v>
          </cell>
          <cell r="J1600" t="str">
            <v>GAGNOA</v>
          </cell>
          <cell r="K1600" t="str">
            <v>GAGNOA</v>
          </cell>
          <cell r="L1600" t="str">
            <v>GOH</v>
          </cell>
          <cell r="M1600" t="str">
            <v>GAGNOA</v>
          </cell>
          <cell r="N1600" t="str">
            <v>UPCOUNTRY</v>
          </cell>
        </row>
        <row r="1601">
          <cell r="B1601" t="str">
            <v>ET694</v>
          </cell>
          <cell r="C1601" t="str">
            <v>PBOUET_CITE_GRACE</v>
          </cell>
          <cell r="D1601" t="str">
            <v>-3.90547</v>
          </cell>
          <cell r="E1601" t="str">
            <v>5.264425</v>
          </cell>
          <cell r="F1601" t="str">
            <v>2G/3G/4G</v>
          </cell>
          <cell r="G1601" t="str">
            <v>HUAWEI</v>
          </cell>
          <cell r="H1601" t="str">
            <v>MOOV</v>
          </cell>
          <cell r="I1601" t="str">
            <v>PORT-BOUET</v>
          </cell>
          <cell r="J1601" t="str">
            <v>ABIDJAN</v>
          </cell>
          <cell r="K1601" t="str">
            <v>ABIDJAN</v>
          </cell>
          <cell r="L1601" t="str">
            <v>ABIDJAN</v>
          </cell>
          <cell r="M1601" t="str">
            <v>MARCORY</v>
          </cell>
          <cell r="N1601" t="str">
            <v>ABIDJAN</v>
          </cell>
        </row>
        <row r="1602">
          <cell r="B1602" t="str">
            <v>ET695</v>
          </cell>
          <cell r="C1602" t="str">
            <v>YOP_BATIM_1</v>
          </cell>
          <cell r="D1602" t="str">
            <v>-4.093246</v>
          </cell>
          <cell r="E1602" t="str">
            <v>5.363331</v>
          </cell>
          <cell r="F1602" t="str">
            <v>2G/3G/4G</v>
          </cell>
          <cell r="G1602" t="str">
            <v>ERICSSON</v>
          </cell>
          <cell r="H1602" t="str">
            <v>MOOV</v>
          </cell>
          <cell r="I1602" t="str">
            <v>YOPOUGON</v>
          </cell>
          <cell r="J1602" t="str">
            <v>ABIDJAN</v>
          </cell>
          <cell r="K1602" t="str">
            <v>ABIDJAN</v>
          </cell>
          <cell r="L1602" t="str">
            <v>ABIDJAN</v>
          </cell>
          <cell r="M1602" t="str">
            <v>YOPOUGON FICGAYO</v>
          </cell>
          <cell r="N1602" t="str">
            <v>ABIDJAN</v>
          </cell>
        </row>
        <row r="1603">
          <cell r="B1603" t="str">
            <v>ET696</v>
          </cell>
          <cell r="C1603" t="str">
            <v>BINGES_HME</v>
          </cell>
          <cell r="D1603" t="str">
            <v>-3.882417</v>
          </cell>
          <cell r="E1603" t="str">
            <v>5.361667</v>
          </cell>
          <cell r="F1603" t="str">
            <v>2G/3G/4G</v>
          </cell>
          <cell r="G1603" t="str">
            <v>ERICSSON</v>
          </cell>
          <cell r="H1603" t="str">
            <v>IHS</v>
          </cell>
          <cell r="I1603" t="str">
            <v>BINGERVILLE</v>
          </cell>
          <cell r="J1603" t="str">
            <v>BINGERVILLE</v>
          </cell>
          <cell r="K1603" t="str">
            <v>ABIDJAN</v>
          </cell>
          <cell r="L1603" t="str">
            <v>ABIDJAN</v>
          </cell>
          <cell r="M1603" t="str">
            <v>COCODY LATRILLE</v>
          </cell>
          <cell r="N1603" t="str">
            <v>ABIDJAN</v>
          </cell>
        </row>
        <row r="1604">
          <cell r="B1604" t="str">
            <v>ET701</v>
          </cell>
          <cell r="C1604" t="str">
            <v>YOP_SELMER_GREEN</v>
          </cell>
          <cell r="D1604" t="str">
            <v>-4.069597</v>
          </cell>
          <cell r="E1604" t="str">
            <v>5.340312</v>
          </cell>
          <cell r="F1604" t="str">
            <v>2G/3G/4G</v>
          </cell>
          <cell r="G1604" t="str">
            <v>ERICSSON</v>
          </cell>
          <cell r="H1604" t="str">
            <v>OCI</v>
          </cell>
          <cell r="I1604" t="str">
            <v>YOPOUGON</v>
          </cell>
          <cell r="J1604" t="str">
            <v>ABIDJAN</v>
          </cell>
          <cell r="K1604" t="str">
            <v>ABIDJAN</v>
          </cell>
          <cell r="L1604" t="str">
            <v>ABIDJAN</v>
          </cell>
          <cell r="M1604" t="str">
            <v>YOPOUGON SABLE</v>
          </cell>
          <cell r="N1604" t="str">
            <v>ABIDJAN</v>
          </cell>
        </row>
        <row r="1605">
          <cell r="B1605" t="str">
            <v>ET704</v>
          </cell>
          <cell r="C1605" t="str">
            <v>BINGES_GBAGBA</v>
          </cell>
          <cell r="D1605" t="str">
            <v>-3.893111</v>
          </cell>
          <cell r="E1605" t="str">
            <v>5.329556</v>
          </cell>
          <cell r="F1605" t="str">
            <v>2G/3G/4G</v>
          </cell>
          <cell r="G1605" t="str">
            <v>ERICSSON</v>
          </cell>
          <cell r="H1605" t="str">
            <v>OCI</v>
          </cell>
          <cell r="I1605" t="str">
            <v>BINGERVILLE</v>
          </cell>
          <cell r="J1605" t="str">
            <v>BINGERVILLE</v>
          </cell>
          <cell r="K1605" t="str">
            <v>ABIDJAN</v>
          </cell>
          <cell r="L1605" t="str">
            <v>ABIDJAN</v>
          </cell>
          <cell r="M1605" t="str">
            <v>COCODY LATRILLE</v>
          </cell>
          <cell r="N1605" t="str">
            <v>ABIDJAN</v>
          </cell>
        </row>
        <row r="1606">
          <cell r="B1606" t="str">
            <v>ET710</v>
          </cell>
          <cell r="C1606" t="str">
            <v>ASSINIE_CAIMPEX</v>
          </cell>
          <cell r="D1606" t="str">
            <v>-3.47889</v>
          </cell>
          <cell r="E1606" t="str">
            <v>5.238056</v>
          </cell>
          <cell r="F1606" t="str">
            <v>2G/3G/4G</v>
          </cell>
          <cell r="G1606" t="str">
            <v>HUAWEI</v>
          </cell>
          <cell r="H1606" t="str">
            <v>OCI</v>
          </cell>
          <cell r="I1606" t="str">
            <v>ASSINIE</v>
          </cell>
          <cell r="J1606" t="str">
            <v>BONOUA</v>
          </cell>
          <cell r="K1606" t="str">
            <v>GRAND-BASSAM</v>
          </cell>
          <cell r="L1606" t="str">
            <v>SUD-COMOE</v>
          </cell>
          <cell r="M1606" t="str">
            <v>MARCORY</v>
          </cell>
          <cell r="N1606" t="str">
            <v>UPCOUNTRY</v>
          </cell>
        </row>
        <row r="1607">
          <cell r="B1607" t="str">
            <v>ET711</v>
          </cell>
          <cell r="C1607" t="str">
            <v>MAHOUNOU_AKOUE</v>
          </cell>
          <cell r="D1607" t="str">
            <v>-5.374667</v>
          </cell>
          <cell r="E1607" t="str">
            <v>6.956582</v>
          </cell>
          <cell r="F1607" t="str">
            <v>2G/3G/4G</v>
          </cell>
          <cell r="G1607" t="str">
            <v>HUAWEI</v>
          </cell>
          <cell r="H1607" t="str">
            <v>OCI</v>
          </cell>
          <cell r="I1607" t="str">
            <v>MAHOUNOU_AKOUE</v>
          </cell>
          <cell r="J1607" t="str">
            <v>KOSSOU</v>
          </cell>
          <cell r="K1607" t="str">
            <v>YAMOUSSOUKRO</v>
          </cell>
          <cell r="L1607" t="str">
            <v>YAMOUSSOUKRO</v>
          </cell>
          <cell r="M1607" t="str">
            <v>YAMOUSSOUKRO</v>
          </cell>
          <cell r="N1607" t="str">
            <v>UPCOUNTRY</v>
          </cell>
        </row>
        <row r="1608">
          <cell r="B1608" t="str">
            <v>ET712</v>
          </cell>
          <cell r="C1608" t="str">
            <v>PEPRESSOU_2</v>
          </cell>
          <cell r="D1608" t="str">
            <v>-4.0147</v>
          </cell>
          <cell r="E1608" t="str">
            <v>7.115296</v>
          </cell>
          <cell r="F1608" t="str">
            <v>2G/3G/4G</v>
          </cell>
          <cell r="G1608" t="str">
            <v>HUAWEI</v>
          </cell>
          <cell r="H1608" t="str">
            <v>OCI</v>
          </cell>
          <cell r="I1608" t="str">
            <v>PEPRESSOU</v>
          </cell>
          <cell r="J1608" t="str">
            <v>DAOUKRO</v>
          </cell>
          <cell r="K1608" t="str">
            <v>DAOUKRO</v>
          </cell>
          <cell r="L1608" t="str">
            <v>IFFOU</v>
          </cell>
          <cell r="M1608" t="str">
            <v>ABENGOUROU</v>
          </cell>
          <cell r="N1608" t="str">
            <v>UPCOUNTRY</v>
          </cell>
        </row>
        <row r="1609">
          <cell r="B1609" t="str">
            <v>ET713</v>
          </cell>
          <cell r="C1609" t="str">
            <v>ABOBO_SAGBE_RAIL</v>
          </cell>
          <cell r="D1609" t="str">
            <v>-4.040179</v>
          </cell>
          <cell r="E1609" t="str">
            <v>5.414993</v>
          </cell>
          <cell r="F1609" t="str">
            <v>2G/3G/4G</v>
          </cell>
          <cell r="G1609" t="str">
            <v>ERICSSON</v>
          </cell>
          <cell r="H1609" t="str">
            <v>OCI</v>
          </cell>
          <cell r="I1609" t="str">
            <v>ABOBO</v>
          </cell>
          <cell r="J1609" t="str">
            <v>ABIDJAN</v>
          </cell>
          <cell r="K1609" t="str">
            <v>ABIDJAN</v>
          </cell>
          <cell r="L1609" t="str">
            <v>ABIDJAN</v>
          </cell>
          <cell r="M1609" t="str">
            <v>ABOBO</v>
          </cell>
          <cell r="N1609" t="str">
            <v>ABIDJAN</v>
          </cell>
        </row>
        <row r="1610">
          <cell r="B1610" t="str">
            <v>ET716</v>
          </cell>
          <cell r="C1610" t="str">
            <v>JACQUEVIL_SICOR</v>
          </cell>
          <cell r="D1610" t="str">
            <v>-4.426436</v>
          </cell>
          <cell r="E1610" t="str">
            <v>5.224051</v>
          </cell>
          <cell r="F1610" t="str">
            <v>2G/3G/4G</v>
          </cell>
          <cell r="G1610" t="str">
            <v>ERICSSON</v>
          </cell>
          <cell r="H1610" t="str">
            <v>OCI</v>
          </cell>
          <cell r="I1610" t="str">
            <v>JACQUEVILLE</v>
          </cell>
          <cell r="J1610" t="str">
            <v>JACQUEVILLE</v>
          </cell>
          <cell r="K1610" t="str">
            <v>JACQUEVILLE</v>
          </cell>
          <cell r="L1610" t="str">
            <v>GRANDS-PONTS</v>
          </cell>
          <cell r="M1610" t="str">
            <v>YOPOUGON FICGAYO</v>
          </cell>
          <cell r="N1610" t="str">
            <v>UPCOUNTRY</v>
          </cell>
        </row>
        <row r="1611">
          <cell r="B1611" t="str">
            <v>ET720</v>
          </cell>
          <cell r="C1611" t="str">
            <v xml:space="preserve">BKE_Belle Ville 4 </v>
          </cell>
          <cell r="D1611" t="str">
            <v>-4.9820656</v>
          </cell>
          <cell r="E1611" t="str">
            <v>7.7089831</v>
          </cell>
          <cell r="F1611" t="str">
            <v>2G/3G/4G</v>
          </cell>
          <cell r="G1611" t="str">
            <v>HUAWEI</v>
          </cell>
          <cell r="H1611" t="str">
            <v>IHS</v>
          </cell>
          <cell r="I1611" t="str">
            <v>BOUAKE</v>
          </cell>
          <cell r="J1611" t="str">
            <v>BOUAKE</v>
          </cell>
          <cell r="K1611" t="str">
            <v>BOUAKE</v>
          </cell>
          <cell r="L1611" t="str">
            <v>GBEKE</v>
          </cell>
          <cell r="M1611" t="str">
            <v>BOUAKE</v>
          </cell>
          <cell r="N1611" t="str">
            <v>UPCOUNTRY</v>
          </cell>
        </row>
        <row r="1612">
          <cell r="B1612" t="str">
            <v>ET721</v>
          </cell>
          <cell r="C1612" t="str">
            <v>SOUNGASSOU</v>
          </cell>
          <cell r="D1612" t="str">
            <v>-4.617802</v>
          </cell>
          <cell r="E1612" t="str">
            <v>6.63064</v>
          </cell>
          <cell r="F1612" t="str">
            <v>2G/3G/4G</v>
          </cell>
          <cell r="G1612" t="str">
            <v>HUAWEI</v>
          </cell>
          <cell r="H1612" t="str">
            <v>IHS</v>
          </cell>
          <cell r="I1612" t="str">
            <v>SOUNGASSOU</v>
          </cell>
          <cell r="J1612" t="str">
            <v>DIMBOKRO</v>
          </cell>
          <cell r="K1612" t="str">
            <v>DIMBOKRO</v>
          </cell>
          <cell r="L1612" t="str">
            <v>N'ZI</v>
          </cell>
          <cell r="M1612" t="str">
            <v>YAMOUSSOUKRO</v>
          </cell>
          <cell r="N1612" t="str">
            <v>UPCOUNTRY</v>
          </cell>
        </row>
        <row r="1613">
          <cell r="B1613" t="str">
            <v>ET722</v>
          </cell>
          <cell r="C1613" t="str">
            <v>DIMBOKRO_SOKORA</v>
          </cell>
          <cell r="D1613" t="str">
            <v>-4.698162</v>
          </cell>
          <cell r="E1613" t="str">
            <v>6.64145</v>
          </cell>
          <cell r="F1613" t="str">
            <v>2G/3G/4G</v>
          </cell>
          <cell r="G1613" t="str">
            <v>HUAWEI</v>
          </cell>
          <cell r="H1613" t="str">
            <v>IHS</v>
          </cell>
          <cell r="I1613" t="str">
            <v>DIMBOKRO</v>
          </cell>
          <cell r="J1613" t="str">
            <v>DIMBOKRO</v>
          </cell>
          <cell r="K1613" t="str">
            <v>DIMBOKRO</v>
          </cell>
          <cell r="L1613" t="str">
            <v>N'ZI</v>
          </cell>
          <cell r="M1613" t="str">
            <v>YAMOUSSOUKRO</v>
          </cell>
          <cell r="N1613" t="str">
            <v>UPCOUNTRY</v>
          </cell>
        </row>
        <row r="1614">
          <cell r="B1614" t="str">
            <v>ET725</v>
          </cell>
          <cell r="C1614" t="str">
            <v>STE_THERESE</v>
          </cell>
          <cell r="D1614" t="str">
            <v>-3.98835</v>
          </cell>
          <cell r="E1614" t="str">
            <v>5.30478</v>
          </cell>
          <cell r="F1614" t="str">
            <v>2G/3G/4G</v>
          </cell>
          <cell r="G1614" t="str">
            <v>ERICSSON</v>
          </cell>
          <cell r="H1614" t="str">
            <v>MOOV</v>
          </cell>
          <cell r="I1614" t="str">
            <v>MARCORY</v>
          </cell>
          <cell r="J1614" t="str">
            <v>ABIDJAN</v>
          </cell>
          <cell r="K1614" t="str">
            <v>ABIDJAN</v>
          </cell>
          <cell r="L1614" t="str">
            <v>ABIDJAN</v>
          </cell>
          <cell r="M1614" t="str">
            <v>MARCORY</v>
          </cell>
          <cell r="N1614" t="str">
            <v>ABIDJAN</v>
          </cell>
        </row>
        <row r="1615">
          <cell r="B1615" t="str">
            <v>ET727</v>
          </cell>
          <cell r="C1615" t="str">
            <v>TREICH_PETIT_PARIS</v>
          </cell>
          <cell r="D1615" t="str">
            <v>-4.012101</v>
          </cell>
          <cell r="E1615" t="str">
            <v>5.305839</v>
          </cell>
          <cell r="F1615" t="str">
            <v>2G/3G/4G</v>
          </cell>
          <cell r="G1615" t="str">
            <v>ERICSSON</v>
          </cell>
          <cell r="H1615" t="str">
            <v>MOOV</v>
          </cell>
          <cell r="I1615" t="str">
            <v>TREICHVILLE</v>
          </cell>
          <cell r="J1615" t="str">
            <v>ABIDJAN</v>
          </cell>
          <cell r="K1615" t="str">
            <v>ABIDJAN</v>
          </cell>
          <cell r="L1615" t="str">
            <v>ABIDJAN</v>
          </cell>
          <cell r="M1615" t="str">
            <v>PLATEAU</v>
          </cell>
          <cell r="N1615" t="str">
            <v>ABIDJAN</v>
          </cell>
        </row>
        <row r="1616">
          <cell r="B1616" t="str">
            <v>ET730</v>
          </cell>
          <cell r="C1616" t="str">
            <v>BKE_AEROPORT</v>
          </cell>
          <cell r="D1616" t="str">
            <v>-5.064716</v>
          </cell>
          <cell r="E1616" t="str">
            <v>7.739418</v>
          </cell>
          <cell r="F1616" t="str">
            <v>2G/3G/4G/5G</v>
          </cell>
          <cell r="G1616" t="str">
            <v>HUAWEI</v>
          </cell>
          <cell r="H1616" t="str">
            <v>OCI</v>
          </cell>
          <cell r="I1616" t="str">
            <v>BOUAKE</v>
          </cell>
          <cell r="J1616" t="str">
            <v>BOUAKE</v>
          </cell>
          <cell r="K1616" t="str">
            <v>BOUAKE</v>
          </cell>
          <cell r="L1616" t="str">
            <v>GBEKE</v>
          </cell>
          <cell r="M1616" t="str">
            <v>BOUAKE</v>
          </cell>
          <cell r="N1616" t="str">
            <v>UPCOUNTRY</v>
          </cell>
        </row>
        <row r="1617">
          <cell r="B1617" t="str">
            <v>ET732</v>
          </cell>
          <cell r="C1617" t="str">
            <v>KOR_AGENCE_SOBA</v>
          </cell>
          <cell r="D1617" t="str">
            <v>-5.6251</v>
          </cell>
          <cell r="E1617" t="str">
            <v>9.46078</v>
          </cell>
          <cell r="F1617" t="str">
            <v>2G/3G/4G</v>
          </cell>
          <cell r="G1617" t="str">
            <v>HUAWEI</v>
          </cell>
          <cell r="H1617" t="str">
            <v>MTN</v>
          </cell>
          <cell r="I1617" t="str">
            <v>KORHOGO</v>
          </cell>
          <cell r="J1617" t="str">
            <v>KORHOGO</v>
          </cell>
          <cell r="K1617" t="str">
            <v>KORHOGO</v>
          </cell>
          <cell r="L1617" t="str">
            <v>PORO</v>
          </cell>
          <cell r="M1617" t="str">
            <v>KORHOGO</v>
          </cell>
          <cell r="N1617" t="str">
            <v>UPCOUNTRY</v>
          </cell>
        </row>
        <row r="1618">
          <cell r="B1618" t="str">
            <v>ET733</v>
          </cell>
          <cell r="C1618" t="str">
            <v>BOUAFLE_BELLOU</v>
          </cell>
          <cell r="D1618" t="str">
            <v>-5.72365</v>
          </cell>
          <cell r="E1618" t="str">
            <v>6.9836</v>
          </cell>
          <cell r="F1618" t="str">
            <v>2G/3G/4G</v>
          </cell>
          <cell r="G1618" t="str">
            <v>HUAWEI</v>
          </cell>
          <cell r="H1618" t="str">
            <v>MTN</v>
          </cell>
          <cell r="I1618" t="str">
            <v>BOUAFLE</v>
          </cell>
          <cell r="J1618" t="str">
            <v>BOUAFLE</v>
          </cell>
          <cell r="K1618" t="str">
            <v>BOUAFLE</v>
          </cell>
          <cell r="L1618" t="str">
            <v>MARAHOUE</v>
          </cell>
          <cell r="M1618" t="str">
            <v>YAMOUSSOUKRO</v>
          </cell>
          <cell r="N1618" t="str">
            <v>UPCOUNTRY</v>
          </cell>
        </row>
        <row r="1619">
          <cell r="B1619" t="str">
            <v>ET736</v>
          </cell>
          <cell r="C1619" t="str">
            <v>CITE_ARIANE 1 EICER</v>
          </cell>
          <cell r="D1619" t="str">
            <v>-3.843947</v>
          </cell>
          <cell r="E1619" t="str">
            <v>5.243236</v>
          </cell>
          <cell r="F1619" t="str">
            <v>2G/3G/4G</v>
          </cell>
          <cell r="G1619" t="str">
            <v>HUAWEI</v>
          </cell>
          <cell r="H1619" t="str">
            <v>MTN</v>
          </cell>
          <cell r="I1619" t="str">
            <v>GRAND-BASSAM</v>
          </cell>
          <cell r="J1619" t="str">
            <v>GRAND-BASSAM</v>
          </cell>
          <cell r="K1619" t="str">
            <v>GRAND-BASSAM</v>
          </cell>
          <cell r="L1619" t="str">
            <v>SUD-COMOE</v>
          </cell>
          <cell r="M1619" t="str">
            <v>MARCORY</v>
          </cell>
          <cell r="N1619" t="str">
            <v>UPCOUNTRY</v>
          </cell>
        </row>
        <row r="1620">
          <cell r="B1620" t="str">
            <v>ET792</v>
          </cell>
          <cell r="C1620" t="str">
            <v>NEW_FANON</v>
          </cell>
          <cell r="D1620" t="str">
            <v>-3.952595</v>
          </cell>
          <cell r="E1620" t="str">
            <v>5.298552</v>
          </cell>
          <cell r="F1620" t="str">
            <v>2G/3G/4G</v>
          </cell>
          <cell r="G1620" t="str">
            <v>ERICSSON</v>
          </cell>
          <cell r="H1620" t="str">
            <v>MOOV</v>
          </cell>
          <cell r="I1620" t="str">
            <v>KOUMASSI</v>
          </cell>
          <cell r="J1620" t="str">
            <v>ABIDJAN</v>
          </cell>
          <cell r="K1620" t="str">
            <v>ABIDJAN</v>
          </cell>
          <cell r="L1620" t="str">
            <v>ABIDJAN</v>
          </cell>
          <cell r="M1620" t="str">
            <v>MARCORY</v>
          </cell>
          <cell r="N1620" t="str">
            <v>ABIDJAN</v>
          </cell>
        </row>
        <row r="1621">
          <cell r="B1621" t="str">
            <v>ET795</v>
          </cell>
          <cell r="C1621" t="str">
            <v>NEW_MISSION_LIBANAISE</v>
          </cell>
          <cell r="D1621" t="str">
            <v>-4.024385</v>
          </cell>
          <cell r="E1621" t="str">
            <v>5.340354</v>
          </cell>
          <cell r="F1621" t="str">
            <v>2G/3G/4G</v>
          </cell>
          <cell r="G1621" t="str">
            <v>ERICSSON</v>
          </cell>
          <cell r="H1621" t="str">
            <v>MOOV</v>
          </cell>
          <cell r="I1621" t="str">
            <v>PLATEAU</v>
          </cell>
          <cell r="J1621" t="str">
            <v>ABIDJAN</v>
          </cell>
          <cell r="K1621" t="str">
            <v>ABIDJAN</v>
          </cell>
          <cell r="L1621" t="str">
            <v>ABIDJAN</v>
          </cell>
          <cell r="M1621" t="str">
            <v>PLATEAU</v>
          </cell>
          <cell r="N1621" t="str">
            <v>ABIDJAN</v>
          </cell>
        </row>
        <row r="1622">
          <cell r="B1622" t="str">
            <v>ET794</v>
          </cell>
          <cell r="C1622" t="str">
            <v>NEW_TERMINUS_8182</v>
          </cell>
          <cell r="D1622" t="str">
            <v>-3.984265</v>
          </cell>
          <cell r="E1622" t="str">
            <v>5.402564</v>
          </cell>
          <cell r="F1622" t="str">
            <v>2G/3G/4G</v>
          </cell>
          <cell r="G1622" t="str">
            <v>ERICSSON</v>
          </cell>
          <cell r="H1622" t="str">
            <v>MOOV</v>
          </cell>
          <cell r="I1622" t="str">
            <v>COCODY</v>
          </cell>
          <cell r="J1622" t="str">
            <v>ABIDJAN</v>
          </cell>
          <cell r="K1622" t="str">
            <v>ABIDJAN</v>
          </cell>
          <cell r="L1622" t="str">
            <v>ABIDJAN</v>
          </cell>
          <cell r="M1622" t="str">
            <v>COCODY LATRILLE</v>
          </cell>
          <cell r="N1622" t="str">
            <v>ABIDJAN</v>
          </cell>
        </row>
        <row r="1623">
          <cell r="B1623" t="str">
            <v>ET566</v>
          </cell>
          <cell r="C1623" t="str">
            <v>BKE_SOCOPAO</v>
          </cell>
          <cell r="D1623" t="str">
            <v>-5.00945277777778</v>
          </cell>
          <cell r="E1623" t="str">
            <v>7.65771666666667</v>
          </cell>
          <cell r="F1623" t="str">
            <v>2G/3G/4G</v>
          </cell>
          <cell r="G1623" t="str">
            <v>HUAWEI</v>
          </cell>
          <cell r="H1623" t="str">
            <v>MOOV</v>
          </cell>
          <cell r="I1623" t="str">
            <v>BOUAKE</v>
          </cell>
          <cell r="J1623" t="str">
            <v>BOUAKE</v>
          </cell>
          <cell r="K1623" t="str">
            <v>BOUAKE</v>
          </cell>
          <cell r="L1623" t="str">
            <v>GBEKE</v>
          </cell>
          <cell r="M1623" t="str">
            <v>BOUAKE</v>
          </cell>
          <cell r="N1623" t="str">
            <v>UPCOUNTRY</v>
          </cell>
        </row>
        <row r="1624">
          <cell r="B1624" t="str">
            <v>ET588</v>
          </cell>
          <cell r="C1624" t="str">
            <v>KOR_DELAFOSSE</v>
          </cell>
          <cell r="D1624" t="str">
            <v>-5.63928</v>
          </cell>
          <cell r="E1624" t="str">
            <v>9.46776</v>
          </cell>
          <cell r="F1624" t="str">
            <v>2G/3G/4G</v>
          </cell>
          <cell r="G1624" t="str">
            <v>HUAWEI</v>
          </cell>
          <cell r="H1624" t="str">
            <v>MOOV</v>
          </cell>
          <cell r="I1624" t="str">
            <v>KORHOGO</v>
          </cell>
          <cell r="J1624" t="str">
            <v>KORHOGO</v>
          </cell>
          <cell r="K1624" t="str">
            <v>KORHOGO</v>
          </cell>
          <cell r="L1624" t="str">
            <v>PORO</v>
          </cell>
          <cell r="M1624" t="str">
            <v>KORHOGO</v>
          </cell>
          <cell r="N1624" t="str">
            <v>UPCOUNTRY</v>
          </cell>
        </row>
        <row r="1625">
          <cell r="B1625" t="str">
            <v>ET587</v>
          </cell>
          <cell r="C1625" t="str">
            <v>KOR_TCHEKELEZO_EXT</v>
          </cell>
          <cell r="D1625" t="str">
            <v>-5.59602</v>
          </cell>
          <cell r="E1625" t="str">
            <v>9.4443</v>
          </cell>
          <cell r="F1625" t="str">
            <v>2G/3G/4G</v>
          </cell>
          <cell r="G1625" t="str">
            <v>HUAWEI</v>
          </cell>
          <cell r="H1625" t="str">
            <v>MOOV</v>
          </cell>
          <cell r="I1625" t="str">
            <v>KORHOGO</v>
          </cell>
          <cell r="J1625" t="str">
            <v>KORHOGO</v>
          </cell>
          <cell r="K1625" t="str">
            <v>KORHOGO</v>
          </cell>
          <cell r="L1625" t="str">
            <v>PORO</v>
          </cell>
          <cell r="M1625" t="str">
            <v>KORHOGO</v>
          </cell>
          <cell r="N1625" t="str">
            <v>UPCOUNTRY</v>
          </cell>
        </row>
        <row r="1626">
          <cell r="B1626" t="str">
            <v>ET589</v>
          </cell>
          <cell r="C1626" t="str">
            <v>KOR_COCODY</v>
          </cell>
          <cell r="D1626" t="str">
            <v>-5.65934</v>
          </cell>
          <cell r="E1626" t="str">
            <v>9.47625</v>
          </cell>
          <cell r="F1626" t="str">
            <v>2G/3G/4G</v>
          </cell>
          <cell r="G1626" t="str">
            <v>HUAWEI</v>
          </cell>
          <cell r="H1626" t="str">
            <v>MOOV</v>
          </cell>
          <cell r="I1626" t="str">
            <v>KORHOGO</v>
          </cell>
          <cell r="J1626" t="str">
            <v>KORHOGO</v>
          </cell>
          <cell r="K1626" t="str">
            <v>KORHOGO</v>
          </cell>
          <cell r="L1626" t="str">
            <v>PORO</v>
          </cell>
          <cell r="M1626" t="str">
            <v>KORHOGO</v>
          </cell>
          <cell r="N1626" t="str">
            <v>UPCOUNTRY</v>
          </cell>
        </row>
        <row r="1627">
          <cell r="B1627" t="str">
            <v>ET760</v>
          </cell>
          <cell r="C1627" t="str">
            <v>BEOUMI_LATOBO</v>
          </cell>
          <cell r="D1627" t="str">
            <v>-5.586363</v>
          </cell>
          <cell r="E1627" t="str">
            <v>7.67627</v>
          </cell>
          <cell r="F1627" t="str">
            <v>2G/3G/4G</v>
          </cell>
          <cell r="G1627" t="str">
            <v>HUAWEI</v>
          </cell>
          <cell r="H1627" t="str">
            <v>MOOV</v>
          </cell>
          <cell r="I1627" t="str">
            <v>BEOUMI</v>
          </cell>
          <cell r="J1627" t="str">
            <v>BEOUMI</v>
          </cell>
          <cell r="K1627" t="str">
            <v>BEOUMI</v>
          </cell>
          <cell r="L1627" t="str">
            <v>GBEKE</v>
          </cell>
          <cell r="M1627" t="str">
            <v>BOUAKE</v>
          </cell>
          <cell r="N1627" t="str">
            <v>UPCOUNTRY</v>
          </cell>
        </row>
        <row r="1628">
          <cell r="B1628" t="str">
            <v>ET594</v>
          </cell>
          <cell r="C1628" t="str">
            <v>NIAKARA_CHATEAU</v>
          </cell>
          <cell r="D1628" t="str">
            <v>-5.2969</v>
          </cell>
          <cell r="E1628" t="str">
            <v>8.65718</v>
          </cell>
          <cell r="F1628" t="str">
            <v>2G/3G/4G</v>
          </cell>
          <cell r="G1628" t="str">
            <v>HUAWEI</v>
          </cell>
          <cell r="H1628" t="str">
            <v>MOOV</v>
          </cell>
          <cell r="I1628" t="str">
            <v>NIAKARAMADOUGOU</v>
          </cell>
          <cell r="J1628" t="str">
            <v>NIAKARAMADOUGOU</v>
          </cell>
          <cell r="K1628" t="str">
            <v>NIAKARAMADOUGOU</v>
          </cell>
          <cell r="L1628" t="str">
            <v>HAMBOL</v>
          </cell>
          <cell r="M1628" t="str">
            <v>KORHOGO</v>
          </cell>
          <cell r="N1628" t="str">
            <v>UPCOUNTRY</v>
          </cell>
        </row>
        <row r="1629">
          <cell r="B1629" t="str">
            <v>ET761</v>
          </cell>
          <cell r="C1629" t="str">
            <v>DAL_DERRIERE_COLINE</v>
          </cell>
          <cell r="D1629" t="str">
            <v>-6.430441</v>
          </cell>
          <cell r="E1629" t="str">
            <v>6.844631</v>
          </cell>
          <cell r="F1629" t="str">
            <v>2G/3G/4G</v>
          </cell>
          <cell r="G1629" t="str">
            <v>HUAWEI</v>
          </cell>
          <cell r="H1629" t="str">
            <v>MOOV</v>
          </cell>
          <cell r="I1629" t="str">
            <v>DALOA</v>
          </cell>
          <cell r="J1629" t="str">
            <v>DALOA</v>
          </cell>
          <cell r="K1629" t="str">
            <v>DALOA</v>
          </cell>
          <cell r="L1629" t="str">
            <v>HAUT-SASSANDRA</v>
          </cell>
          <cell r="M1629" t="str">
            <v>DALOA</v>
          </cell>
          <cell r="N1629" t="str">
            <v>UPCOUNTRY</v>
          </cell>
        </row>
        <row r="1630">
          <cell r="B1630" t="str">
            <v>ET675</v>
          </cell>
          <cell r="C1630" t="str">
            <v>GONZAGUE_CARR_CHIEN</v>
          </cell>
          <cell r="D1630" t="str">
            <v>-3.893568</v>
          </cell>
          <cell r="E1630" t="str">
            <v>5.23997</v>
          </cell>
          <cell r="F1630" t="str">
            <v>2G/3G/4G</v>
          </cell>
          <cell r="G1630" t="str">
            <v>HUAWEI</v>
          </cell>
          <cell r="H1630" t="str">
            <v>MOOV</v>
          </cell>
          <cell r="I1630" t="str">
            <v>PORT-BOUET</v>
          </cell>
          <cell r="J1630" t="str">
            <v>ABIDJAN</v>
          </cell>
          <cell r="K1630" t="str">
            <v>ABIDJAN</v>
          </cell>
          <cell r="L1630" t="str">
            <v>ABIDJAN</v>
          </cell>
          <cell r="M1630" t="str">
            <v>MARCORY</v>
          </cell>
          <cell r="N1630" t="str">
            <v>ABIDJAN</v>
          </cell>
        </row>
        <row r="1631">
          <cell r="B1631" t="str">
            <v>ET606</v>
          </cell>
          <cell r="C1631" t="str">
            <v>DOBOUO</v>
          </cell>
          <cell r="D1631" t="str">
            <v>-5.910019</v>
          </cell>
          <cell r="E1631" t="str">
            <v>6.045605</v>
          </cell>
          <cell r="F1631" t="str">
            <v>2G/3G/4G</v>
          </cell>
          <cell r="G1631" t="str">
            <v>HUAWEI</v>
          </cell>
          <cell r="H1631" t="str">
            <v>MOOV</v>
          </cell>
          <cell r="I1631" t="str">
            <v>DOBOUO</v>
          </cell>
          <cell r="J1631" t="str">
            <v>GAGNOA</v>
          </cell>
          <cell r="K1631" t="str">
            <v>GAGNOA</v>
          </cell>
          <cell r="L1631" t="str">
            <v>GOH</v>
          </cell>
          <cell r="M1631" t="str">
            <v>GAGNOA</v>
          </cell>
          <cell r="N1631" t="str">
            <v>UPCOUNTRY</v>
          </cell>
        </row>
        <row r="1632">
          <cell r="B1632" t="str">
            <v>ET758</v>
          </cell>
          <cell r="C1632" t="str">
            <v>SOUBRE_NABOUI_2</v>
          </cell>
          <cell r="D1632" t="str">
            <v>-6.569942</v>
          </cell>
          <cell r="E1632" t="str">
            <v>5.777138</v>
          </cell>
          <cell r="F1632" t="str">
            <v>2G/3G/4G</v>
          </cell>
          <cell r="G1632" t="str">
            <v>HUAWEI</v>
          </cell>
          <cell r="H1632" t="str">
            <v>MOOV</v>
          </cell>
          <cell r="I1632" t="str">
            <v>SOUBRE</v>
          </cell>
          <cell r="J1632" t="str">
            <v>SOUBRE</v>
          </cell>
          <cell r="K1632" t="str">
            <v>SOUBRE</v>
          </cell>
          <cell r="L1632" t="str">
            <v>NAWA</v>
          </cell>
          <cell r="M1632" t="str">
            <v>SOUBRE</v>
          </cell>
          <cell r="N1632" t="str">
            <v>UPCOUNTRY</v>
          </cell>
        </row>
        <row r="1633">
          <cell r="B1633" t="str">
            <v>ET785</v>
          </cell>
          <cell r="C1633" t="str">
            <v>GONZAGUE_RUE_12</v>
          </cell>
          <cell r="D1633" t="str">
            <v>-3.904175</v>
          </cell>
          <cell r="E1633" t="str">
            <v>5.245692</v>
          </cell>
          <cell r="F1633" t="str">
            <v>2G/3G/4G</v>
          </cell>
          <cell r="G1633" t="str">
            <v>HUAWEI</v>
          </cell>
          <cell r="H1633" t="str">
            <v>MOOV</v>
          </cell>
          <cell r="I1633" t="str">
            <v>PORT-BOUET</v>
          </cell>
          <cell r="J1633" t="str">
            <v>ABIDJAN</v>
          </cell>
          <cell r="K1633" t="str">
            <v>ABIDJAN</v>
          </cell>
          <cell r="L1633" t="str">
            <v>ABIDJAN</v>
          </cell>
          <cell r="M1633" t="str">
            <v>MARCORY</v>
          </cell>
          <cell r="N1633" t="str">
            <v>ABIDJAN</v>
          </cell>
        </row>
        <row r="1634">
          <cell r="B1634" t="str">
            <v>ET767</v>
          </cell>
          <cell r="C1634" t="str">
            <v>BONOUA_RESIDENTIEL_EXT</v>
          </cell>
          <cell r="D1634" t="str">
            <v>-3.58381</v>
          </cell>
          <cell r="E1634" t="str">
            <v>5.26033</v>
          </cell>
          <cell r="F1634" t="str">
            <v>2G/3G/4G</v>
          </cell>
          <cell r="G1634" t="str">
            <v>HUAWEI</v>
          </cell>
          <cell r="H1634" t="str">
            <v>MOOV</v>
          </cell>
          <cell r="I1634" t="str">
            <v>BONOUA</v>
          </cell>
          <cell r="J1634" t="str">
            <v>BONOUA</v>
          </cell>
          <cell r="K1634" t="str">
            <v>GRAND-BASSAM</v>
          </cell>
          <cell r="L1634" t="str">
            <v>SUD-COMOE</v>
          </cell>
          <cell r="M1634" t="str">
            <v>MARCORY</v>
          </cell>
          <cell r="N1634" t="str">
            <v>UPCOUNTRY</v>
          </cell>
        </row>
        <row r="1635">
          <cell r="B1635" t="str">
            <v>ET768</v>
          </cell>
          <cell r="C1635" t="str">
            <v>BONOUA_BEGNERI</v>
          </cell>
          <cell r="D1635" t="str">
            <v>-3.57831</v>
          </cell>
          <cell r="E1635" t="str">
            <v>5.2878</v>
          </cell>
          <cell r="F1635" t="str">
            <v>2G/3G/4G</v>
          </cell>
          <cell r="G1635" t="str">
            <v>HUAWEI</v>
          </cell>
          <cell r="H1635" t="str">
            <v>MOOV</v>
          </cell>
          <cell r="I1635" t="str">
            <v>BONOUA</v>
          </cell>
          <cell r="J1635" t="str">
            <v>BONOUA</v>
          </cell>
          <cell r="K1635" t="str">
            <v>GRAND-BASSAM</v>
          </cell>
          <cell r="L1635" t="str">
            <v>SUD-COMOE</v>
          </cell>
          <cell r="M1635" t="str">
            <v>MARCORY</v>
          </cell>
          <cell r="N1635" t="str">
            <v>UPCOUNTRY</v>
          </cell>
        </row>
        <row r="1636">
          <cell r="B1636" t="str">
            <v>ET659</v>
          </cell>
          <cell r="C1636" t="str">
            <v>BOUTOUBRE_2</v>
          </cell>
          <cell r="D1636" t="str">
            <v>-6.436175</v>
          </cell>
          <cell r="E1636" t="str">
            <v>5.501978</v>
          </cell>
          <cell r="F1636" t="str">
            <v>2G/3G/4G</v>
          </cell>
          <cell r="G1636" t="str">
            <v>HUAWEI</v>
          </cell>
          <cell r="H1636" t="str">
            <v>MOOV</v>
          </cell>
          <cell r="I1636" t="str">
            <v>BOUTOUBRE 2</v>
          </cell>
          <cell r="J1636" t="str">
            <v>GRIHIRI</v>
          </cell>
          <cell r="K1636" t="str">
            <v>SASSANDRA</v>
          </cell>
          <cell r="L1636" t="str">
            <v>GBOKLE</v>
          </cell>
          <cell r="M1636" t="str">
            <v>SOUBRE</v>
          </cell>
          <cell r="N1636" t="str">
            <v>UPCOUNTRY</v>
          </cell>
        </row>
        <row r="1637">
          <cell r="B1637" t="str">
            <v>ET700</v>
          </cell>
          <cell r="C1637" t="str">
            <v>YAM_39_LGTS</v>
          </cell>
          <cell r="D1637" t="str">
            <v>-5.241362</v>
          </cell>
          <cell r="E1637" t="str">
            <v>6.833797</v>
          </cell>
          <cell r="F1637" t="str">
            <v>2G/3G/4G</v>
          </cell>
          <cell r="G1637" t="str">
            <v>HUAWEI</v>
          </cell>
          <cell r="H1637" t="str">
            <v>OCI</v>
          </cell>
          <cell r="I1637" t="str">
            <v>YAMOUSSOUKRO</v>
          </cell>
          <cell r="J1637" t="str">
            <v>YAMOUSSOUKRO</v>
          </cell>
          <cell r="K1637" t="str">
            <v>YAMOUSSOUKRO</v>
          </cell>
          <cell r="L1637" t="str">
            <v>YAMOUSSOUKRO</v>
          </cell>
          <cell r="M1637" t="str">
            <v>YAMOUSSOUKRO</v>
          </cell>
          <cell r="N1637" t="str">
            <v>UPCOUNTRY</v>
          </cell>
        </row>
        <row r="1638">
          <cell r="B1638" t="str">
            <v>ET755</v>
          </cell>
          <cell r="C1638" t="str">
            <v>KABINEBO_3ème ARR</v>
          </cell>
          <cell r="D1638" t="str">
            <v>-5.2652</v>
          </cell>
          <cell r="E1638" t="str">
            <v>6.77188</v>
          </cell>
          <cell r="F1638" t="str">
            <v>2G/3G/4G</v>
          </cell>
          <cell r="G1638" t="str">
            <v>HUAWEI</v>
          </cell>
          <cell r="H1638" t="str">
            <v>MOOV</v>
          </cell>
          <cell r="I1638" t="str">
            <v>YAMOUSSOUKRO</v>
          </cell>
          <cell r="J1638" t="str">
            <v>YAMOUSSOUKRO</v>
          </cell>
          <cell r="K1638" t="str">
            <v>YAMOUSSOUKRO</v>
          </cell>
          <cell r="L1638" t="str">
            <v>YAMOUSSOUKRO</v>
          </cell>
          <cell r="M1638" t="str">
            <v>YAMOUSSOUKRO</v>
          </cell>
          <cell r="N1638" t="str">
            <v>UPCOUNTRY</v>
          </cell>
        </row>
        <row r="1639">
          <cell r="B1639" t="str">
            <v>ET564</v>
          </cell>
          <cell r="C1639" t="str">
            <v>BKE_BROUKRO_4</v>
          </cell>
          <cell r="D1639" t="str">
            <v>-5.0639169</v>
          </cell>
          <cell r="E1639" t="str">
            <v>7.6633918</v>
          </cell>
          <cell r="F1639" t="str">
            <v>2G/3G/4G</v>
          </cell>
          <cell r="G1639" t="str">
            <v>HUAWEI</v>
          </cell>
          <cell r="H1639" t="str">
            <v>MOOV</v>
          </cell>
          <cell r="I1639" t="str">
            <v>BOUAKE</v>
          </cell>
          <cell r="J1639" t="str">
            <v>BOUAKE</v>
          </cell>
          <cell r="K1639" t="str">
            <v>BOUAKE</v>
          </cell>
          <cell r="L1639" t="str">
            <v>GBEKE</v>
          </cell>
          <cell r="M1639" t="str">
            <v>BOUAKE</v>
          </cell>
          <cell r="N1639" t="str">
            <v>UPCOUNTRY</v>
          </cell>
        </row>
        <row r="1640">
          <cell r="B1640" t="str">
            <v>ET775</v>
          </cell>
          <cell r="C1640" t="str">
            <v>PETIGOA 2</v>
          </cell>
          <cell r="D1640" t="str">
            <v>-6.774418</v>
          </cell>
          <cell r="E1640" t="str">
            <v>6.108535</v>
          </cell>
          <cell r="F1640" t="str">
            <v>2G/3G/4G</v>
          </cell>
          <cell r="G1640" t="str">
            <v>HUAWEI</v>
          </cell>
          <cell r="H1640" t="str">
            <v>MOOV</v>
          </cell>
          <cell r="I1640" t="str">
            <v>PETIGOA 2</v>
          </cell>
          <cell r="J1640" t="str">
            <v>GRAND-ZATTRY</v>
          </cell>
          <cell r="K1640" t="str">
            <v>SOUBRE</v>
          </cell>
          <cell r="L1640" t="str">
            <v>NAWA</v>
          </cell>
          <cell r="M1640" t="str">
            <v>SOUBRE</v>
          </cell>
          <cell r="N1640" t="str">
            <v>UPCOUNTRY</v>
          </cell>
        </row>
        <row r="1641">
          <cell r="B1641" t="str">
            <v>ET809</v>
          </cell>
          <cell r="C1641" t="str">
            <v>KPALE_KAMORO</v>
          </cell>
          <cell r="D1641" t="str">
            <v>-5.729262</v>
          </cell>
          <cell r="E1641" t="str">
            <v>8.30015</v>
          </cell>
          <cell r="F1641" t="str">
            <v>2G/3G/4G</v>
          </cell>
          <cell r="G1641" t="str">
            <v>HUAWEI</v>
          </cell>
          <cell r="H1641" t="str">
            <v>MOOV</v>
          </cell>
          <cell r="I1641" t="str">
            <v>KPALE_KAMORO</v>
          </cell>
          <cell r="J1641" t="str">
            <v>BOUANDOUGOU</v>
          </cell>
          <cell r="K1641" t="str">
            <v>MANKONO</v>
          </cell>
          <cell r="L1641" t="str">
            <v>BERE</v>
          </cell>
          <cell r="M1641" t="str">
            <v>MAN</v>
          </cell>
          <cell r="N1641" t="str">
            <v>UPCOUNTRY</v>
          </cell>
        </row>
        <row r="1642">
          <cell r="B1642" t="str">
            <v>ET810</v>
          </cell>
          <cell r="C1642" t="str">
            <v>NDEOU</v>
          </cell>
          <cell r="D1642" t="str">
            <v>-6.619182</v>
          </cell>
          <cell r="E1642" t="str">
            <v>9.968099</v>
          </cell>
          <cell r="F1642" t="str">
            <v>2G/3G/4G</v>
          </cell>
          <cell r="G1642" t="str">
            <v>HUAWEI</v>
          </cell>
          <cell r="H1642" t="str">
            <v>MOOV</v>
          </cell>
          <cell r="I1642" t="str">
            <v>NDEOU</v>
          </cell>
          <cell r="J1642" t="str">
            <v>SIANHALA</v>
          </cell>
          <cell r="K1642" t="str">
            <v>KOUTO</v>
          </cell>
          <cell r="L1642" t="str">
            <v>BAGOUE</v>
          </cell>
          <cell r="M1642" t="str">
            <v>KORHOGO</v>
          </cell>
          <cell r="N1642" t="str">
            <v>UPCOUNTRY</v>
          </cell>
        </row>
        <row r="1643">
          <cell r="B1643" t="str">
            <v>ET756</v>
          </cell>
          <cell r="C1643" t="str">
            <v>YAKRO_NZUESSY</v>
          </cell>
          <cell r="D1643" t="str">
            <v>-5.265559</v>
          </cell>
          <cell r="E1643" t="str">
            <v>6.82128</v>
          </cell>
          <cell r="F1643" t="str">
            <v>2G/3G/4G</v>
          </cell>
          <cell r="G1643" t="str">
            <v>HUAWEI</v>
          </cell>
          <cell r="H1643" t="str">
            <v>MOOV</v>
          </cell>
          <cell r="I1643" t="str">
            <v>YAMOUSSOUKRO</v>
          </cell>
          <cell r="J1643" t="str">
            <v>YAMOUSSOUKRO</v>
          </cell>
          <cell r="K1643" t="str">
            <v>YAMOUSSOUKRO</v>
          </cell>
          <cell r="L1643" t="str">
            <v>YAMOUSSOUKRO</v>
          </cell>
          <cell r="M1643" t="str">
            <v>YAMOUSSOUKRO</v>
          </cell>
          <cell r="N1643" t="str">
            <v>UPCOUNTRY</v>
          </cell>
        </row>
        <row r="1644">
          <cell r="B1644" t="str">
            <v>ET742</v>
          </cell>
          <cell r="C1644" t="str">
            <v>ATTECOUBE_MAIRIE</v>
          </cell>
          <cell r="D1644" t="str">
            <v>-4.03241</v>
          </cell>
          <cell r="E1644" t="str">
            <v>5.348234</v>
          </cell>
          <cell r="F1644" t="str">
            <v>2G/3G/4G</v>
          </cell>
          <cell r="G1644" t="str">
            <v>ERICSSON</v>
          </cell>
          <cell r="H1644" t="str">
            <v>MOOV</v>
          </cell>
          <cell r="I1644" t="str">
            <v>ATTECOUBE</v>
          </cell>
          <cell r="J1644" t="str">
            <v>ABIDJAN</v>
          </cell>
          <cell r="K1644" t="str">
            <v>ABIDJAN</v>
          </cell>
          <cell r="L1644" t="str">
            <v>ABIDJAN</v>
          </cell>
          <cell r="M1644" t="str">
            <v>YOPOUGON SABLE</v>
          </cell>
          <cell r="N1644" t="str">
            <v>ABIDJAN</v>
          </cell>
        </row>
        <row r="1645">
          <cell r="B1645" t="str">
            <v>ET807</v>
          </cell>
          <cell r="C1645" t="str">
            <v>ODIENNE_YANKAFISSA</v>
          </cell>
          <cell r="D1645" t="str">
            <v>-7.570429</v>
          </cell>
          <cell r="E1645" t="str">
            <v>9.517799</v>
          </cell>
          <cell r="F1645" t="str">
            <v>2G/3G/4G</v>
          </cell>
          <cell r="G1645" t="str">
            <v>HUAWEI</v>
          </cell>
          <cell r="H1645" t="str">
            <v>MOOV</v>
          </cell>
          <cell r="I1645" t="str">
            <v>ODIENNE</v>
          </cell>
          <cell r="J1645" t="str">
            <v>ODIENNE</v>
          </cell>
          <cell r="K1645" t="str">
            <v>ODIENNE</v>
          </cell>
          <cell r="L1645" t="str">
            <v>KABADOUGOU</v>
          </cell>
          <cell r="M1645" t="str">
            <v>MAN</v>
          </cell>
          <cell r="N1645" t="str">
            <v>UPCOUNTRY</v>
          </cell>
        </row>
        <row r="1646">
          <cell r="B1646" t="str">
            <v>ET433</v>
          </cell>
          <cell r="C1646" t="str">
            <v>ADJAME_EMU_EBENEZER</v>
          </cell>
          <cell r="D1646" t="str">
            <v>-4.02375</v>
          </cell>
          <cell r="E1646" t="str">
            <v>5.34422</v>
          </cell>
          <cell r="F1646" t="str">
            <v>2G/3G/4G</v>
          </cell>
          <cell r="G1646" t="str">
            <v>ERICSSON</v>
          </cell>
          <cell r="H1646" t="str">
            <v>MOOV</v>
          </cell>
          <cell r="I1646" t="str">
            <v>ADJAME</v>
          </cell>
          <cell r="J1646" t="str">
            <v>ABIDJAN</v>
          </cell>
          <cell r="K1646" t="str">
            <v>ABIDJAN</v>
          </cell>
          <cell r="L1646" t="str">
            <v>ABIDJAN</v>
          </cell>
          <cell r="M1646" t="str">
            <v>PLATEAU</v>
          </cell>
          <cell r="N1646" t="str">
            <v>ABIDJAN</v>
          </cell>
        </row>
        <row r="1647">
          <cell r="B1647" t="str">
            <v>ET787</v>
          </cell>
          <cell r="C1647" t="str">
            <v>OUATTARADOUGOU_PORO</v>
          </cell>
          <cell r="D1647" t="str">
            <v>-5.813582</v>
          </cell>
          <cell r="E1647" t="str">
            <v>8.670845</v>
          </cell>
          <cell r="F1647" t="str">
            <v>2G/3G/4G</v>
          </cell>
          <cell r="G1647" t="str">
            <v>HUAWEI</v>
          </cell>
          <cell r="H1647" t="str">
            <v>MOOV</v>
          </cell>
          <cell r="I1647" t="str">
            <v>OUATTARADOUGOU</v>
          </cell>
          <cell r="J1647" t="str">
            <v>BORON</v>
          </cell>
          <cell r="K1647" t="str">
            <v>DIKODOUGOU</v>
          </cell>
          <cell r="L1647" t="str">
            <v>PORO</v>
          </cell>
          <cell r="M1647" t="str">
            <v>KORHOGO</v>
          </cell>
          <cell r="N1647" t="str">
            <v>UPCOUNTRY</v>
          </cell>
        </row>
        <row r="1648">
          <cell r="B1648" t="str">
            <v>ET777</v>
          </cell>
          <cell r="C1648" t="str">
            <v>DAFRAHINOU</v>
          </cell>
          <cell r="D1648" t="str">
            <v>-7.0972</v>
          </cell>
          <cell r="E1648" t="str">
            <v>6.4386</v>
          </cell>
          <cell r="F1648" t="str">
            <v>2G/3G/4G</v>
          </cell>
          <cell r="G1648" t="str">
            <v>HUAWEI</v>
          </cell>
          <cell r="H1648" t="str">
            <v>MOOV</v>
          </cell>
          <cell r="I1648" t="str">
            <v>DAFRAHINOU</v>
          </cell>
          <cell r="J1648" t="str">
            <v>BUYO</v>
          </cell>
          <cell r="K1648" t="str">
            <v>BUYO</v>
          </cell>
          <cell r="L1648" t="str">
            <v>NAWA</v>
          </cell>
          <cell r="M1648" t="str">
            <v>SOUBRE</v>
          </cell>
          <cell r="N1648" t="str">
            <v>UPCOUNTRY</v>
          </cell>
        </row>
        <row r="1649">
          <cell r="B1649" t="str">
            <v>ET803</v>
          </cell>
          <cell r="C1649" t="str">
            <v xml:space="preserve">ABOBO_AVOCATIER_2 CHATEAUX </v>
          </cell>
          <cell r="D1649" t="str">
            <v>-4.02862</v>
          </cell>
          <cell r="E1649" t="str">
            <v>5.43586</v>
          </cell>
          <cell r="F1649" t="str">
            <v>2G/3G/4G</v>
          </cell>
          <cell r="G1649" t="str">
            <v>ERICSSON</v>
          </cell>
          <cell r="H1649" t="str">
            <v>MOOV</v>
          </cell>
          <cell r="I1649" t="str">
            <v>ABOBO</v>
          </cell>
          <cell r="J1649" t="str">
            <v>ABIDJAN</v>
          </cell>
          <cell r="K1649" t="str">
            <v>ABIDJAN</v>
          </cell>
          <cell r="L1649" t="str">
            <v>ABIDJAN</v>
          </cell>
          <cell r="M1649" t="str">
            <v>ABOBO</v>
          </cell>
          <cell r="N1649" t="str">
            <v>ABIDJAN</v>
          </cell>
        </row>
        <row r="1650">
          <cell r="B1650" t="str">
            <v>ET741</v>
          </cell>
          <cell r="C1650" t="str">
            <v>YOP_BANCO_ATTIE</v>
          </cell>
          <cell r="D1650" t="str">
            <v>-4.080943</v>
          </cell>
          <cell r="E1650" t="str">
            <v>5.348769</v>
          </cell>
          <cell r="F1650" t="str">
            <v>2G/3G/4G</v>
          </cell>
          <cell r="G1650" t="str">
            <v>ERICSSON</v>
          </cell>
          <cell r="H1650" t="str">
            <v>MOOV</v>
          </cell>
          <cell r="I1650" t="str">
            <v>YOPOUGON</v>
          </cell>
          <cell r="J1650" t="str">
            <v>ABIDJAN</v>
          </cell>
          <cell r="K1650" t="str">
            <v>ABIDJAN</v>
          </cell>
          <cell r="L1650" t="str">
            <v>ABIDJAN</v>
          </cell>
          <cell r="M1650" t="str">
            <v>YOPOUGON SABLE</v>
          </cell>
          <cell r="N1650" t="str">
            <v>ABIDJAN</v>
          </cell>
        </row>
        <row r="1651">
          <cell r="B1651" t="str">
            <v>ET735</v>
          </cell>
          <cell r="C1651" t="str">
            <v>YOP_MARCHE_BAGNON</v>
          </cell>
          <cell r="D1651" t="str">
            <v>-4.1101</v>
          </cell>
          <cell r="E1651" t="str">
            <v>5.33849</v>
          </cell>
          <cell r="F1651" t="str">
            <v>2G/3G/4G</v>
          </cell>
          <cell r="G1651" t="str">
            <v>ERICSSON</v>
          </cell>
          <cell r="H1651" t="str">
            <v>MOOV</v>
          </cell>
          <cell r="I1651" t="str">
            <v>YOPOUGON</v>
          </cell>
          <cell r="J1651" t="str">
            <v>ABIDJAN</v>
          </cell>
          <cell r="K1651" t="str">
            <v>ABIDJAN</v>
          </cell>
          <cell r="L1651" t="str">
            <v>ABIDJAN</v>
          </cell>
          <cell r="M1651" t="str">
            <v>YOPOUGON SABLE</v>
          </cell>
          <cell r="N1651" t="str">
            <v>ABIDJAN</v>
          </cell>
        </row>
        <row r="1652">
          <cell r="B1652" t="str">
            <v>ET737</v>
          </cell>
          <cell r="C1652" t="str">
            <v>GESCO_ PETIT_BOUAKE</v>
          </cell>
          <cell r="D1652" t="str">
            <v>-4.10232</v>
          </cell>
          <cell r="E1652" t="str">
            <v>5.37561</v>
          </cell>
          <cell r="F1652" t="str">
            <v>2G/3G/4G</v>
          </cell>
          <cell r="G1652" t="str">
            <v>ERICSSON</v>
          </cell>
          <cell r="H1652" t="str">
            <v>MOOV</v>
          </cell>
          <cell r="I1652" t="str">
            <v>YOPOUGON</v>
          </cell>
          <cell r="J1652" t="str">
            <v>ABIDJAN</v>
          </cell>
          <cell r="K1652" t="str">
            <v>ABIDJAN</v>
          </cell>
          <cell r="L1652" t="str">
            <v>ABIDJAN</v>
          </cell>
          <cell r="M1652" t="str">
            <v>YOPOUGON FICGAYO</v>
          </cell>
          <cell r="N1652" t="str">
            <v>ABIDJAN</v>
          </cell>
        </row>
        <row r="1653">
          <cell r="B1653" t="str">
            <v>ET747</v>
          </cell>
          <cell r="C1653" t="str">
            <v>MARCORY_BLUZZE</v>
          </cell>
          <cell r="D1653" t="str">
            <v>-3.97654</v>
          </cell>
          <cell r="E1653" t="str">
            <v>5.28947</v>
          </cell>
          <cell r="F1653" t="str">
            <v>2G/3G/4G</v>
          </cell>
          <cell r="G1653" t="str">
            <v>ERICSSON</v>
          </cell>
          <cell r="H1653" t="str">
            <v>MOOV</v>
          </cell>
          <cell r="I1653" t="str">
            <v>MARCORY</v>
          </cell>
          <cell r="J1653" t="str">
            <v>ABIDJAN</v>
          </cell>
          <cell r="K1653" t="str">
            <v>ABIDJAN</v>
          </cell>
          <cell r="L1653" t="str">
            <v>ABIDJAN</v>
          </cell>
          <cell r="M1653" t="str">
            <v>MARCORY</v>
          </cell>
          <cell r="N1653" t="str">
            <v>ABIDJAN</v>
          </cell>
        </row>
        <row r="1654">
          <cell r="B1654" t="str">
            <v>ET773</v>
          </cell>
          <cell r="C1654" t="str">
            <v>ZOGUINE_GANLEU</v>
          </cell>
          <cell r="D1654" t="str">
            <v>-7.988841</v>
          </cell>
          <cell r="E1654" t="str">
            <v>7.097286</v>
          </cell>
          <cell r="F1654" t="str">
            <v>2G/3G/4G</v>
          </cell>
          <cell r="G1654" t="str">
            <v>HUAWEI</v>
          </cell>
          <cell r="H1654" t="str">
            <v>MOOV</v>
          </cell>
          <cell r="I1654" t="str">
            <v>ZOGUINE_GANLEU</v>
          </cell>
          <cell r="J1654" t="str">
            <v>ZONNEU</v>
          </cell>
          <cell r="K1654" t="str">
            <v>DANANE</v>
          </cell>
          <cell r="L1654" t="str">
            <v>TONKPI</v>
          </cell>
          <cell r="M1654" t="str">
            <v>MAN</v>
          </cell>
          <cell r="N1654" t="str">
            <v>UPCOUNTRY</v>
          </cell>
        </row>
        <row r="1655">
          <cell r="B1655" t="str">
            <v>ET776</v>
          </cell>
          <cell r="C1655" t="str">
            <v>DAPEOUA</v>
          </cell>
          <cell r="D1655" t="str">
            <v>-6.86277</v>
          </cell>
          <cell r="E1655" t="str">
            <v>6.15585</v>
          </cell>
          <cell r="F1655" t="str">
            <v>2G/3G/4G</v>
          </cell>
          <cell r="G1655" t="str">
            <v>HUAWEI</v>
          </cell>
          <cell r="H1655" t="str">
            <v>MOOV</v>
          </cell>
          <cell r="I1655" t="str">
            <v>DAPEOUA</v>
          </cell>
          <cell r="J1655" t="str">
            <v>DAPEOUA</v>
          </cell>
          <cell r="K1655" t="str">
            <v>BUYO</v>
          </cell>
          <cell r="L1655" t="str">
            <v>NAWA</v>
          </cell>
          <cell r="M1655" t="str">
            <v>SOUBRE</v>
          </cell>
          <cell r="N1655" t="str">
            <v>UPCOUNTRY</v>
          </cell>
        </row>
        <row r="1656">
          <cell r="B1656" t="str">
            <v>ET824</v>
          </cell>
          <cell r="C1656" t="str">
            <v>NEW_KOBAKRO_CHATEAU</v>
          </cell>
          <cell r="D1656" t="str">
            <v>-4.072264</v>
          </cell>
          <cell r="E1656" t="str">
            <v>5.46457</v>
          </cell>
          <cell r="F1656" t="str">
            <v>2G/3G/4G</v>
          </cell>
          <cell r="G1656" t="str">
            <v>ERICSSON</v>
          </cell>
          <cell r="H1656" t="str">
            <v>MOOV</v>
          </cell>
          <cell r="I1656" t="str">
            <v>ANYAMA</v>
          </cell>
          <cell r="J1656" t="str">
            <v>ANYAMA</v>
          </cell>
          <cell r="K1656" t="str">
            <v>ABIDJAN</v>
          </cell>
          <cell r="L1656" t="str">
            <v>ABIDJAN</v>
          </cell>
          <cell r="M1656" t="str">
            <v>ABOBO</v>
          </cell>
          <cell r="N1656" t="str">
            <v>ABIDJAN</v>
          </cell>
        </row>
        <row r="1657">
          <cell r="B1657" t="str">
            <v>ET786</v>
          </cell>
          <cell r="C1657" t="str">
            <v>ABOBO_PHCIE NOUR</v>
          </cell>
          <cell r="D1657" t="str">
            <v>-4.009918</v>
          </cell>
          <cell r="E1657" t="str">
            <v>5.420911</v>
          </cell>
          <cell r="F1657" t="str">
            <v>2G/3G/4G</v>
          </cell>
          <cell r="G1657" t="str">
            <v>ERICSSON</v>
          </cell>
          <cell r="H1657" t="str">
            <v>MOOV</v>
          </cell>
          <cell r="I1657" t="str">
            <v>ABOBO</v>
          </cell>
          <cell r="J1657" t="str">
            <v>ABIDJAN</v>
          </cell>
          <cell r="K1657" t="str">
            <v>ABIDJAN</v>
          </cell>
          <cell r="L1657" t="str">
            <v>ABIDJAN</v>
          </cell>
          <cell r="M1657" t="str">
            <v>ABOBO</v>
          </cell>
          <cell r="N1657" t="str">
            <v>ABIDJAN</v>
          </cell>
        </row>
        <row r="1658">
          <cell r="B1658" t="str">
            <v>ET752</v>
          </cell>
          <cell r="C1658" t="str">
            <v>DJOBISSANDRE_1</v>
          </cell>
          <cell r="D1658" t="str">
            <v>-3.86417</v>
          </cell>
          <cell r="E1658" t="str">
            <v>5.35974</v>
          </cell>
          <cell r="F1658" t="str">
            <v>2G/3G/4G</v>
          </cell>
          <cell r="G1658" t="str">
            <v>ERICSSON</v>
          </cell>
          <cell r="H1658" t="str">
            <v>MOOV</v>
          </cell>
          <cell r="I1658" t="str">
            <v>BINGERVILLE</v>
          </cell>
          <cell r="J1658" t="str">
            <v>BINGERVILLE</v>
          </cell>
          <cell r="K1658" t="str">
            <v>ABIDJAN</v>
          </cell>
          <cell r="L1658" t="str">
            <v>ABIDJAN</v>
          </cell>
          <cell r="M1658" t="str">
            <v>COCODY LATRILLE</v>
          </cell>
          <cell r="N1658" t="str">
            <v>ABIDJAN</v>
          </cell>
        </row>
        <row r="1659">
          <cell r="B1659" t="str">
            <v>ET746</v>
          </cell>
          <cell r="C1659" t="str">
            <v xml:space="preserve">TREICH_ARRAS_4 </v>
          </cell>
          <cell r="D1659" t="str">
            <v>-4.004722</v>
          </cell>
          <cell r="E1659" t="str">
            <v>5.301654</v>
          </cell>
          <cell r="F1659" t="str">
            <v>2G/3G/4G</v>
          </cell>
          <cell r="G1659" t="str">
            <v>ERICSSON</v>
          </cell>
          <cell r="H1659" t="str">
            <v>MOOV</v>
          </cell>
          <cell r="I1659" t="str">
            <v>TREICHVILLE</v>
          </cell>
          <cell r="J1659" t="str">
            <v>ABIDJAN</v>
          </cell>
          <cell r="K1659" t="str">
            <v>ABIDJAN</v>
          </cell>
          <cell r="L1659" t="str">
            <v>ABIDJAN</v>
          </cell>
          <cell r="M1659" t="str">
            <v>PLATEAU</v>
          </cell>
          <cell r="N1659" t="str">
            <v>ABIDJAN</v>
          </cell>
        </row>
        <row r="1660">
          <cell r="B1660" t="str">
            <v>ET802</v>
          </cell>
          <cell r="C1660" t="str">
            <v>ABOBO_DOKUI_2</v>
          </cell>
          <cell r="D1660" t="str">
            <v>-4.01037</v>
          </cell>
          <cell r="E1660" t="str">
            <v>5.4011</v>
          </cell>
          <cell r="F1660" t="str">
            <v>2G/3G/4G</v>
          </cell>
          <cell r="G1660" t="str">
            <v>ERICSSON</v>
          </cell>
          <cell r="H1660" t="str">
            <v>MOOV</v>
          </cell>
          <cell r="I1660" t="str">
            <v>ABOBO</v>
          </cell>
          <cell r="J1660" t="str">
            <v>ABIDJAN</v>
          </cell>
          <cell r="K1660" t="str">
            <v>ABIDJAN</v>
          </cell>
          <cell r="L1660" t="str">
            <v>ABIDJAN</v>
          </cell>
          <cell r="M1660" t="str">
            <v>ABOBO</v>
          </cell>
          <cell r="N1660" t="str">
            <v>ABIDJAN</v>
          </cell>
        </row>
        <row r="1661">
          <cell r="B1661" t="str">
            <v>ET549</v>
          </cell>
          <cell r="C1661" t="str">
            <v>AGBO_ARTISANAL</v>
          </cell>
          <cell r="D1661" t="str">
            <v>-4.2153</v>
          </cell>
          <cell r="E1661" t="str">
            <v>5.936</v>
          </cell>
          <cell r="F1661" t="str">
            <v>2G/3G/4G</v>
          </cell>
          <cell r="G1661" t="str">
            <v>ERICSSON</v>
          </cell>
          <cell r="H1661" t="str">
            <v>MOOV</v>
          </cell>
          <cell r="I1661" t="str">
            <v>AGBOVILLE</v>
          </cell>
          <cell r="J1661" t="str">
            <v>AGBOVILLE</v>
          </cell>
          <cell r="K1661" t="str">
            <v>AGBOVILLE</v>
          </cell>
          <cell r="L1661" t="str">
            <v>AGNEBY-TIASSA</v>
          </cell>
          <cell r="M1661" t="str">
            <v>ABOBO</v>
          </cell>
          <cell r="N1661" t="str">
            <v>UPCOUNTRY</v>
          </cell>
        </row>
        <row r="1662">
          <cell r="B1662" t="str">
            <v>ET553</v>
          </cell>
          <cell r="C1662" t="str">
            <v>AZAGUIE_GARE 1</v>
          </cell>
          <cell r="D1662" t="str">
            <v>-4.085833</v>
          </cell>
          <cell r="E1662" t="str">
            <v>5.632553</v>
          </cell>
          <cell r="F1662" t="str">
            <v>2G/3G/4G</v>
          </cell>
          <cell r="G1662" t="str">
            <v>ERICSSON</v>
          </cell>
          <cell r="H1662" t="str">
            <v>MOOV</v>
          </cell>
          <cell r="I1662" t="str">
            <v>AZAGUIE</v>
          </cell>
          <cell r="J1662" t="str">
            <v>AZAGUIE</v>
          </cell>
          <cell r="K1662" t="str">
            <v>AGBOVILLE</v>
          </cell>
          <cell r="L1662" t="str">
            <v>AGNEBY-TIASSA</v>
          </cell>
          <cell r="M1662" t="str">
            <v>ABOBO</v>
          </cell>
          <cell r="N1662" t="str">
            <v>UPCOUNTRY</v>
          </cell>
        </row>
        <row r="1663">
          <cell r="B1663" t="str">
            <v>ET554</v>
          </cell>
          <cell r="C1663" t="str">
            <v>BRAFFEDON</v>
          </cell>
          <cell r="D1663" t="str">
            <v>-4.981368</v>
          </cell>
          <cell r="E1663" t="str">
            <v>5.149482</v>
          </cell>
          <cell r="F1663" t="str">
            <v>2G/3G/4G</v>
          </cell>
          <cell r="G1663" t="str">
            <v>ERICSSON</v>
          </cell>
          <cell r="H1663" t="str">
            <v>MOOV</v>
          </cell>
          <cell r="I1663" t="str">
            <v>BRAFFEDON</v>
          </cell>
          <cell r="J1663" t="str">
            <v>GRAND-LAHOU</v>
          </cell>
          <cell r="K1663" t="str">
            <v>GRAND-LAHOU</v>
          </cell>
          <cell r="L1663" t="str">
            <v>GRANDS-PONTS</v>
          </cell>
          <cell r="M1663" t="str">
            <v>YOPOUGON FICGAYO</v>
          </cell>
          <cell r="N1663" t="str">
            <v>UPCOUNTRY</v>
          </cell>
        </row>
        <row r="1664">
          <cell r="B1664" t="str">
            <v>ET691</v>
          </cell>
          <cell r="C1664" t="str">
            <v>N'DOTRE_CHATEAU</v>
          </cell>
          <cell r="D1664" t="str">
            <v>-4.08311</v>
          </cell>
          <cell r="E1664" t="str">
            <v>5.46317</v>
          </cell>
          <cell r="F1664" t="str">
            <v>2G/3G/4G</v>
          </cell>
          <cell r="G1664" t="str">
            <v>ERICSSON</v>
          </cell>
          <cell r="H1664" t="str">
            <v>MTN</v>
          </cell>
          <cell r="I1664" t="str">
            <v>ANYAMA</v>
          </cell>
          <cell r="J1664" t="str">
            <v>ANYAMA</v>
          </cell>
          <cell r="K1664" t="str">
            <v>ABIDJAN</v>
          </cell>
          <cell r="L1664" t="str">
            <v>ABIDJAN</v>
          </cell>
          <cell r="M1664" t="str">
            <v>ABOBO</v>
          </cell>
          <cell r="N1664" t="str">
            <v>ABIDJAN</v>
          </cell>
        </row>
        <row r="1665">
          <cell r="B1665" t="str">
            <v>ET728</v>
          </cell>
          <cell r="C1665" t="str">
            <v>ABOBO_KP18_AGOUETO</v>
          </cell>
          <cell r="D1665" t="str">
            <v>-4.054176</v>
          </cell>
          <cell r="E1665" t="str">
            <v>5.446093</v>
          </cell>
          <cell r="F1665" t="str">
            <v>2G/3G/4G</v>
          </cell>
          <cell r="G1665" t="str">
            <v>ERICSSON</v>
          </cell>
          <cell r="H1665" t="str">
            <v>MOOV</v>
          </cell>
          <cell r="I1665" t="str">
            <v>ABOBO</v>
          </cell>
          <cell r="J1665" t="str">
            <v>ABIDJAN</v>
          </cell>
          <cell r="K1665" t="str">
            <v>ABIDJAN</v>
          </cell>
          <cell r="L1665" t="str">
            <v>ABIDJAN</v>
          </cell>
          <cell r="M1665" t="str">
            <v>ABOBO</v>
          </cell>
          <cell r="N1665" t="str">
            <v>ABIDJAN</v>
          </cell>
        </row>
        <row r="1666">
          <cell r="B1666" t="str">
            <v>ET729</v>
          </cell>
          <cell r="C1666" t="str">
            <v>ABOBO_MAIRIE</v>
          </cell>
          <cell r="D1666" t="str">
            <v>-4.01944</v>
          </cell>
          <cell r="E1666" t="str">
            <v>5.42403</v>
          </cell>
          <cell r="F1666" t="str">
            <v>2G/3G/4G</v>
          </cell>
          <cell r="G1666" t="str">
            <v>ERICSSON</v>
          </cell>
          <cell r="H1666" t="str">
            <v>MOOV</v>
          </cell>
          <cell r="I1666" t="str">
            <v>ABOBO</v>
          </cell>
          <cell r="J1666" t="str">
            <v>ABIDJAN</v>
          </cell>
          <cell r="K1666" t="str">
            <v>ABIDJAN</v>
          </cell>
          <cell r="L1666" t="str">
            <v>ABIDJAN</v>
          </cell>
          <cell r="M1666" t="str">
            <v>ABOBO</v>
          </cell>
          <cell r="N1666" t="str">
            <v>ABIDJAN</v>
          </cell>
        </row>
        <row r="1667">
          <cell r="B1667" t="str">
            <v>ET738</v>
          </cell>
          <cell r="C1667" t="str">
            <v>YOP_SIBETON</v>
          </cell>
          <cell r="D1667" t="str">
            <v>-4.04628</v>
          </cell>
          <cell r="E1667" t="str">
            <v>5.35728</v>
          </cell>
          <cell r="F1667" t="str">
            <v>2G/3G/4G</v>
          </cell>
          <cell r="G1667" t="str">
            <v>ERICSSON</v>
          </cell>
          <cell r="H1667" t="str">
            <v>MOOV</v>
          </cell>
          <cell r="I1667" t="str">
            <v>YOPOUGON</v>
          </cell>
          <cell r="J1667" t="str">
            <v>ABIDJAN</v>
          </cell>
          <cell r="K1667" t="str">
            <v>ABIDJAN</v>
          </cell>
          <cell r="L1667" t="str">
            <v>ABIDJAN</v>
          </cell>
          <cell r="M1667" t="str">
            <v>YOPOUGON SABLE</v>
          </cell>
          <cell r="N1667" t="str">
            <v>ABIDJAN</v>
          </cell>
        </row>
        <row r="1668">
          <cell r="B1668" t="str">
            <v>ET750</v>
          </cell>
          <cell r="C1668" t="str">
            <v>MPOUTO_UACA</v>
          </cell>
          <cell r="D1668" t="str">
            <v>-3.94314</v>
          </cell>
          <cell r="E1668" t="str">
            <v>5.32852</v>
          </cell>
          <cell r="F1668" t="str">
            <v>2G/3G/4G</v>
          </cell>
          <cell r="G1668" t="str">
            <v>ERICSSON</v>
          </cell>
          <cell r="H1668" t="str">
            <v>OCI</v>
          </cell>
          <cell r="I1668" t="str">
            <v>COCODY</v>
          </cell>
          <cell r="J1668" t="str">
            <v>ABIDJAN</v>
          </cell>
          <cell r="K1668" t="str">
            <v>ABIDJAN</v>
          </cell>
          <cell r="L1668" t="str">
            <v>ABIDJAN</v>
          </cell>
          <cell r="M1668" t="str">
            <v>COCODY CENTRE</v>
          </cell>
          <cell r="N1668" t="str">
            <v>ABIDJAN</v>
          </cell>
        </row>
        <row r="1669">
          <cell r="B1669" t="str">
            <v>ET800</v>
          </cell>
          <cell r="C1669" t="str">
            <v>ABOBO_BC_JAPON</v>
          </cell>
          <cell r="D1669" t="str">
            <v>-4.020333</v>
          </cell>
          <cell r="E1669" t="str">
            <v>5.458337</v>
          </cell>
          <cell r="F1669" t="str">
            <v>2G/3G/4G</v>
          </cell>
          <cell r="G1669" t="str">
            <v>ERICSSON</v>
          </cell>
          <cell r="H1669" t="str">
            <v>MOOV</v>
          </cell>
          <cell r="I1669" t="str">
            <v>ABOBO</v>
          </cell>
          <cell r="J1669" t="str">
            <v>ABIDJAN</v>
          </cell>
          <cell r="K1669" t="str">
            <v>ABIDJAN</v>
          </cell>
          <cell r="L1669" t="str">
            <v>ABIDJAN</v>
          </cell>
          <cell r="M1669" t="str">
            <v>ABOBO</v>
          </cell>
          <cell r="N1669" t="str">
            <v>ABIDJAN</v>
          </cell>
        </row>
        <row r="1670">
          <cell r="B1670" t="str">
            <v>ET801</v>
          </cell>
          <cell r="C1670" t="str">
            <v>BIABOU_2</v>
          </cell>
          <cell r="D1670" t="str">
            <v>-3.992823</v>
          </cell>
          <cell r="E1670" t="str">
            <v>5.44341</v>
          </cell>
          <cell r="F1670" t="str">
            <v>2G/3G/4G</v>
          </cell>
          <cell r="G1670" t="str">
            <v>ERICSSON</v>
          </cell>
          <cell r="H1670" t="str">
            <v>MOOV</v>
          </cell>
          <cell r="I1670" t="str">
            <v>ABOBO</v>
          </cell>
          <cell r="J1670" t="str">
            <v>ABIDJAN</v>
          </cell>
          <cell r="K1670" t="str">
            <v>ABIDJAN</v>
          </cell>
          <cell r="L1670" t="str">
            <v>ABIDJAN</v>
          </cell>
          <cell r="M1670" t="str">
            <v>ABOBO</v>
          </cell>
          <cell r="N1670" t="str">
            <v>ABIDJAN</v>
          </cell>
        </row>
        <row r="1671">
          <cell r="B1671" t="str">
            <v>ET819</v>
          </cell>
          <cell r="C1671" t="str">
            <v>DJIBI_PARIS_VILLAGE</v>
          </cell>
          <cell r="D1671" t="str">
            <v>-3.96396</v>
          </cell>
          <cell r="E1671" t="str">
            <v>5.45012</v>
          </cell>
          <cell r="F1671" t="str">
            <v>2G/3G/4G</v>
          </cell>
          <cell r="G1671" t="str">
            <v>ERICSSON</v>
          </cell>
          <cell r="H1671" t="str">
            <v>MOOV</v>
          </cell>
          <cell r="I1671" t="str">
            <v>ABOBO</v>
          </cell>
          <cell r="J1671" t="str">
            <v>ABIDJAN</v>
          </cell>
          <cell r="K1671" t="str">
            <v>ABIDJAN</v>
          </cell>
          <cell r="L1671" t="str">
            <v>ABIDJAN</v>
          </cell>
          <cell r="M1671" t="str">
            <v>ABOBO</v>
          </cell>
          <cell r="N1671" t="str">
            <v>ABIDJAN</v>
          </cell>
        </row>
        <row r="1672">
          <cell r="B1672" t="str">
            <v>ET820</v>
          </cell>
          <cell r="C1672" t="str">
            <v>ABOBO_BOIS_SEC</v>
          </cell>
          <cell r="D1672" t="str">
            <v>-4.039745</v>
          </cell>
          <cell r="E1672" t="str">
            <v>5.456843</v>
          </cell>
          <cell r="F1672" t="str">
            <v>2G/3G/4G</v>
          </cell>
          <cell r="G1672" t="str">
            <v>ERICSSON</v>
          </cell>
          <cell r="H1672" t="str">
            <v>MOOV</v>
          </cell>
          <cell r="I1672" t="str">
            <v>ABOBO</v>
          </cell>
          <cell r="J1672" t="str">
            <v>ABIDJAN</v>
          </cell>
          <cell r="K1672" t="str">
            <v>ABIDJAN</v>
          </cell>
          <cell r="L1672" t="str">
            <v>ABIDJAN</v>
          </cell>
          <cell r="M1672" t="str">
            <v>ABOBO</v>
          </cell>
          <cell r="N1672" t="str">
            <v>ABIDJAN</v>
          </cell>
        </row>
        <row r="1673">
          <cell r="B1673" t="str">
            <v>ET765</v>
          </cell>
          <cell r="C1673" t="str">
            <v>CHEFFERIE_MODESTE</v>
          </cell>
          <cell r="D1673" t="str">
            <v>-3.796268</v>
          </cell>
          <cell r="E1673" t="str">
            <v>5.219843</v>
          </cell>
          <cell r="F1673" t="str">
            <v>2G/3G/4G</v>
          </cell>
          <cell r="G1673" t="str">
            <v>HUAWEI</v>
          </cell>
          <cell r="H1673" t="str">
            <v>MOOV</v>
          </cell>
          <cell r="I1673" t="str">
            <v>GRAND-BASSAM</v>
          </cell>
          <cell r="J1673" t="str">
            <v>GRAND-BASSAM</v>
          </cell>
          <cell r="K1673" t="str">
            <v>GRAND-BASSAM</v>
          </cell>
          <cell r="L1673" t="str">
            <v>SUD-COMOE</v>
          </cell>
          <cell r="M1673" t="str">
            <v>MARCORY</v>
          </cell>
          <cell r="N1673" t="str">
            <v>UPCOUNTRY</v>
          </cell>
        </row>
        <row r="1674">
          <cell r="B1674" t="str">
            <v>ET901</v>
          </cell>
          <cell r="C1674" t="str">
            <v>MICRO_PARC_EXPO</v>
          </cell>
          <cell r="D1674" t="str">
            <v>-3.945856</v>
          </cell>
          <cell r="E1674" t="str">
            <v>5.264714</v>
          </cell>
          <cell r="F1674" t="str">
            <v>3G/4G</v>
          </cell>
          <cell r="G1674" t="str">
            <v>ERICSSON</v>
          </cell>
          <cell r="H1674" t="str">
            <v>MOOV</v>
          </cell>
          <cell r="I1674" t="str">
            <v>PORT-BOUET</v>
          </cell>
          <cell r="J1674" t="str">
            <v>ABIDJAN</v>
          </cell>
          <cell r="K1674" t="str">
            <v>ABIDJAN</v>
          </cell>
          <cell r="L1674" t="str">
            <v>ABIDJAN</v>
          </cell>
          <cell r="M1674" t="str">
            <v>MARCORY</v>
          </cell>
          <cell r="N1674" t="str">
            <v>ABIDJAN</v>
          </cell>
        </row>
        <row r="1675">
          <cell r="B1675" t="str">
            <v>ET544</v>
          </cell>
          <cell r="C1675" t="str">
            <v>YOP_SORBONNE</v>
          </cell>
          <cell r="D1675" t="str">
            <v>-4.099247</v>
          </cell>
          <cell r="E1675" t="str">
            <v>5.352052</v>
          </cell>
          <cell r="F1675" t="str">
            <v>2G/3G/4G</v>
          </cell>
          <cell r="G1675" t="str">
            <v>ERICSSON</v>
          </cell>
          <cell r="H1675" t="str">
            <v>MOOV</v>
          </cell>
          <cell r="I1675" t="str">
            <v>YOPOUGON</v>
          </cell>
          <cell r="J1675" t="str">
            <v>ABIDJAN</v>
          </cell>
          <cell r="K1675" t="str">
            <v>ABIDJAN</v>
          </cell>
          <cell r="L1675" t="str">
            <v>ABIDJAN</v>
          </cell>
          <cell r="M1675" t="str">
            <v>YOPOUGON FICGAYO</v>
          </cell>
          <cell r="N1675" t="str">
            <v>ABIDJAN</v>
          </cell>
        </row>
        <row r="1676">
          <cell r="B1676" t="str">
            <v>ET545</v>
          </cell>
          <cell r="C1676" t="str">
            <v>ABOISSO_MUNICIPALITE</v>
          </cell>
          <cell r="D1676" t="str">
            <v>-3.19234</v>
          </cell>
          <cell r="E1676" t="str">
            <v>5.4749</v>
          </cell>
          <cell r="F1676" t="str">
            <v>2G/3G/4G</v>
          </cell>
          <cell r="G1676" t="str">
            <v>ERICSSON</v>
          </cell>
          <cell r="H1676" t="str">
            <v>MOOV</v>
          </cell>
          <cell r="I1676" t="str">
            <v>ABOISSO</v>
          </cell>
          <cell r="J1676" t="str">
            <v>ABOISSO</v>
          </cell>
          <cell r="K1676" t="str">
            <v>ABOISSO</v>
          </cell>
          <cell r="L1676" t="str">
            <v>SUD-COMOE</v>
          </cell>
          <cell r="M1676" t="str">
            <v>MARCORY</v>
          </cell>
          <cell r="N1676" t="str">
            <v>UPCOUNTRY</v>
          </cell>
        </row>
        <row r="1677">
          <cell r="B1677" t="str">
            <v>ET576</v>
          </cell>
          <cell r="C1677" t="str">
            <v>DIVO_GRENIA_EXT</v>
          </cell>
          <cell r="D1677" t="str">
            <v>-5.37429</v>
          </cell>
          <cell r="E1677" t="str">
            <v>5.82603</v>
          </cell>
          <cell r="F1677" t="str">
            <v>2G/3G/4G</v>
          </cell>
          <cell r="G1677" t="str">
            <v>ERICSSON</v>
          </cell>
          <cell r="H1677" t="str">
            <v>MOOV</v>
          </cell>
          <cell r="I1677" t="str">
            <v>DIVO</v>
          </cell>
          <cell r="J1677" t="str">
            <v>DIVO</v>
          </cell>
          <cell r="K1677" t="str">
            <v>DIVO</v>
          </cell>
          <cell r="L1677" t="str">
            <v>LOH-DJIBOUA</v>
          </cell>
          <cell r="M1677" t="str">
            <v>DIVO</v>
          </cell>
          <cell r="N1677" t="str">
            <v>UPCOUNTRY</v>
          </cell>
        </row>
        <row r="1678">
          <cell r="B1678" t="str">
            <v>ET626</v>
          </cell>
          <cell r="C1678" t="str">
            <v>DIMANDOUGOU</v>
          </cell>
          <cell r="D1678" t="str">
            <v>-3.77466</v>
          </cell>
          <cell r="E1678" t="str">
            <v>8.01538</v>
          </cell>
          <cell r="F1678" t="str">
            <v>2G/3G/4G</v>
          </cell>
          <cell r="G1678" t="str">
            <v>ERICSSON</v>
          </cell>
          <cell r="H1678" t="str">
            <v>MOOV</v>
          </cell>
          <cell r="I1678" t="str">
            <v>DIMANDOUGOU</v>
          </cell>
          <cell r="J1678" t="str">
            <v>DIMANDOUGOU</v>
          </cell>
          <cell r="K1678" t="str">
            <v>SANDEGUE</v>
          </cell>
          <cell r="L1678" t="str">
            <v>GONTOUGO</v>
          </cell>
          <cell r="M1678" t="str">
            <v>ABENGOUROU</v>
          </cell>
          <cell r="N1678" t="str">
            <v>UPCOUNTRY</v>
          </cell>
        </row>
        <row r="1679">
          <cell r="B1679" t="str">
            <v>ET646</v>
          </cell>
          <cell r="C1679" t="str">
            <v>KAMALA</v>
          </cell>
          <cell r="D1679" t="str">
            <v>-2.72189</v>
          </cell>
          <cell r="E1679" t="str">
            <v>8.434889</v>
          </cell>
          <cell r="F1679" t="str">
            <v>2G/3G/4G</v>
          </cell>
          <cell r="G1679" t="str">
            <v>ERICSSON</v>
          </cell>
          <cell r="H1679" t="str">
            <v>MOOV</v>
          </cell>
          <cell r="I1679" t="str">
            <v>KAMALA</v>
          </cell>
          <cell r="J1679" t="str">
            <v>TAGADI</v>
          </cell>
          <cell r="K1679" t="str">
            <v>BONDOUKOU</v>
          </cell>
          <cell r="L1679" t="str">
            <v>GONTOUGO</v>
          </cell>
          <cell r="M1679" t="str">
            <v>ABENGOUROU</v>
          </cell>
          <cell r="N1679" t="str">
            <v>UPCOUNTRY</v>
          </cell>
        </row>
        <row r="1680">
          <cell r="B1680" t="str">
            <v>ET655</v>
          </cell>
          <cell r="C1680" t="str">
            <v>SAFA-MANOIS</v>
          </cell>
          <cell r="D1680" t="str">
            <v>-6.037349</v>
          </cell>
          <cell r="E1680" t="str">
            <v>5.136643</v>
          </cell>
          <cell r="F1680" t="str">
            <v>2G/3G/4G</v>
          </cell>
          <cell r="G1680" t="str">
            <v>ERICSSON</v>
          </cell>
          <cell r="H1680" t="str">
            <v>MOOV</v>
          </cell>
          <cell r="I1680" t="str">
            <v>SAFA-MANOIS</v>
          </cell>
          <cell r="J1680" t="str">
            <v>DAKPADOU</v>
          </cell>
          <cell r="K1680" t="str">
            <v>SASSANDRA</v>
          </cell>
          <cell r="L1680" t="str">
            <v>GBOKLE</v>
          </cell>
          <cell r="M1680" t="str">
            <v>SAN-PEDRO</v>
          </cell>
          <cell r="N1680" t="str">
            <v>UPCOUNTRY</v>
          </cell>
        </row>
        <row r="1681">
          <cell r="B1681" t="str">
            <v>ET660</v>
          </cell>
          <cell r="C1681" t="str">
            <v>TAGADI</v>
          </cell>
          <cell r="D1681" t="str">
            <v>-2.626754</v>
          </cell>
          <cell r="E1681" t="str">
            <v>8.633578</v>
          </cell>
          <cell r="F1681" t="str">
            <v>2G/3G/4G</v>
          </cell>
          <cell r="G1681" t="str">
            <v>ERICSSON</v>
          </cell>
          <cell r="H1681" t="str">
            <v>MOOV</v>
          </cell>
          <cell r="I1681" t="str">
            <v>TAGADI</v>
          </cell>
          <cell r="J1681" t="str">
            <v>TAGADI</v>
          </cell>
          <cell r="K1681" t="str">
            <v>BONDOUKOU</v>
          </cell>
          <cell r="L1681" t="str">
            <v>GONTOUGO</v>
          </cell>
          <cell r="M1681" t="str">
            <v>ABENGOUROU</v>
          </cell>
          <cell r="N1681" t="str">
            <v>UPCOUNTRY</v>
          </cell>
        </row>
        <row r="1682">
          <cell r="B1682" t="str">
            <v>ET731</v>
          </cell>
          <cell r="C1682" t="str">
            <v>ANYAMA_ADJAME</v>
          </cell>
          <cell r="D1682" t="str">
            <v>-4.01418</v>
          </cell>
          <cell r="E1682" t="str">
            <v>5.47684</v>
          </cell>
          <cell r="F1682" t="str">
            <v>2G/3G/4G</v>
          </cell>
          <cell r="G1682" t="str">
            <v>ERICSSON</v>
          </cell>
          <cell r="H1682" t="str">
            <v>MOOV</v>
          </cell>
          <cell r="I1682" t="str">
            <v>ANYAMA</v>
          </cell>
          <cell r="J1682" t="str">
            <v>ANYAMA</v>
          </cell>
          <cell r="K1682" t="str">
            <v>ABIDJAN</v>
          </cell>
          <cell r="L1682" t="str">
            <v>ABIDJAN</v>
          </cell>
          <cell r="M1682" t="str">
            <v>ABOBO</v>
          </cell>
          <cell r="N1682" t="str">
            <v>ABIDJAN</v>
          </cell>
        </row>
        <row r="1683">
          <cell r="B1683" t="str">
            <v>ET753</v>
          </cell>
          <cell r="C1683" t="str">
            <v>BINGES_S3I</v>
          </cell>
          <cell r="D1683" t="str">
            <v>-3.887473</v>
          </cell>
          <cell r="E1683" t="str">
            <v>5.383237</v>
          </cell>
          <cell r="F1683" t="str">
            <v>2G/3G/4G</v>
          </cell>
          <cell r="G1683" t="str">
            <v>ERICSSON</v>
          </cell>
          <cell r="H1683" t="str">
            <v>MOOV</v>
          </cell>
          <cell r="I1683" t="str">
            <v>BINGERVILLE</v>
          </cell>
          <cell r="J1683" t="str">
            <v>BINGERVILLE</v>
          </cell>
          <cell r="K1683" t="str">
            <v>ABIDJAN</v>
          </cell>
          <cell r="L1683" t="str">
            <v>ABIDJAN</v>
          </cell>
          <cell r="M1683" t="str">
            <v>COCODY LATRILLE</v>
          </cell>
          <cell r="N1683" t="str">
            <v>ABIDJAN</v>
          </cell>
        </row>
        <row r="1684">
          <cell r="B1684" t="str">
            <v>ET817</v>
          </cell>
          <cell r="C1684" t="str">
            <v>ABOBO_4_CROIX</v>
          </cell>
          <cell r="D1684" t="str">
            <v>-3.978845</v>
          </cell>
          <cell r="E1684" t="str">
            <v>5.47993</v>
          </cell>
          <cell r="F1684" t="str">
            <v>2G/3G/4G</v>
          </cell>
          <cell r="G1684" t="str">
            <v>ERICSSON</v>
          </cell>
          <cell r="H1684" t="str">
            <v>MOOV</v>
          </cell>
          <cell r="I1684" t="str">
            <v>ABOBO</v>
          </cell>
          <cell r="J1684" t="str">
            <v>ABIDJAN</v>
          </cell>
          <cell r="K1684" t="str">
            <v>ABIDJAN</v>
          </cell>
          <cell r="L1684" t="str">
            <v>ABIDJAN</v>
          </cell>
          <cell r="M1684" t="str">
            <v>ABOBO</v>
          </cell>
          <cell r="N1684" t="str">
            <v>ABIDJAN</v>
          </cell>
        </row>
        <row r="1685">
          <cell r="B1685" t="str">
            <v>ET806</v>
          </cell>
          <cell r="C1685" t="str">
            <v>BONDOUKOU_UNIVERSITE</v>
          </cell>
          <cell r="D1685" t="str">
            <v>-2.788955</v>
          </cell>
          <cell r="E1685" t="str">
            <v>8.063336</v>
          </cell>
          <cell r="F1685" t="str">
            <v>2G/3G/4G</v>
          </cell>
          <cell r="G1685" t="str">
            <v>ERICSSON</v>
          </cell>
          <cell r="H1685" t="str">
            <v>MOOV</v>
          </cell>
          <cell r="I1685" t="str">
            <v>BONDOUKOU</v>
          </cell>
          <cell r="J1685" t="str">
            <v>BONDOUKOU</v>
          </cell>
          <cell r="K1685" t="str">
            <v>BONDOUKOU</v>
          </cell>
          <cell r="L1685" t="str">
            <v>GONTOUGO</v>
          </cell>
          <cell r="M1685" t="str">
            <v>ABENGOUROU</v>
          </cell>
          <cell r="N1685" t="str">
            <v>UPCOUNTRY</v>
          </cell>
        </row>
        <row r="1686">
          <cell r="B1686" t="str">
            <v>ET770</v>
          </cell>
          <cell r="C1686" t="str">
            <v>GREGUIBRE</v>
          </cell>
          <cell r="D1686" t="str">
            <v>-6.228027</v>
          </cell>
          <cell r="E1686" t="str">
            <v>5.255855</v>
          </cell>
          <cell r="F1686" t="str">
            <v>2G/3G/4G</v>
          </cell>
          <cell r="G1686" t="str">
            <v>ERICSSON</v>
          </cell>
          <cell r="H1686" t="str">
            <v>MOOV</v>
          </cell>
          <cell r="I1686" t="str">
            <v>GREGUIBRE</v>
          </cell>
          <cell r="J1686" t="str">
            <v>MEDON</v>
          </cell>
          <cell r="K1686" t="str">
            <v>SASSANDRA</v>
          </cell>
          <cell r="L1686" t="str">
            <v>GBOKLE</v>
          </cell>
          <cell r="M1686" t="str">
            <v>SAN-PEDRO</v>
          </cell>
          <cell r="N1686" t="str">
            <v>UPCOUNTRY</v>
          </cell>
        </row>
        <row r="1687">
          <cell r="B1687" t="str">
            <v>ET657</v>
          </cell>
          <cell r="C1687" t="str">
            <v>CFI-BAROKO</v>
          </cell>
          <cell r="D1687" t="str">
            <v>-5.169993</v>
          </cell>
          <cell r="E1687" t="str">
            <v>5.721983</v>
          </cell>
          <cell r="F1687" t="str">
            <v>2G/3G/4G</v>
          </cell>
          <cell r="G1687" t="str">
            <v>ERICSSON</v>
          </cell>
          <cell r="H1687" t="str">
            <v>MOOV</v>
          </cell>
          <cell r="I1687" t="str">
            <v>CFI-BAROKO</v>
          </cell>
          <cell r="J1687" t="str">
            <v>CHIEPO</v>
          </cell>
          <cell r="K1687" t="str">
            <v>DIVO</v>
          </cell>
          <cell r="L1687" t="str">
            <v>LOH-DJIBOUA</v>
          </cell>
          <cell r="M1687" t="str">
            <v>DIVO</v>
          </cell>
          <cell r="N1687" t="str">
            <v>UPCOUNTRY</v>
          </cell>
        </row>
        <row r="1688">
          <cell r="B1688" t="str">
            <v>ET813</v>
          </cell>
          <cell r="C1688" t="str">
            <v>ABOBO_GRACES</v>
          </cell>
          <cell r="D1688" t="str">
            <v>-4.00323</v>
          </cell>
          <cell r="E1688" t="str">
            <v>5.43608</v>
          </cell>
          <cell r="F1688" t="str">
            <v>2G/3G/4G</v>
          </cell>
          <cell r="G1688" t="str">
            <v>ERICSSON</v>
          </cell>
          <cell r="H1688" t="str">
            <v>MOOV</v>
          </cell>
          <cell r="I1688" t="str">
            <v>ABOBO</v>
          </cell>
          <cell r="J1688" t="str">
            <v>ABIDJAN</v>
          </cell>
          <cell r="K1688" t="str">
            <v>ABIDJAN</v>
          </cell>
          <cell r="L1688" t="str">
            <v>ABIDJAN</v>
          </cell>
          <cell r="M1688" t="str">
            <v>ABOBO</v>
          </cell>
          <cell r="N1688" t="str">
            <v>ABIDJAN</v>
          </cell>
        </row>
        <row r="1689">
          <cell r="B1689" t="str">
            <v>ET782</v>
          </cell>
          <cell r="C1689" t="str">
            <v>ANANI_2_AFRIQUIA</v>
          </cell>
          <cell r="D1689" t="str">
            <v>-3.85863</v>
          </cell>
          <cell r="E1689" t="str">
            <v>5.23286</v>
          </cell>
          <cell r="F1689" t="str">
            <v>2G/3G/4G</v>
          </cell>
          <cell r="G1689" t="str">
            <v>HUAWEI</v>
          </cell>
          <cell r="H1689" t="str">
            <v>MOOV</v>
          </cell>
          <cell r="I1689" t="str">
            <v>PORT-BOUET</v>
          </cell>
          <cell r="J1689" t="str">
            <v>ABIDJAN</v>
          </cell>
          <cell r="K1689" t="str">
            <v>ABIDJAN</v>
          </cell>
          <cell r="L1689" t="str">
            <v>ABIDJAN</v>
          </cell>
          <cell r="M1689" t="str">
            <v>MARCORY</v>
          </cell>
          <cell r="N1689" t="str">
            <v>ABIDJAN</v>
          </cell>
        </row>
        <row r="1690">
          <cell r="B1690" t="str">
            <v>ET825</v>
          </cell>
          <cell r="C1690" t="str">
            <v>BONOUA_BRONOUKRO</v>
          </cell>
          <cell r="D1690" t="str">
            <v>-3.57367</v>
          </cell>
          <cell r="E1690" t="str">
            <v>5.269147</v>
          </cell>
          <cell r="F1690" t="str">
            <v>2G/3G/4G</v>
          </cell>
          <cell r="G1690" t="str">
            <v>HUAWEI</v>
          </cell>
          <cell r="H1690" t="str">
            <v>MOOV</v>
          </cell>
          <cell r="I1690" t="str">
            <v>BONOUA</v>
          </cell>
          <cell r="J1690" t="str">
            <v>BONOUA</v>
          </cell>
          <cell r="K1690" t="str">
            <v>GRAND-BASSAM</v>
          </cell>
          <cell r="L1690" t="str">
            <v>SUD-COMOE</v>
          </cell>
          <cell r="M1690" t="str">
            <v>MARCORY</v>
          </cell>
          <cell r="N1690" t="str">
            <v>UPCOUNTRY</v>
          </cell>
        </row>
        <row r="1691">
          <cell r="B1691" t="str">
            <v>ET726</v>
          </cell>
          <cell r="C1691" t="str">
            <v>PBOUET_SELMER</v>
          </cell>
          <cell r="D1691" t="str">
            <v>-3.959389</v>
          </cell>
          <cell r="E1691" t="str">
            <v>5.25759</v>
          </cell>
          <cell r="F1691" t="str">
            <v>2G/3G/4G</v>
          </cell>
          <cell r="G1691" t="str">
            <v>HUAWEI</v>
          </cell>
          <cell r="H1691" t="str">
            <v>MOOV</v>
          </cell>
          <cell r="I1691" t="str">
            <v>PORT-BOUET</v>
          </cell>
          <cell r="J1691" t="str">
            <v>ABIDJAN</v>
          </cell>
          <cell r="K1691" t="str">
            <v>ABIDJAN</v>
          </cell>
          <cell r="L1691" t="str">
            <v>ABIDJAN</v>
          </cell>
          <cell r="M1691" t="str">
            <v>MARCORY</v>
          </cell>
          <cell r="N1691" t="str">
            <v>ABIDJAN</v>
          </cell>
        </row>
        <row r="1692">
          <cell r="B1692" t="str">
            <v>ET805</v>
          </cell>
          <cell r="C1692" t="str">
            <v>YAOKRO</v>
          </cell>
          <cell r="D1692" t="str">
            <v>-5.840175</v>
          </cell>
          <cell r="E1692" t="str">
            <v>6.720568</v>
          </cell>
          <cell r="F1692" t="str">
            <v>2G/3G/4G</v>
          </cell>
          <cell r="G1692" t="str">
            <v>HUAWEI</v>
          </cell>
          <cell r="H1692" t="str">
            <v>MOOV</v>
          </cell>
          <cell r="I1692" t="str">
            <v>YAOKRO</v>
          </cell>
          <cell r="J1692" t="str">
            <v>SINFRA</v>
          </cell>
          <cell r="K1692" t="str">
            <v>SINFRA</v>
          </cell>
          <cell r="L1692" t="str">
            <v>MARAHOUE</v>
          </cell>
          <cell r="M1692" t="str">
            <v>GAGNOA</v>
          </cell>
          <cell r="N1692" t="str">
            <v>UPCOUNTRY</v>
          </cell>
        </row>
        <row r="1693">
          <cell r="B1693" t="str">
            <v>ET757</v>
          </cell>
          <cell r="C1693" t="str">
            <v>MANKONO_MOUESSOLA</v>
          </cell>
          <cell r="D1693" t="str">
            <v>-6.166092</v>
          </cell>
          <cell r="E1693" t="str">
            <v>8.068075</v>
          </cell>
          <cell r="F1693" t="str">
            <v>2G/3G/4G</v>
          </cell>
          <cell r="G1693" t="str">
            <v>HUAWEI</v>
          </cell>
          <cell r="H1693" t="str">
            <v>MOOV</v>
          </cell>
          <cell r="I1693" t="str">
            <v>MANKONO</v>
          </cell>
          <cell r="J1693" t="str">
            <v>MANKONO</v>
          </cell>
          <cell r="K1693" t="str">
            <v>MANKONO</v>
          </cell>
          <cell r="L1693" t="str">
            <v>BERE</v>
          </cell>
          <cell r="M1693" t="str">
            <v>BOUAKE</v>
          </cell>
          <cell r="N1693" t="str">
            <v>UPCOUNTRY</v>
          </cell>
        </row>
        <row r="1694">
          <cell r="B1694" t="str">
            <v>ET754</v>
          </cell>
          <cell r="C1694" t="str">
            <v>SASSAKO_BEGNINI</v>
          </cell>
          <cell r="D1694" t="str">
            <v>-4.278324</v>
          </cell>
          <cell r="E1694" t="str">
            <v>5.220886</v>
          </cell>
          <cell r="F1694" t="str">
            <v>2G/3G/4G</v>
          </cell>
          <cell r="G1694" t="str">
            <v>ERICSSON</v>
          </cell>
          <cell r="H1694" t="str">
            <v>MOOV</v>
          </cell>
          <cell r="I1694" t="str">
            <v>SASSAKO_BEGNINI</v>
          </cell>
          <cell r="J1694" t="str">
            <v>JACQUEVILLE</v>
          </cell>
          <cell r="K1694" t="str">
            <v>JACQUEVILLE</v>
          </cell>
          <cell r="L1694" t="str">
            <v>GRANDS-PONTS</v>
          </cell>
          <cell r="M1694" t="str">
            <v>YOPOUGON FICGAYO</v>
          </cell>
          <cell r="N1694" t="str">
            <v>UPCOUNTRY</v>
          </cell>
        </row>
        <row r="1695">
          <cell r="B1695" t="str">
            <v>ET641</v>
          </cell>
          <cell r="C1695" t="str">
            <v>DIANGOBO</v>
          </cell>
          <cell r="D1695" t="str">
            <v>-3.64251</v>
          </cell>
          <cell r="E1695" t="str">
            <v>6.1439</v>
          </cell>
          <cell r="F1695" t="str">
            <v>2G/3G/4G</v>
          </cell>
          <cell r="G1695" t="str">
            <v>ERICSSON</v>
          </cell>
          <cell r="H1695" t="str">
            <v>MOOV</v>
          </cell>
          <cell r="I1695" t="str">
            <v>DIANGOBO</v>
          </cell>
          <cell r="J1695" t="str">
            <v>YAKASSE-ATTOBROU</v>
          </cell>
          <cell r="K1695" t="str">
            <v>YAKASSE-ATTOBROU</v>
          </cell>
          <cell r="L1695" t="str">
            <v>LA ME</v>
          </cell>
          <cell r="M1695" t="str">
            <v>ABENGOUROU</v>
          </cell>
          <cell r="N1695" t="str">
            <v>UPCOUNTRY</v>
          </cell>
        </row>
        <row r="1696">
          <cell r="B1696" t="str">
            <v>ET628</v>
          </cell>
          <cell r="C1696" t="str">
            <v>KOHOUROU</v>
          </cell>
          <cell r="D1696" t="str">
            <v>-3.333948</v>
          </cell>
          <cell r="E1696" t="str">
            <v>5.477711</v>
          </cell>
          <cell r="F1696" t="str">
            <v>2G/3G/4G</v>
          </cell>
          <cell r="G1696" t="str">
            <v>ERICSSON</v>
          </cell>
          <cell r="H1696" t="str">
            <v>MOOV</v>
          </cell>
          <cell r="I1696" t="str">
            <v>KOHOUROU</v>
          </cell>
          <cell r="J1696" t="str">
            <v>ABOISSO</v>
          </cell>
          <cell r="K1696" t="str">
            <v>ABOISSO</v>
          </cell>
          <cell r="L1696" t="str">
            <v>SUD-COMOE</v>
          </cell>
          <cell r="M1696" t="str">
            <v>MARCORY</v>
          </cell>
          <cell r="N1696" t="str">
            <v>UPCOUNTRY</v>
          </cell>
        </row>
        <row r="1697">
          <cell r="B1697" t="str">
            <v>ET762</v>
          </cell>
          <cell r="C1697" t="str">
            <v>BOUAFLE_PORT-BOUET</v>
          </cell>
          <cell r="D1697" t="str">
            <v>-5.73177</v>
          </cell>
          <cell r="E1697" t="str">
            <v>6.97242</v>
          </cell>
          <cell r="F1697" t="str">
            <v>2G/3G/4G</v>
          </cell>
          <cell r="G1697" t="str">
            <v>HUAWEI</v>
          </cell>
          <cell r="H1697" t="str">
            <v>MOOV</v>
          </cell>
          <cell r="I1697" t="str">
            <v>BOUAFLE</v>
          </cell>
          <cell r="J1697" t="str">
            <v>BOUAFLE</v>
          </cell>
          <cell r="K1697" t="str">
            <v>BOUAFLE</v>
          </cell>
          <cell r="L1697" t="str">
            <v>MARAHOUE</v>
          </cell>
          <cell r="M1697" t="str">
            <v>YAMOUSSOUKRO</v>
          </cell>
          <cell r="N1697" t="str">
            <v>UPCOUNTRY</v>
          </cell>
        </row>
        <row r="1698">
          <cell r="B1698" t="str">
            <v>ET653</v>
          </cell>
          <cell r="C1698" t="str">
            <v>DEDIAFLA</v>
          </cell>
          <cell r="D1698" t="str">
            <v>-6.588217</v>
          </cell>
          <cell r="E1698" t="str">
            <v>7.283916</v>
          </cell>
          <cell r="F1698" t="str">
            <v>2G/3G/4G</v>
          </cell>
          <cell r="G1698" t="str">
            <v>HUAWEI</v>
          </cell>
          <cell r="H1698" t="str">
            <v>MOOV</v>
          </cell>
          <cell r="I1698" t="str">
            <v>DEDIAFLA</v>
          </cell>
          <cell r="J1698" t="str">
            <v>KETRO BASSAM</v>
          </cell>
          <cell r="K1698" t="str">
            <v>VAVOUA</v>
          </cell>
          <cell r="L1698" t="str">
            <v>HAUT-SASSANDRA</v>
          </cell>
          <cell r="M1698" t="str">
            <v>DALOA</v>
          </cell>
          <cell r="N1698" t="str">
            <v>UPCOUNTRY</v>
          </cell>
        </row>
        <row r="1699">
          <cell r="B1699" t="str">
            <v>ET916</v>
          </cell>
          <cell r="C1699" t="str">
            <v>STADE_FELICIA</v>
          </cell>
          <cell r="D1699" t="str">
            <v>-4.018052</v>
          </cell>
          <cell r="E1699" t="str">
            <v>5.32667</v>
          </cell>
          <cell r="F1699" t="str">
            <v>2G/3G/4G</v>
          </cell>
          <cell r="G1699" t="str">
            <v>ERICSSON</v>
          </cell>
          <cell r="H1699" t="str">
            <v>IHS</v>
          </cell>
          <cell r="I1699" t="str">
            <v>PLATEAU</v>
          </cell>
          <cell r="J1699" t="str">
            <v>ABIDJAN</v>
          </cell>
          <cell r="K1699" t="str">
            <v>ABIDJAN</v>
          </cell>
          <cell r="L1699" t="str">
            <v>ABIDJAN</v>
          </cell>
          <cell r="M1699" t="str">
            <v>PLATEAU</v>
          </cell>
          <cell r="N1699" t="str">
            <v>ABIDJAN</v>
          </cell>
        </row>
        <row r="1700">
          <cell r="B1700" t="str">
            <v>ET779</v>
          </cell>
          <cell r="C1700" t="str">
            <v>ZEREGBO</v>
          </cell>
          <cell r="D1700" t="str">
            <v>-7.90219</v>
          </cell>
          <cell r="E1700" t="str">
            <v>7.07023</v>
          </cell>
          <cell r="F1700" t="str">
            <v>2G/3G/4G</v>
          </cell>
          <cell r="G1700" t="str">
            <v>HUAWEI</v>
          </cell>
          <cell r="H1700" t="str">
            <v>MOOV</v>
          </cell>
          <cell r="I1700" t="str">
            <v>ZEREGBO</v>
          </cell>
          <cell r="J1700" t="str">
            <v>ZOU</v>
          </cell>
          <cell r="K1700" t="str">
            <v>BANGOLO</v>
          </cell>
          <cell r="L1700" t="str">
            <v>GUEMON</v>
          </cell>
          <cell r="M1700" t="str">
            <v>MAN</v>
          </cell>
          <cell r="N1700" t="str">
            <v>UPCOUNTRY</v>
          </cell>
        </row>
        <row r="1701">
          <cell r="B1701" t="str">
            <v>ET739</v>
          </cell>
          <cell r="C1701" t="str">
            <v>YOP_4ème_PONT</v>
          </cell>
          <cell r="D1701" t="str">
            <v>-4.040984</v>
          </cell>
          <cell r="E1701" t="str">
            <v>5.33449</v>
          </cell>
          <cell r="F1701" t="str">
            <v>2G/3G/4G</v>
          </cell>
          <cell r="G1701" t="str">
            <v>ERICSSON</v>
          </cell>
          <cell r="H1701" t="str">
            <v>MTN</v>
          </cell>
          <cell r="I1701" t="str">
            <v>YOPOUGON</v>
          </cell>
          <cell r="J1701" t="str">
            <v>ABIDJAN</v>
          </cell>
          <cell r="K1701" t="str">
            <v>ABIDJAN</v>
          </cell>
          <cell r="L1701" t="str">
            <v>ABIDJAN</v>
          </cell>
          <cell r="M1701" t="str">
            <v>YOPOUGON SABLE</v>
          </cell>
          <cell r="N1701" t="str">
            <v>ABIDJAN</v>
          </cell>
        </row>
        <row r="1702">
          <cell r="B1702" t="str">
            <v>ET826</v>
          </cell>
          <cell r="C1702" t="str">
            <v>ROSIER_BELLE_COTE</v>
          </cell>
          <cell r="D1702" t="str">
            <v>-3.96959</v>
          </cell>
          <cell r="E1702" t="str">
            <v>5.38739</v>
          </cell>
          <cell r="F1702" t="str">
            <v>2G/3G/4G</v>
          </cell>
          <cell r="G1702" t="str">
            <v>ERICSSON</v>
          </cell>
          <cell r="H1702" t="str">
            <v>MOOV</v>
          </cell>
          <cell r="I1702" t="str">
            <v>COCODY</v>
          </cell>
          <cell r="J1702" t="str">
            <v>ABIDJAN</v>
          </cell>
          <cell r="K1702" t="str">
            <v>ABIDJAN</v>
          </cell>
          <cell r="L1702" t="str">
            <v>ABIDJAN</v>
          </cell>
          <cell r="M1702" t="str">
            <v>COCODY LATRILLE</v>
          </cell>
          <cell r="N1702" t="str">
            <v>ABIDJAN</v>
          </cell>
        </row>
        <row r="1703">
          <cell r="B1703" t="str">
            <v>ET744</v>
          </cell>
          <cell r="C1703" t="str">
            <v>BINGES_LYS DE PHOENIX</v>
          </cell>
          <cell r="D1703" t="str">
            <v>-3.83532</v>
          </cell>
          <cell r="E1703" t="str">
            <v>5.32452</v>
          </cell>
          <cell r="F1703" t="str">
            <v>2G/3G/4G</v>
          </cell>
          <cell r="G1703" t="str">
            <v>ERICSSON</v>
          </cell>
          <cell r="H1703" t="str">
            <v>MOOV</v>
          </cell>
          <cell r="I1703" t="str">
            <v>BINGERVILLE</v>
          </cell>
          <cell r="J1703" t="str">
            <v>BINGERVILLE</v>
          </cell>
          <cell r="K1703" t="str">
            <v>ABIDJAN</v>
          </cell>
          <cell r="L1703" t="str">
            <v>ABIDJAN</v>
          </cell>
          <cell r="M1703" t="str">
            <v>COCODY LATRILLE</v>
          </cell>
          <cell r="N1703" t="str">
            <v>ABIDJAN</v>
          </cell>
        </row>
        <row r="1704">
          <cell r="B1704" t="str">
            <v>ET912</v>
          </cell>
          <cell r="C1704" t="str">
            <v>YOP_BELAIR</v>
          </cell>
          <cell r="D1704" t="str">
            <v>-4.064085</v>
          </cell>
          <cell r="E1704" t="str">
            <v>5.345492</v>
          </cell>
          <cell r="F1704" t="str">
            <v>2G/3G/4G</v>
          </cell>
          <cell r="G1704" t="str">
            <v>ERICSSON</v>
          </cell>
          <cell r="H1704" t="str">
            <v>MOOV</v>
          </cell>
          <cell r="I1704" t="str">
            <v>YOPOUGON</v>
          </cell>
          <cell r="J1704" t="str">
            <v>ABIDJAN</v>
          </cell>
          <cell r="K1704" t="str">
            <v>ABIDJAN</v>
          </cell>
          <cell r="L1704" t="str">
            <v>ABIDJAN</v>
          </cell>
          <cell r="M1704" t="str">
            <v>YOPOUGON SABLE</v>
          </cell>
          <cell r="N1704" t="str">
            <v>ABIDJAN</v>
          </cell>
        </row>
        <row r="1705">
          <cell r="B1705" t="str">
            <v>ET899</v>
          </cell>
          <cell r="C1705" t="str">
            <v>YOBOUA-ALLANIKRO</v>
          </cell>
          <cell r="D1705" t="str">
            <v>-4.83477</v>
          </cell>
          <cell r="E1705" t="str">
            <v>6.965883</v>
          </cell>
          <cell r="F1705" t="str">
            <v>2G/3G/4G</v>
          </cell>
          <cell r="G1705" t="str">
            <v>HUAWEI</v>
          </cell>
          <cell r="H1705" t="str">
            <v>MOOV</v>
          </cell>
          <cell r="I1705" t="str">
            <v>YOBOUA-ALLANIKRO</v>
          </cell>
          <cell r="J1705" t="str">
            <v>DIDIEVI</v>
          </cell>
          <cell r="K1705" t="str">
            <v>DIDIEVI</v>
          </cell>
          <cell r="L1705" t="str">
            <v>BELIER</v>
          </cell>
          <cell r="M1705" t="str">
            <v>YAMOUSSOUKRO</v>
          </cell>
          <cell r="N1705" t="str">
            <v>UPCOUNTRY</v>
          </cell>
        </row>
        <row r="1706">
          <cell r="B1706" t="str">
            <v>ET898</v>
          </cell>
          <cell r="C1706" t="str">
            <v>KONANKRO</v>
          </cell>
          <cell r="D1706" t="str">
            <v>-5.339258</v>
          </cell>
          <cell r="E1706" t="str">
            <v>7.390895</v>
          </cell>
          <cell r="F1706" t="str">
            <v>2G/3G/4G</v>
          </cell>
          <cell r="G1706" t="str">
            <v>HUAWEI</v>
          </cell>
          <cell r="H1706" t="str">
            <v>MOOV</v>
          </cell>
          <cell r="I1706" t="str">
            <v>KONANKRO</v>
          </cell>
          <cell r="J1706" t="str">
            <v>SAKASSOU</v>
          </cell>
          <cell r="K1706" t="str">
            <v>SAKASSOU</v>
          </cell>
          <cell r="L1706" t="str">
            <v>GBEKE</v>
          </cell>
          <cell r="M1706" t="str">
            <v>BOUAKE</v>
          </cell>
          <cell r="N1706" t="str">
            <v>UPCOUNTRY</v>
          </cell>
        </row>
        <row r="1707">
          <cell r="B1707" t="str">
            <v>ET920</v>
          </cell>
          <cell r="C1707" t="str">
            <v>BKE_OIC</v>
          </cell>
          <cell r="D1707" t="str">
            <v>-5.046842</v>
          </cell>
          <cell r="E1707" t="str">
            <v>7.682675</v>
          </cell>
          <cell r="F1707" t="str">
            <v>2G/3G/4G/5G</v>
          </cell>
          <cell r="G1707" t="str">
            <v>HUAWEI</v>
          </cell>
          <cell r="H1707" t="str">
            <v>MOOV</v>
          </cell>
          <cell r="I1707" t="str">
            <v>BOUAKE</v>
          </cell>
          <cell r="J1707" t="str">
            <v>BOUAKE</v>
          </cell>
          <cell r="K1707" t="str">
            <v>BOUAKE</v>
          </cell>
          <cell r="L1707" t="str">
            <v>GBEKE</v>
          </cell>
          <cell r="M1707" t="str">
            <v>BOUAKE</v>
          </cell>
          <cell r="N1707" t="str">
            <v>UPCOUNTRY</v>
          </cell>
        </row>
        <row r="1708">
          <cell r="B1708" t="str">
            <v>ET917</v>
          </cell>
          <cell r="C1708" t="str">
            <v>MOBILE_SP_AEROPORT</v>
          </cell>
          <cell r="D1708" t="str">
            <v>-6.654903</v>
          </cell>
          <cell r="E1708" t="str">
            <v>4.747165</v>
          </cell>
          <cell r="F1708" t="str">
            <v>2G/3G/4G</v>
          </cell>
          <cell r="G1708" t="str">
            <v>ERICSSON</v>
          </cell>
          <cell r="H1708" t="str">
            <v>MOOV</v>
          </cell>
          <cell r="I1708" t="str">
            <v>SAN-PEDRO</v>
          </cell>
          <cell r="J1708" t="str">
            <v>SAN-PEDRO</v>
          </cell>
          <cell r="K1708" t="str">
            <v>SAN-PEDRO</v>
          </cell>
          <cell r="L1708" t="str">
            <v>SAN-PEDRO</v>
          </cell>
          <cell r="M1708" t="str">
            <v>SAN-PEDRO</v>
          </cell>
          <cell r="N1708" t="str">
            <v>UPCOUNTRY</v>
          </cell>
        </row>
        <row r="1709">
          <cell r="B1709" t="str">
            <v>ET766</v>
          </cell>
          <cell r="C1709" t="str">
            <v>BASSAM_FOYERDESJEUNES</v>
          </cell>
          <cell r="D1709" t="str">
            <v>-3.76471</v>
          </cell>
          <cell r="E1709" t="str">
            <v>5.21625</v>
          </cell>
          <cell r="F1709" t="str">
            <v>2G/3G/4G</v>
          </cell>
          <cell r="G1709" t="str">
            <v>HUAWEI</v>
          </cell>
          <cell r="H1709" t="str">
            <v>MOOV</v>
          </cell>
          <cell r="I1709" t="str">
            <v>GRAND-BASSAM</v>
          </cell>
          <cell r="J1709" t="str">
            <v>GRAND-BASSAM</v>
          </cell>
          <cell r="K1709" t="str">
            <v>GRAND-BASSAM</v>
          </cell>
          <cell r="L1709" t="str">
            <v>SUD-COMOE</v>
          </cell>
          <cell r="M1709" t="str">
            <v>MARCORY</v>
          </cell>
          <cell r="N1709" t="str">
            <v>UPCOUNTRY</v>
          </cell>
        </row>
        <row r="1710">
          <cell r="B1710" t="str">
            <v>ET751</v>
          </cell>
          <cell r="C1710" t="str">
            <v xml:space="preserve">ANANI_COCOTERAIE_2 </v>
          </cell>
          <cell r="D1710" t="str">
            <v>-3.87082</v>
          </cell>
          <cell r="E1710" t="str">
            <v>5.25137</v>
          </cell>
          <cell r="F1710" t="str">
            <v>2G/3G/4G</v>
          </cell>
          <cell r="G1710" t="str">
            <v>HUAWEI</v>
          </cell>
          <cell r="H1710" t="str">
            <v>MOOV</v>
          </cell>
          <cell r="I1710" t="str">
            <v>PORT-BOUET</v>
          </cell>
          <cell r="J1710" t="str">
            <v>ABIDJAN</v>
          </cell>
          <cell r="K1710" t="str">
            <v>ABIDJAN</v>
          </cell>
          <cell r="L1710" t="str">
            <v>ABIDJAN</v>
          </cell>
          <cell r="M1710" t="str">
            <v>MARCORY</v>
          </cell>
          <cell r="N1710" t="str">
            <v>ABIDJAN</v>
          </cell>
        </row>
        <row r="1711">
          <cell r="B1711" t="str">
            <v>ET970</v>
          </cell>
          <cell r="C1711" t="str">
            <v>GONZAG_NORD</v>
          </cell>
          <cell r="D1711" t="str">
            <v>-3.911228</v>
          </cell>
          <cell r="E1711" t="str">
            <v>5.25602</v>
          </cell>
          <cell r="F1711" t="str">
            <v>2G/3G/4G</v>
          </cell>
          <cell r="G1711" t="str">
            <v>HUAWEI</v>
          </cell>
          <cell r="H1711" t="str">
            <v>MOOV</v>
          </cell>
          <cell r="I1711" t="str">
            <v>PORT-BOUET</v>
          </cell>
          <cell r="J1711" t="str">
            <v>ABIDJAN</v>
          </cell>
          <cell r="K1711" t="str">
            <v>ABIDJAN</v>
          </cell>
          <cell r="L1711" t="str">
            <v>ABIDJAN</v>
          </cell>
          <cell r="M1711" t="str">
            <v>MARCORY</v>
          </cell>
          <cell r="N1711" t="str">
            <v>ABIDJAN</v>
          </cell>
        </row>
        <row r="1712">
          <cell r="B1712" t="str">
            <v>ET971</v>
          </cell>
          <cell r="C1712" t="str">
            <v>GONZAG_ST_LOUIS</v>
          </cell>
          <cell r="D1712" t="str">
            <v>-3.90239</v>
          </cell>
          <cell r="E1712" t="str">
            <v>5.241226</v>
          </cell>
          <cell r="F1712" t="str">
            <v>2G/3G/4G</v>
          </cell>
          <cell r="G1712" t="str">
            <v>HUAWEI</v>
          </cell>
          <cell r="H1712" t="str">
            <v>MOOV</v>
          </cell>
          <cell r="I1712" t="str">
            <v>PORT-BOUET</v>
          </cell>
          <cell r="J1712" t="str">
            <v>ABIDJAN</v>
          </cell>
          <cell r="K1712" t="str">
            <v>ABIDJAN</v>
          </cell>
          <cell r="L1712" t="str">
            <v>ABIDJAN</v>
          </cell>
          <cell r="M1712" t="str">
            <v>MARCORY</v>
          </cell>
          <cell r="N1712" t="str">
            <v>ABIDJAN</v>
          </cell>
        </row>
        <row r="1713">
          <cell r="B1713" t="str">
            <v>ET771</v>
          </cell>
          <cell r="C1713" t="str">
            <v>GONZAGUE_ 2POTEAUX</v>
          </cell>
          <cell r="D1713" t="str">
            <v>-3.89639</v>
          </cell>
          <cell r="E1713" t="str">
            <v>5.26299</v>
          </cell>
          <cell r="F1713" t="str">
            <v>2G/3G/4G</v>
          </cell>
          <cell r="G1713" t="str">
            <v>HUAWEI</v>
          </cell>
          <cell r="H1713" t="str">
            <v>MOOV</v>
          </cell>
          <cell r="I1713" t="str">
            <v>PORT-BOUET</v>
          </cell>
          <cell r="J1713" t="str">
            <v>ABIDJAN</v>
          </cell>
          <cell r="K1713" t="str">
            <v>ABIDJAN</v>
          </cell>
          <cell r="L1713" t="str">
            <v>ABIDJAN</v>
          </cell>
          <cell r="M1713" t="str">
            <v>MARCORY</v>
          </cell>
          <cell r="N1713" t="str">
            <v>ABIDJAN</v>
          </cell>
        </row>
        <row r="1714">
          <cell r="B1714" t="str">
            <v>ET923</v>
          </cell>
          <cell r="C1714" t="str">
            <v>ASSINIE_PRESIDENCE</v>
          </cell>
          <cell r="D1714" t="str">
            <v>-3.37994</v>
          </cell>
          <cell r="E1714" t="str">
            <v>5.14565</v>
          </cell>
          <cell r="F1714" t="str">
            <v>2G/3G/4G</v>
          </cell>
          <cell r="G1714" t="str">
            <v>HUAWEI</v>
          </cell>
          <cell r="H1714" t="str">
            <v>PRESIDENCE</v>
          </cell>
          <cell r="I1714" t="str">
            <v>ASSINIE</v>
          </cell>
          <cell r="J1714" t="str">
            <v>ASSINIE-MAFIA</v>
          </cell>
          <cell r="K1714" t="str">
            <v>ADIAKE</v>
          </cell>
          <cell r="L1714" t="str">
            <v>SUD-COMOE</v>
          </cell>
          <cell r="M1714" t="str">
            <v>MARCORY</v>
          </cell>
          <cell r="N1714" t="str">
            <v>UPCOUNTRY</v>
          </cell>
        </row>
        <row r="1715">
          <cell r="B1715" t="str">
            <v>ET969</v>
          </cell>
          <cell r="C1715" t="str">
            <v>GONZAG_COCOTERAIE</v>
          </cell>
          <cell r="D1715" t="str">
            <v>-3.887291</v>
          </cell>
          <cell r="E1715" t="str">
            <v>5.247149</v>
          </cell>
          <cell r="F1715" t="str">
            <v>2G/3G/4G</v>
          </cell>
          <cell r="G1715" t="str">
            <v>HUAWEI</v>
          </cell>
          <cell r="H1715" t="str">
            <v>MOOV</v>
          </cell>
          <cell r="I1715" t="str">
            <v>PORT-BOUET</v>
          </cell>
          <cell r="J1715" t="str">
            <v>ABIDJAN</v>
          </cell>
          <cell r="K1715" t="str">
            <v>ABIDJAN</v>
          </cell>
          <cell r="L1715" t="str">
            <v>ABIDJAN</v>
          </cell>
          <cell r="M1715" t="str">
            <v>MARCORY</v>
          </cell>
          <cell r="N1715" t="str">
            <v>ABIDJAN</v>
          </cell>
        </row>
        <row r="1716">
          <cell r="B1716" t="str">
            <v>ET972</v>
          </cell>
          <cell r="C1716" t="str">
            <v>PB_PHCIE_ATLANTIQUE</v>
          </cell>
          <cell r="D1716" t="str">
            <v>-3.964017</v>
          </cell>
          <cell r="E1716" t="str">
            <v>5.254767</v>
          </cell>
          <cell r="F1716" t="str">
            <v>2G/3G/4G</v>
          </cell>
          <cell r="G1716" t="str">
            <v>HUAWEI</v>
          </cell>
          <cell r="H1716" t="str">
            <v>MOOV</v>
          </cell>
          <cell r="I1716" t="str">
            <v>PORT-BOUET</v>
          </cell>
          <cell r="J1716" t="str">
            <v>ABIDJAN</v>
          </cell>
          <cell r="K1716" t="str">
            <v>ABIDJAN</v>
          </cell>
          <cell r="L1716" t="str">
            <v>ABIDJAN</v>
          </cell>
          <cell r="M1716" t="str">
            <v>MARCORY</v>
          </cell>
          <cell r="N1716" t="str">
            <v>ABIDJAN</v>
          </cell>
        </row>
        <row r="1717">
          <cell r="B1717" t="str">
            <v>ET680</v>
          </cell>
          <cell r="C1717" t="str">
            <v>NEW_NITORO</v>
          </cell>
          <cell r="D1717" t="str">
            <v>-6.635775</v>
          </cell>
          <cell r="E1717" t="str">
            <v>4.745305</v>
          </cell>
          <cell r="F1717" t="str">
            <v>2G/3G/4G</v>
          </cell>
          <cell r="G1717" t="str">
            <v>ERICSSON</v>
          </cell>
          <cell r="H1717" t="str">
            <v>MOOV</v>
          </cell>
          <cell r="I1717" t="str">
            <v>SAN-PEDRO</v>
          </cell>
          <cell r="J1717" t="str">
            <v>SAN-PEDRO</v>
          </cell>
          <cell r="K1717" t="str">
            <v>SAN-PEDRO</v>
          </cell>
          <cell r="L1717" t="str">
            <v>SAN-PEDRO</v>
          </cell>
          <cell r="M1717" t="str">
            <v>SAN-PEDRO</v>
          </cell>
          <cell r="N1717" t="str">
            <v>UPCOUNTRY</v>
          </cell>
        </row>
        <row r="1718">
          <cell r="B1718" t="str">
            <v>ET743</v>
          </cell>
          <cell r="C1718" t="str">
            <v>GONZAGUE_ SIABA</v>
          </cell>
          <cell r="D1718" t="str">
            <v>-3.90859</v>
          </cell>
          <cell r="E1718" t="str">
            <v>5.25443</v>
          </cell>
          <cell r="F1718" t="str">
            <v>2G/3G/4G</v>
          </cell>
          <cell r="G1718" t="str">
            <v>HUAWEI</v>
          </cell>
          <cell r="H1718" t="str">
            <v>MOOV</v>
          </cell>
          <cell r="I1718" t="str">
            <v>PORT-BOUET</v>
          </cell>
          <cell r="J1718" t="str">
            <v>ABIDJAN</v>
          </cell>
          <cell r="K1718" t="str">
            <v>ABIDJAN</v>
          </cell>
          <cell r="L1718" t="str">
            <v>ABIDJAN</v>
          </cell>
          <cell r="M1718" t="str">
            <v>MARCORY</v>
          </cell>
          <cell r="N1718" t="str">
            <v>ABIDJAN</v>
          </cell>
        </row>
        <row r="1719">
          <cell r="B1719" t="str">
            <v>ET812</v>
          </cell>
          <cell r="C1719" t="str">
            <v>BONDOUKOU_RTE_GOLI</v>
          </cell>
          <cell r="D1719" t="str">
            <v>-2.8233</v>
          </cell>
          <cell r="E1719" t="str">
            <v>8.0581</v>
          </cell>
          <cell r="F1719" t="str">
            <v>2G/3G/4G</v>
          </cell>
          <cell r="G1719" t="str">
            <v>ERICSSON</v>
          </cell>
          <cell r="H1719" t="str">
            <v>MOOV</v>
          </cell>
          <cell r="I1719" t="str">
            <v>BONDOUKOU</v>
          </cell>
          <cell r="J1719" t="str">
            <v>BONDOUKOU</v>
          </cell>
          <cell r="K1719" t="str">
            <v>BONDOUKOU</v>
          </cell>
          <cell r="L1719" t="str">
            <v>GONTOUGO</v>
          </cell>
          <cell r="M1719" t="str">
            <v>ABENGOUROU</v>
          </cell>
          <cell r="N1719" t="str">
            <v>UPCOUNTRY</v>
          </cell>
        </row>
        <row r="1720">
          <cell r="B1720" t="str">
            <v>ET769</v>
          </cell>
          <cell r="C1720" t="str">
            <v xml:space="preserve">KOUAMEKRO
</v>
          </cell>
          <cell r="D1720" t="str">
            <v>-5.0319</v>
          </cell>
          <cell r="E1720" t="str">
            <v>5.93024</v>
          </cell>
          <cell r="F1720" t="str">
            <v>2G/3G/4G</v>
          </cell>
          <cell r="G1720" t="str">
            <v>ERICSSON</v>
          </cell>
          <cell r="H1720" t="str">
            <v>MOOV</v>
          </cell>
          <cell r="I1720" t="str">
            <v xml:space="preserve">KOUAMEKRO
</v>
          </cell>
          <cell r="J1720" t="str">
            <v>OGOUDOU</v>
          </cell>
          <cell r="K1720" t="str">
            <v>DIVO</v>
          </cell>
          <cell r="L1720" t="str">
            <v>LOH-DJIBOUA</v>
          </cell>
          <cell r="M1720" t="str">
            <v>DIVO</v>
          </cell>
          <cell r="N1720" t="str">
            <v>UPCOUNTRY</v>
          </cell>
        </row>
        <row r="1721">
          <cell r="B1721" t="str">
            <v>ET591</v>
          </cell>
          <cell r="C1721" t="str">
            <v>KOR_AEROPORT</v>
          </cell>
          <cell r="D1721" t="str">
            <v>-5.555617</v>
          </cell>
          <cell r="E1721" t="str">
            <v>9.392306</v>
          </cell>
          <cell r="F1721" t="str">
            <v>2G/3G/4G</v>
          </cell>
          <cell r="G1721" t="str">
            <v>HUAWEI</v>
          </cell>
          <cell r="H1721" t="str">
            <v>MTN</v>
          </cell>
          <cell r="I1721" t="str">
            <v>KORHOGO</v>
          </cell>
          <cell r="J1721" t="str">
            <v>KORHOGO</v>
          </cell>
          <cell r="K1721" t="str">
            <v>KORHOGO</v>
          </cell>
          <cell r="L1721" t="str">
            <v>PORO</v>
          </cell>
          <cell r="M1721" t="str">
            <v>KORHOGO</v>
          </cell>
          <cell r="N1721" t="str">
            <v>UPCOUNTRY</v>
          </cell>
        </row>
        <row r="1722">
          <cell r="B1722" t="str">
            <v>ET911</v>
          </cell>
          <cell r="C1722" t="str">
            <v>INJS_PALMIER</v>
          </cell>
          <cell r="D1722" t="str">
            <v>-3.981265</v>
          </cell>
          <cell r="E1722" t="str">
            <v>5.310114</v>
          </cell>
          <cell r="F1722" t="str">
            <v>2G/3G/4G</v>
          </cell>
          <cell r="G1722" t="str">
            <v>ERICSSON</v>
          </cell>
          <cell r="H1722" t="str">
            <v>MOOV</v>
          </cell>
          <cell r="I1722" t="str">
            <v>MARCORY</v>
          </cell>
          <cell r="J1722" t="str">
            <v>ABIDJAN</v>
          </cell>
          <cell r="K1722" t="str">
            <v>ABIDJAN</v>
          </cell>
          <cell r="L1722" t="str">
            <v>ABIDJAN</v>
          </cell>
          <cell r="M1722" t="str">
            <v>MARCORY</v>
          </cell>
          <cell r="N1722" t="str">
            <v>ABIDJAN</v>
          </cell>
        </row>
        <row r="1723">
          <cell r="B1723" t="str">
            <v>ET663</v>
          </cell>
          <cell r="C1723" t="str">
            <v>PODIAGOUINE</v>
          </cell>
          <cell r="D1723" t="str">
            <v>-7.745323</v>
          </cell>
          <cell r="E1723" t="str">
            <v>7.15509</v>
          </cell>
          <cell r="F1723" t="str">
            <v>2G/3G/4G</v>
          </cell>
          <cell r="G1723" t="str">
            <v>HUAWEI</v>
          </cell>
          <cell r="H1723" t="str">
            <v>IHS</v>
          </cell>
          <cell r="I1723" t="str">
            <v>PODIAGOUINE</v>
          </cell>
          <cell r="J1723" t="str">
            <v>PODIAGOUINE</v>
          </cell>
          <cell r="K1723" t="str">
            <v>MAN</v>
          </cell>
          <cell r="L1723" t="str">
            <v>TONKPI</v>
          </cell>
          <cell r="M1723" t="str">
            <v>MAN</v>
          </cell>
          <cell r="N1723" t="str">
            <v>UPCOUNTRY</v>
          </cell>
        </row>
        <row r="1724">
          <cell r="B1724" t="str">
            <v>ET903</v>
          </cell>
          <cell r="C1724" t="str">
            <v>TERMINAL_2</v>
          </cell>
          <cell r="D1724" t="str">
            <v>-3.936711</v>
          </cell>
          <cell r="E1724" t="str">
            <v>5.246143</v>
          </cell>
          <cell r="F1724" t="str">
            <v>3G/4G</v>
          </cell>
          <cell r="G1724" t="str">
            <v>ERICSSON</v>
          </cell>
          <cell r="H1724" t="str">
            <v>MOOV</v>
          </cell>
          <cell r="I1724" t="str">
            <v>PORT-BOUET</v>
          </cell>
          <cell r="J1724" t="str">
            <v>ABIDJAN</v>
          </cell>
          <cell r="K1724" t="str">
            <v>ABIDJAN</v>
          </cell>
          <cell r="L1724" t="str">
            <v>ABIDJAN</v>
          </cell>
          <cell r="M1724" t="str">
            <v>MARCORY</v>
          </cell>
          <cell r="N1724" t="str">
            <v>ABIDJAN</v>
          </cell>
        </row>
        <row r="1725">
          <cell r="B1725" t="str">
            <v>ET811</v>
          </cell>
          <cell r="C1725" t="str">
            <v>TOUMODI_RAMBO</v>
          </cell>
          <cell r="D1725" t="str">
            <v>-5.014534</v>
          </cell>
          <cell r="E1725" t="str">
            <v>6.546953</v>
          </cell>
          <cell r="F1725" t="str">
            <v>2G/3G/4G</v>
          </cell>
          <cell r="G1725" t="str">
            <v>HUAWEI</v>
          </cell>
          <cell r="H1725" t="str">
            <v>MOOV</v>
          </cell>
          <cell r="I1725" t="str">
            <v>TOUMODI</v>
          </cell>
          <cell r="J1725" t="str">
            <v>TOUMODI</v>
          </cell>
          <cell r="K1725" t="str">
            <v>TOUMODI</v>
          </cell>
          <cell r="L1725" t="str">
            <v>BELIER</v>
          </cell>
          <cell r="M1725" t="str">
            <v>YAMOUSSOUKRO</v>
          </cell>
          <cell r="N1725" t="str">
            <v>UPCOUNTRY</v>
          </cell>
        </row>
        <row r="1726">
          <cell r="B1726" t="str">
            <v>ET849</v>
          </cell>
          <cell r="C1726" t="str">
            <v>DRAYO-DAGNOA</v>
          </cell>
          <cell r="D1726" t="str">
            <v>-6.041545</v>
          </cell>
          <cell r="E1726" t="str">
            <v>6.259016</v>
          </cell>
          <cell r="F1726" t="str">
            <v>2G/3G/4G</v>
          </cell>
          <cell r="G1726" t="str">
            <v>HUAWEI</v>
          </cell>
          <cell r="H1726" t="str">
            <v>MOOV</v>
          </cell>
          <cell r="I1726" t="str">
            <v>DRAYO-DAGNOA</v>
          </cell>
          <cell r="J1726" t="str">
            <v>OURAGAHIO</v>
          </cell>
          <cell r="K1726" t="str">
            <v>GAGNOA</v>
          </cell>
          <cell r="L1726" t="str">
            <v>GOH</v>
          </cell>
          <cell r="M1726" t="str">
            <v>GAGNOA</v>
          </cell>
          <cell r="N1726" t="str">
            <v>UPCOUNTRY</v>
          </cell>
        </row>
        <row r="1727">
          <cell r="B1727" t="str">
            <v>ET896</v>
          </cell>
          <cell r="C1727" t="str">
            <v>MAN_KPANGOUINE2</v>
          </cell>
          <cell r="D1727" t="str">
            <v>-7.506882</v>
          </cell>
          <cell r="E1727" t="str">
            <v>7.405757</v>
          </cell>
          <cell r="F1727" t="str">
            <v>2G/3G/4G</v>
          </cell>
          <cell r="G1727" t="str">
            <v>HUAWEI</v>
          </cell>
          <cell r="H1727" t="str">
            <v>MOOV</v>
          </cell>
          <cell r="I1727" t="str">
            <v>MAN</v>
          </cell>
          <cell r="J1727" t="str">
            <v>MAN</v>
          </cell>
          <cell r="K1727" t="str">
            <v>MAN</v>
          </cell>
          <cell r="L1727" t="str">
            <v>TONKPI</v>
          </cell>
          <cell r="M1727" t="str">
            <v>MAN</v>
          </cell>
          <cell r="N1727" t="str">
            <v>UPCOUNTRY</v>
          </cell>
        </row>
        <row r="1728">
          <cell r="B1728" t="str">
            <v>ET893</v>
          </cell>
          <cell r="C1728" t="str">
            <v>ASSOUINDE_ASSINIE</v>
          </cell>
          <cell r="D1728" t="str">
            <v>-3.48989</v>
          </cell>
          <cell r="E1728" t="str">
            <v>5.162624</v>
          </cell>
          <cell r="F1728" t="str">
            <v>2G/3G/4G</v>
          </cell>
          <cell r="G1728" t="str">
            <v>HUAWEI</v>
          </cell>
          <cell r="H1728" t="str">
            <v>IHS</v>
          </cell>
          <cell r="I1728" t="str">
            <v>ASSOUINDE</v>
          </cell>
          <cell r="J1728" t="str">
            <v>ASSINIE-MAFIA</v>
          </cell>
          <cell r="K1728" t="str">
            <v>ADIAKE</v>
          </cell>
          <cell r="L1728" t="str">
            <v>SUD-COMOE</v>
          </cell>
          <cell r="M1728" t="str">
            <v>MARCORY</v>
          </cell>
          <cell r="N1728" t="str">
            <v>UPCOUNTRY</v>
          </cell>
        </row>
        <row r="1729">
          <cell r="B1729" t="str">
            <v>ET828</v>
          </cell>
          <cell r="C1729" t="str">
            <v>NEW_NEON</v>
          </cell>
          <cell r="D1729" t="str">
            <v>-3.989982</v>
          </cell>
          <cell r="E1729" t="str">
            <v>5.416701</v>
          </cell>
          <cell r="F1729" t="str">
            <v>2G/3G/4G</v>
          </cell>
          <cell r="G1729" t="str">
            <v>ERICSSON</v>
          </cell>
          <cell r="H1729" t="str">
            <v>MOOV</v>
          </cell>
          <cell r="I1729" t="str">
            <v>ABOBO</v>
          </cell>
          <cell r="J1729" t="str">
            <v>ABIDJAN</v>
          </cell>
          <cell r="K1729" t="str">
            <v>ABIDJAN</v>
          </cell>
          <cell r="L1729" t="str">
            <v>ABIDJAN</v>
          </cell>
          <cell r="M1729" t="str">
            <v>ABOBO</v>
          </cell>
          <cell r="N1729" t="str">
            <v>ABIDJAN</v>
          </cell>
        </row>
        <row r="1730">
          <cell r="B1730" t="str">
            <v>ET699</v>
          </cell>
          <cell r="C1730" t="str">
            <v>MANOUFLA-N</v>
          </cell>
          <cell r="D1730" t="str">
            <v>-5.62713</v>
          </cell>
          <cell r="E1730" t="str">
            <v>6.621228</v>
          </cell>
          <cell r="F1730" t="str">
            <v>2G/3G/4G</v>
          </cell>
          <cell r="G1730" t="str">
            <v>HUAWEI</v>
          </cell>
          <cell r="H1730" t="str">
            <v>MOOV</v>
          </cell>
          <cell r="I1730" t="str">
            <v>MANOUFLA-N</v>
          </cell>
          <cell r="J1730" t="str">
            <v>KONONFLA</v>
          </cell>
          <cell r="K1730" t="str">
            <v>SINFRA</v>
          </cell>
          <cell r="L1730" t="str">
            <v>MARAHOUE</v>
          </cell>
          <cell r="M1730" t="str">
            <v>GAGNOA</v>
          </cell>
          <cell r="N1730" t="str">
            <v>UPCOUNTRY</v>
          </cell>
        </row>
        <row r="1731">
          <cell r="B1731" t="str">
            <v>ET888</v>
          </cell>
          <cell r="C1731" t="str">
            <v>RAVIART</v>
          </cell>
          <cell r="D1731" t="str">
            <v>-4.884654</v>
          </cell>
          <cell r="E1731" t="str">
            <v>7.402386</v>
          </cell>
          <cell r="F1731" t="str">
            <v>2G/3G/4G</v>
          </cell>
          <cell r="G1731" t="str">
            <v>HUAWEI</v>
          </cell>
          <cell r="H1731" t="str">
            <v>MOOV</v>
          </cell>
          <cell r="I1731" t="str">
            <v>RAVIART</v>
          </cell>
          <cell r="J1731" t="str">
            <v>RAVIART</v>
          </cell>
          <cell r="K1731" t="str">
            <v>DIDIEVI</v>
          </cell>
          <cell r="L1731" t="str">
            <v>BELIER</v>
          </cell>
          <cell r="M1731" t="str">
            <v>YAMOUSSOUKRO</v>
          </cell>
          <cell r="N1731" t="str">
            <v>UPCOUNTRY</v>
          </cell>
        </row>
        <row r="1732">
          <cell r="B1732" t="str">
            <v>ET618</v>
          </cell>
          <cell r="C1732" t="str">
            <v>DIGBEUGNOA</v>
          </cell>
          <cell r="D1732" t="str">
            <v>-6.066565</v>
          </cell>
          <cell r="E1732" t="str">
            <v>6.141829</v>
          </cell>
          <cell r="F1732" t="str">
            <v>2G/3G/4G</v>
          </cell>
          <cell r="G1732" t="str">
            <v>HUAWEI</v>
          </cell>
          <cell r="H1732" t="str">
            <v>MOOV</v>
          </cell>
          <cell r="I1732" t="str">
            <v>DIGBEUGNOA</v>
          </cell>
          <cell r="J1732" t="str">
            <v>GAGNOA</v>
          </cell>
          <cell r="K1732" t="str">
            <v>GAGNOA</v>
          </cell>
          <cell r="L1732" t="str">
            <v>GOH</v>
          </cell>
          <cell r="M1732" t="str">
            <v>GAGNOA</v>
          </cell>
          <cell r="N1732" t="str">
            <v>UPCOUNTRY</v>
          </cell>
        </row>
        <row r="1733">
          <cell r="B1733" t="str">
            <v>ET873</v>
          </cell>
          <cell r="C1733" t="str">
            <v>DOUGROUPALEGNOA</v>
          </cell>
          <cell r="D1733" t="str">
            <v>-5.935621</v>
          </cell>
          <cell r="E1733" t="str">
            <v>5.994468</v>
          </cell>
          <cell r="F1733" t="str">
            <v>2G/3G/4G</v>
          </cell>
          <cell r="G1733" t="str">
            <v>HUAWEI</v>
          </cell>
          <cell r="H1733" t="str">
            <v>MOOV</v>
          </cell>
          <cell r="I1733" t="str">
            <v>DOUGROUPALEGNOA</v>
          </cell>
          <cell r="J1733" t="str">
            <v>DOUGROUPALEGNOA</v>
          </cell>
          <cell r="K1733" t="str">
            <v>GAGNOA</v>
          </cell>
          <cell r="L1733" t="str">
            <v>GOH</v>
          </cell>
          <cell r="M1733" t="str">
            <v>GAGNOA</v>
          </cell>
          <cell r="N1733" t="str">
            <v>UPCOUNTRY</v>
          </cell>
        </row>
        <row r="1734">
          <cell r="B1734" t="str">
            <v>ET894</v>
          </cell>
          <cell r="C1734" t="str">
            <v>DUEKOUE_RESIDENTIEL</v>
          </cell>
          <cell r="D1734" t="str">
            <v>-7.358468</v>
          </cell>
          <cell r="E1734" t="str">
            <v>6.733736</v>
          </cell>
          <cell r="F1734" t="str">
            <v>2G/3G/4G</v>
          </cell>
          <cell r="G1734" t="str">
            <v>HUAWEI</v>
          </cell>
          <cell r="H1734" t="str">
            <v>MOOV</v>
          </cell>
          <cell r="I1734" t="str">
            <v>DUEKOUE</v>
          </cell>
          <cell r="J1734" t="str">
            <v>DUEKOUE</v>
          </cell>
          <cell r="K1734" t="str">
            <v>DUEKOUE</v>
          </cell>
          <cell r="L1734" t="str">
            <v>GUEMON</v>
          </cell>
          <cell r="M1734" t="str">
            <v>MAN</v>
          </cell>
          <cell r="N1734" t="str">
            <v>UPCOUNTRY</v>
          </cell>
        </row>
        <row r="1735">
          <cell r="B1735" t="str">
            <v>ET905</v>
          </cell>
          <cell r="C1735" t="str">
            <v>PANIKO</v>
          </cell>
          <cell r="D1735" t="str">
            <v>-5.98184</v>
          </cell>
          <cell r="E1735" t="str">
            <v>8.521017</v>
          </cell>
          <cell r="F1735" t="str">
            <v>2G/3G/4G</v>
          </cell>
          <cell r="G1735" t="str">
            <v>HUAWEI</v>
          </cell>
          <cell r="H1735" t="str">
            <v>MOOV</v>
          </cell>
          <cell r="I1735" t="str">
            <v>PANIKO</v>
          </cell>
          <cell r="J1735" t="str">
            <v>SARHALA</v>
          </cell>
          <cell r="K1735" t="str">
            <v>MANKONO</v>
          </cell>
          <cell r="L1735" t="str">
            <v>BERE</v>
          </cell>
          <cell r="M1735" t="str">
            <v>BOUAKE</v>
          </cell>
          <cell r="N1735" t="str">
            <v>UPCOUNTRY</v>
          </cell>
        </row>
        <row r="1736">
          <cell r="B1736" t="str">
            <v>ET887</v>
          </cell>
          <cell r="C1736" t="str">
            <v>BASSEHOA</v>
          </cell>
          <cell r="D1736" t="str">
            <v>-6.243597</v>
          </cell>
          <cell r="E1736" t="str">
            <v>6.132861</v>
          </cell>
          <cell r="F1736" t="str">
            <v>2G/3G/4G</v>
          </cell>
          <cell r="G1736" t="str">
            <v>HUAWEI</v>
          </cell>
          <cell r="H1736" t="str">
            <v>MOOV</v>
          </cell>
          <cell r="I1736" t="str">
            <v>BASSEHOA</v>
          </cell>
          <cell r="J1736" t="str">
            <v>GUIBEROUA</v>
          </cell>
          <cell r="K1736" t="str">
            <v>GAGNOA</v>
          </cell>
          <cell r="L1736" t="str">
            <v>GOH</v>
          </cell>
          <cell r="M1736" t="str">
            <v>GAGNOA</v>
          </cell>
          <cell r="N1736" t="str">
            <v>UPCOUNTRY</v>
          </cell>
        </row>
        <row r="1737">
          <cell r="B1737" t="str">
            <v>ET781</v>
          </cell>
          <cell r="C1737" t="str">
            <v>DARAKOKAHA</v>
          </cell>
          <cell r="D1737" t="str">
            <v>-5.159959</v>
          </cell>
          <cell r="E1737" t="str">
            <v>8.288807</v>
          </cell>
          <cell r="F1737" t="str">
            <v>2G/3G/4G</v>
          </cell>
          <cell r="G1737" t="str">
            <v>HUAWEI</v>
          </cell>
          <cell r="H1737" t="str">
            <v>MOOV</v>
          </cell>
          <cell r="I1737" t="str">
            <v>DARAKOKAHA</v>
          </cell>
          <cell r="J1737" t="str">
            <v>FRONAN</v>
          </cell>
          <cell r="K1737" t="str">
            <v>KATIOLA</v>
          </cell>
          <cell r="L1737" t="str">
            <v>HAMBOL</v>
          </cell>
          <cell r="M1737" t="str">
            <v>BOUAKE</v>
          </cell>
          <cell r="N1737" t="str">
            <v>UPCOUNTRY</v>
          </cell>
        </row>
        <row r="1738">
          <cell r="B1738" t="str">
            <v>ET854</v>
          </cell>
          <cell r="C1738" t="str">
            <v xml:space="preserve">KOR_LAGNON </v>
          </cell>
          <cell r="D1738" t="str">
            <v>-5.625924</v>
          </cell>
          <cell r="E1738" t="str">
            <v>9.486314</v>
          </cell>
          <cell r="F1738" t="str">
            <v>2G/3G/4G</v>
          </cell>
          <cell r="G1738" t="str">
            <v>HUAWEI</v>
          </cell>
          <cell r="H1738" t="str">
            <v>MOOV</v>
          </cell>
          <cell r="I1738" t="str">
            <v>KORHOGO</v>
          </cell>
          <cell r="J1738" t="str">
            <v>KORHOGO</v>
          </cell>
          <cell r="K1738" t="str">
            <v>KORHOGO</v>
          </cell>
          <cell r="L1738" t="str">
            <v>PORO</v>
          </cell>
          <cell r="M1738" t="str">
            <v>KORHOGO</v>
          </cell>
          <cell r="N1738" t="str">
            <v>UPCOUNTRY</v>
          </cell>
        </row>
        <row r="1739">
          <cell r="B1739" t="str">
            <v>ET491</v>
          </cell>
          <cell r="C1739" t="str">
            <v>SOUBRE_GBAKAPELPKA</v>
          </cell>
          <cell r="D1739" t="str">
            <v>-6.602125</v>
          </cell>
          <cell r="E1739" t="str">
            <v>5.791331</v>
          </cell>
          <cell r="F1739" t="str">
            <v>2G/3G/4G</v>
          </cell>
          <cell r="G1739" t="str">
            <v>HUAWEI</v>
          </cell>
          <cell r="H1739" t="str">
            <v>MOOV</v>
          </cell>
          <cell r="I1739" t="str">
            <v>SOUBRE</v>
          </cell>
          <cell r="J1739" t="str">
            <v>SOUBRE</v>
          </cell>
          <cell r="K1739" t="str">
            <v>SOUBRE</v>
          </cell>
          <cell r="L1739" t="str">
            <v>NAWA</v>
          </cell>
          <cell r="M1739" t="str">
            <v>SOUBRE</v>
          </cell>
          <cell r="N1739" t="str">
            <v>UPCOUNTRY</v>
          </cell>
        </row>
        <row r="1740">
          <cell r="B1740" t="str">
            <v>ET919</v>
          </cell>
          <cell r="C1740" t="str">
            <v>SOUBRE_GABON_MUVEP</v>
          </cell>
          <cell r="D1740" t="str">
            <v>-6.598014</v>
          </cell>
          <cell r="E1740" t="str">
            <v>5.764982</v>
          </cell>
          <cell r="F1740" t="str">
            <v>2G/3G/4G</v>
          </cell>
          <cell r="G1740" t="str">
            <v>HUAWEI</v>
          </cell>
          <cell r="H1740" t="str">
            <v>MOOV</v>
          </cell>
          <cell r="I1740" t="str">
            <v>SOUBRE</v>
          </cell>
          <cell r="J1740" t="str">
            <v>SOUBRE</v>
          </cell>
          <cell r="K1740" t="str">
            <v>SOUBRE</v>
          </cell>
          <cell r="L1740" t="str">
            <v>NAWA</v>
          </cell>
          <cell r="M1740" t="str">
            <v>SOUBRE</v>
          </cell>
          <cell r="N1740" t="str">
            <v>UPCOUNTRY</v>
          </cell>
        </row>
        <row r="1741">
          <cell r="B1741" t="str">
            <v>ET749</v>
          </cell>
          <cell r="C1741" t="str">
            <v>SOUBRE_NABOUHI</v>
          </cell>
          <cell r="D1741" t="str">
            <v>-6.588518</v>
          </cell>
          <cell r="E1741" t="str">
            <v>5.800632</v>
          </cell>
          <cell r="F1741" t="str">
            <v>2G/3G/4G</v>
          </cell>
          <cell r="G1741" t="str">
            <v>HUAWEI</v>
          </cell>
          <cell r="H1741" t="str">
            <v>MOOV</v>
          </cell>
          <cell r="I1741" t="str">
            <v>SOUBRE</v>
          </cell>
          <cell r="J1741" t="str">
            <v>SOUBRE</v>
          </cell>
          <cell r="K1741" t="str">
            <v>SOUBRE</v>
          </cell>
          <cell r="L1741" t="str">
            <v>NAWA</v>
          </cell>
          <cell r="M1741" t="str">
            <v>SOUBRE</v>
          </cell>
          <cell r="N1741" t="str">
            <v>UPCOUNTRY</v>
          </cell>
        </row>
        <row r="1742">
          <cell r="B1742" t="str">
            <v>ET827</v>
          </cell>
          <cell r="C1742" t="str">
            <v>KOR_VILLAGE_CAN</v>
          </cell>
          <cell r="D1742" t="str">
            <v>-5.597577</v>
          </cell>
          <cell r="E1742" t="str">
            <v>9.414942</v>
          </cell>
          <cell r="F1742" t="str">
            <v>2G/3G/4G</v>
          </cell>
          <cell r="G1742" t="str">
            <v>HUAWEI</v>
          </cell>
          <cell r="H1742" t="str">
            <v>MOOV</v>
          </cell>
          <cell r="I1742" t="str">
            <v>KORHOGO</v>
          </cell>
          <cell r="J1742" t="str">
            <v>KORHOGO</v>
          </cell>
          <cell r="K1742" t="str">
            <v>KORHOGO</v>
          </cell>
          <cell r="L1742" t="str">
            <v>PORO</v>
          </cell>
          <cell r="M1742" t="str">
            <v>KORHOGO</v>
          </cell>
          <cell r="N1742" t="str">
            <v>UPCOUNTRY</v>
          </cell>
        </row>
        <row r="1743">
          <cell r="B1743" t="str">
            <v>ET860</v>
          </cell>
          <cell r="C1743" t="str">
            <v>SERIHIO</v>
          </cell>
          <cell r="D1743" t="str">
            <v>-6.119903</v>
          </cell>
          <cell r="E1743" t="str">
            <v>5.903185</v>
          </cell>
          <cell r="F1743" t="str">
            <v>2G/3G/4G</v>
          </cell>
          <cell r="G1743" t="str">
            <v>HUAWEI</v>
          </cell>
          <cell r="H1743" t="str">
            <v>MOOV</v>
          </cell>
          <cell r="I1743" t="str">
            <v>SERIHIO</v>
          </cell>
          <cell r="J1743" t="str">
            <v>SERIHIO</v>
          </cell>
          <cell r="K1743" t="str">
            <v>GAGNOA</v>
          </cell>
          <cell r="L1743" t="str">
            <v>GOH</v>
          </cell>
          <cell r="M1743" t="str">
            <v>GAGNOA</v>
          </cell>
          <cell r="N1743" t="str">
            <v>UPCOUNTRY</v>
          </cell>
        </row>
        <row r="1744">
          <cell r="B1744" t="str">
            <v>ET857</v>
          </cell>
          <cell r="C1744" t="str">
            <v>ZAHIA</v>
          </cell>
          <cell r="D1744" t="str">
            <v>-6.578519</v>
          </cell>
          <cell r="E1744" t="str">
            <v>6.916623</v>
          </cell>
          <cell r="F1744" t="str">
            <v>2G/3G/4G</v>
          </cell>
          <cell r="G1744" t="str">
            <v>HUAWEI</v>
          </cell>
          <cell r="H1744" t="str">
            <v>MOOV</v>
          </cell>
          <cell r="I1744" t="str">
            <v>ZAHIA</v>
          </cell>
          <cell r="J1744" t="str">
            <v>GBOGUHE</v>
          </cell>
          <cell r="K1744" t="str">
            <v>DALOA</v>
          </cell>
          <cell r="L1744" t="str">
            <v>HAUT-SASSANDRA</v>
          </cell>
          <cell r="M1744" t="str">
            <v>DALOA</v>
          </cell>
          <cell r="N1744" t="str">
            <v>UPCOUNTRY</v>
          </cell>
        </row>
        <row r="1745">
          <cell r="B1745" t="str">
            <v>ET763</v>
          </cell>
          <cell r="C1745" t="str">
            <v xml:space="preserve">TOUMODI_RESIDENTIEL
</v>
          </cell>
          <cell r="D1745" t="str">
            <v>-5.03261</v>
          </cell>
          <cell r="E1745" t="str">
            <v>6.56322</v>
          </cell>
          <cell r="F1745" t="str">
            <v>2G/3G/4G</v>
          </cell>
          <cell r="G1745" t="str">
            <v>HUAWEI</v>
          </cell>
          <cell r="H1745" t="str">
            <v>MOOV</v>
          </cell>
          <cell r="I1745" t="str">
            <v>TOUMODI</v>
          </cell>
          <cell r="J1745" t="str">
            <v>TOUMODI</v>
          </cell>
          <cell r="K1745" t="str">
            <v>TOUMODI</v>
          </cell>
          <cell r="L1745" t="str">
            <v>BELIER</v>
          </cell>
          <cell r="M1745" t="str">
            <v>YAMOUSSOUKRO</v>
          </cell>
          <cell r="N1745" t="str">
            <v>UPCOUNTRY</v>
          </cell>
        </row>
        <row r="1746">
          <cell r="B1746" t="str">
            <v>ET881</v>
          </cell>
          <cell r="C1746" t="str">
            <v>FAHE_SCAF</v>
          </cell>
          <cell r="D1746" t="str">
            <v>-6.648049</v>
          </cell>
          <cell r="E1746" t="str">
            <v>4.971536</v>
          </cell>
          <cell r="F1746" t="str">
            <v>2G/3G/4G</v>
          </cell>
          <cell r="G1746" t="str">
            <v>HUAWEI</v>
          </cell>
          <cell r="H1746" t="str">
            <v>IHS</v>
          </cell>
          <cell r="I1746" t="str">
            <v>FAHE</v>
          </cell>
          <cell r="J1746" t="str">
            <v>GABIADJI</v>
          </cell>
          <cell r="K1746" t="str">
            <v>SAN-PEDRO</v>
          </cell>
          <cell r="L1746" t="str">
            <v>SAN-PEDRO</v>
          </cell>
          <cell r="M1746" t="str">
            <v>SAN-PEDRO</v>
          </cell>
          <cell r="N1746" t="str">
            <v>UPCOUNTRY</v>
          </cell>
        </row>
        <row r="1747">
          <cell r="B1747" t="str">
            <v>ET851</v>
          </cell>
          <cell r="C1747" t="str">
            <v>GNITITOIGUI I</v>
          </cell>
          <cell r="D1747" t="str">
            <v>-6.523215</v>
          </cell>
          <cell r="E1747" t="str">
            <v>5.318638</v>
          </cell>
          <cell r="F1747" t="str">
            <v>2G/3G/4G</v>
          </cell>
          <cell r="G1747" t="str">
            <v>HUAWEI</v>
          </cell>
          <cell r="H1747" t="str">
            <v>MOOV</v>
          </cell>
          <cell r="I1747" t="str">
            <v>GNITITOIGUI 1</v>
          </cell>
          <cell r="J1747" t="str">
            <v>MEAGUI</v>
          </cell>
          <cell r="K1747" t="str">
            <v>MEAGUI</v>
          </cell>
          <cell r="L1747" t="str">
            <v>NAWA</v>
          </cell>
          <cell r="M1747" t="str">
            <v>SOUBRE</v>
          </cell>
          <cell r="N1747" t="str">
            <v>UPCOUNTRY</v>
          </cell>
        </row>
        <row r="1748">
          <cell r="B1748" t="str">
            <v>ET880</v>
          </cell>
          <cell r="C1748" t="str">
            <v>PETIT_TIEME</v>
          </cell>
          <cell r="D1748" t="str">
            <v>-6.732461</v>
          </cell>
          <cell r="E1748" t="str">
            <v>5.81367</v>
          </cell>
          <cell r="F1748" t="str">
            <v>2G/3G/4G</v>
          </cell>
          <cell r="G1748" t="str">
            <v>HUAWEI</v>
          </cell>
          <cell r="H1748" t="str">
            <v>MOOV</v>
          </cell>
          <cell r="I1748" t="str">
            <v>PETIT_TIEME</v>
          </cell>
          <cell r="J1748" t="str">
            <v>GNANMANGUI</v>
          </cell>
          <cell r="K1748" t="str">
            <v>MEAGUI</v>
          </cell>
          <cell r="L1748" t="str">
            <v>NAWA</v>
          </cell>
          <cell r="M1748" t="str">
            <v>SOUBRE</v>
          </cell>
          <cell r="N1748" t="str">
            <v>UPCOUNTRY</v>
          </cell>
        </row>
        <row r="1749">
          <cell r="B1749" t="str">
            <v>ET617</v>
          </cell>
          <cell r="C1749" t="str">
            <v>SABREGUHE</v>
          </cell>
          <cell r="D1749" t="str">
            <v>-6.745877</v>
          </cell>
          <cell r="E1749" t="str">
            <v>6.297585</v>
          </cell>
          <cell r="F1749" t="str">
            <v>2G/3G/4G</v>
          </cell>
          <cell r="G1749" t="str">
            <v>HUAWEI</v>
          </cell>
          <cell r="H1749" t="str">
            <v>MOOV</v>
          </cell>
          <cell r="I1749" t="str">
            <v>SABREGUHE</v>
          </cell>
          <cell r="J1749" t="str">
            <v>NAMANE</v>
          </cell>
          <cell r="K1749" t="str">
            <v>ISSIA</v>
          </cell>
          <cell r="L1749" t="str">
            <v>HAUT-SASSANDRA</v>
          </cell>
          <cell r="M1749" t="str">
            <v>DALOA</v>
          </cell>
          <cell r="N1749" t="str">
            <v>UPCOUNTRY</v>
          </cell>
        </row>
        <row r="1750">
          <cell r="B1750" t="str">
            <v>ET847</v>
          </cell>
          <cell r="C1750" t="str">
            <v>PISSEKOU</v>
          </cell>
          <cell r="D1750" t="str">
            <v>-5.822382</v>
          </cell>
          <cell r="E1750" t="str">
            <v>6.286742</v>
          </cell>
          <cell r="F1750" t="str">
            <v>2G/3G/4G</v>
          </cell>
          <cell r="G1750" t="str">
            <v>HUAWEI</v>
          </cell>
          <cell r="H1750" t="str">
            <v>MOOV</v>
          </cell>
          <cell r="I1750" t="str">
            <v>PISSEKOU</v>
          </cell>
          <cell r="J1750" t="str">
            <v>DAHIEPA-KEHI</v>
          </cell>
          <cell r="K1750" t="str">
            <v>GAGNOA</v>
          </cell>
          <cell r="L1750" t="str">
            <v>GOH</v>
          </cell>
          <cell r="M1750" t="str">
            <v>GAGNOA</v>
          </cell>
          <cell r="N1750" t="str">
            <v>UPCOUNTRY</v>
          </cell>
        </row>
        <row r="1751">
          <cell r="B1751" t="str">
            <v>ET838</v>
          </cell>
          <cell r="C1751" t="str">
            <v>LOGBOZOUA</v>
          </cell>
          <cell r="D1751" t="str">
            <v>-6.949507</v>
          </cell>
          <cell r="E1751" t="str">
            <v>6.214402</v>
          </cell>
          <cell r="F1751" t="str">
            <v>2G/3G/4G</v>
          </cell>
          <cell r="G1751" t="str">
            <v>HUAWEI</v>
          </cell>
          <cell r="H1751" t="str">
            <v>MOOV</v>
          </cell>
          <cell r="I1751" t="str">
            <v>LOGBOZOUA</v>
          </cell>
          <cell r="J1751" t="str">
            <v>BUYO</v>
          </cell>
          <cell r="K1751" t="str">
            <v>BUYO</v>
          </cell>
          <cell r="L1751" t="str">
            <v>NAWA</v>
          </cell>
          <cell r="M1751" t="str">
            <v>SOUBRE</v>
          </cell>
          <cell r="N1751" t="str">
            <v>UPCOUNTRY</v>
          </cell>
        </row>
        <row r="1752">
          <cell r="B1752" t="str">
            <v>ET664</v>
          </cell>
          <cell r="C1752" t="str">
            <v>BANANKORO</v>
          </cell>
          <cell r="D1752" t="str">
            <v>-7.397108</v>
          </cell>
          <cell r="E1752" t="str">
            <v>9.810835</v>
          </cell>
          <cell r="F1752" t="str">
            <v>2G/3G/4G</v>
          </cell>
          <cell r="G1752" t="str">
            <v>HUAWEI</v>
          </cell>
          <cell r="H1752" t="str">
            <v>IHS</v>
          </cell>
          <cell r="I1752" t="str">
            <v>BANANKORO</v>
          </cell>
          <cell r="J1752" t="str">
            <v>KANIASSO</v>
          </cell>
          <cell r="K1752" t="str">
            <v>KANIASSO</v>
          </cell>
          <cell r="L1752" t="str">
            <v>FOLON</v>
          </cell>
          <cell r="M1752" t="str">
            <v>MAN</v>
          </cell>
          <cell r="N1752" t="str">
            <v>UPCOUNTRY</v>
          </cell>
        </row>
        <row r="1753">
          <cell r="B1753" t="str">
            <v>ET709</v>
          </cell>
          <cell r="C1753" t="str">
            <v>KOULOUAN</v>
          </cell>
          <cell r="D1753" t="str">
            <v>-7.69917</v>
          </cell>
          <cell r="E1753" t="str">
            <v>6.95285</v>
          </cell>
          <cell r="F1753" t="str">
            <v>2G/3G/4G</v>
          </cell>
          <cell r="G1753" t="str">
            <v>HUAWEI</v>
          </cell>
          <cell r="H1753" t="str">
            <v>MOOV</v>
          </cell>
          <cell r="I1753" t="str">
            <v>KOULOUAN</v>
          </cell>
          <cell r="J1753" t="str">
            <v>KAHIN-ZARABAON</v>
          </cell>
          <cell r="K1753" t="str">
            <v>BANGOLO</v>
          </cell>
          <cell r="L1753" t="str">
            <v>GUEMON</v>
          </cell>
          <cell r="M1753" t="str">
            <v>MAN</v>
          </cell>
          <cell r="N1753" t="str">
            <v>UPCOUNTRY</v>
          </cell>
        </row>
        <row r="1754">
          <cell r="B1754" t="str">
            <v>ET910</v>
          </cell>
          <cell r="C1754" t="str">
            <v>DAHIEPA-KEHI</v>
          </cell>
          <cell r="D1754" t="str">
            <v>-5.848388</v>
          </cell>
          <cell r="E1754" t="str">
            <v>6.21401</v>
          </cell>
          <cell r="F1754" t="str">
            <v>2G/3G/4G</v>
          </cell>
          <cell r="G1754" t="str">
            <v>HUAWEI</v>
          </cell>
          <cell r="H1754" t="str">
            <v>IHS</v>
          </cell>
          <cell r="I1754" t="str">
            <v>DAHIEPA-KEHI</v>
          </cell>
          <cell r="J1754" t="str">
            <v>DAHIEPA-KEHI</v>
          </cell>
          <cell r="K1754" t="str">
            <v>GAGNOA</v>
          </cell>
          <cell r="L1754" t="str">
            <v>GOH</v>
          </cell>
          <cell r="M1754" t="str">
            <v>GAGNOA</v>
          </cell>
          <cell r="N1754" t="str">
            <v>UPCOUNTRY</v>
          </cell>
        </row>
        <row r="1755">
          <cell r="B1755" t="str">
            <v>ET861</v>
          </cell>
          <cell r="C1755" t="str">
            <v>ZEGA</v>
          </cell>
          <cell r="D1755" t="str">
            <v>-6.418637</v>
          </cell>
          <cell r="E1755" t="str">
            <v>6.50042</v>
          </cell>
          <cell r="F1755" t="str">
            <v>2G/3G/4G</v>
          </cell>
          <cell r="G1755" t="str">
            <v>HUAWEI</v>
          </cell>
          <cell r="H1755" t="str">
            <v>MOOV</v>
          </cell>
          <cell r="I1755" t="str">
            <v>ZEGA</v>
          </cell>
          <cell r="J1755" t="str">
            <v>SAIOUA</v>
          </cell>
          <cell r="K1755" t="str">
            <v>ISSIA</v>
          </cell>
          <cell r="L1755" t="str">
            <v>HAUT-SASSANDRA</v>
          </cell>
          <cell r="M1755" t="str">
            <v>DALOA</v>
          </cell>
          <cell r="N1755" t="str">
            <v>UPCOUNTRY</v>
          </cell>
        </row>
        <row r="1756">
          <cell r="B1756" t="str">
            <v>ET908</v>
          </cell>
          <cell r="C1756" t="str">
            <v>BOUNDIALI_TIOGONA</v>
          </cell>
          <cell r="D1756" t="str">
            <v>-6.46015</v>
          </cell>
          <cell r="E1756" t="str">
            <v>9.52356</v>
          </cell>
          <cell r="F1756" t="str">
            <v>2G/3G/4G</v>
          </cell>
          <cell r="G1756" t="str">
            <v>HUAWEI</v>
          </cell>
          <cell r="H1756" t="str">
            <v>MOOV</v>
          </cell>
          <cell r="I1756" t="str">
            <v>BOUNDIALI</v>
          </cell>
          <cell r="J1756" t="str">
            <v>BOUNDIALI</v>
          </cell>
          <cell r="K1756" t="str">
            <v>BOUNDIALI</v>
          </cell>
          <cell r="L1756" t="str">
            <v>BAGOUE</v>
          </cell>
          <cell r="M1756" t="str">
            <v>KORHOGO</v>
          </cell>
          <cell r="N1756" t="str">
            <v>UPCOUNTRY</v>
          </cell>
        </row>
        <row r="1757">
          <cell r="B1757" t="str">
            <v>ET780</v>
          </cell>
          <cell r="C1757" t="str">
            <v>GBLETIA</v>
          </cell>
          <cell r="D1757" t="str">
            <v>-6.63013</v>
          </cell>
          <cell r="E1757" t="str">
            <v>5.6322</v>
          </cell>
          <cell r="F1757" t="str">
            <v>2G/3G/4G</v>
          </cell>
          <cell r="G1757" t="str">
            <v>HUAWEI</v>
          </cell>
          <cell r="H1757" t="str">
            <v>MOOV</v>
          </cell>
          <cell r="I1757" t="str">
            <v>GBLETIA</v>
          </cell>
          <cell r="J1757" t="str">
            <v>OUPOYO</v>
          </cell>
          <cell r="K1757" t="str">
            <v>MEAGUI</v>
          </cell>
          <cell r="L1757" t="str">
            <v>NAWA</v>
          </cell>
          <cell r="M1757" t="str">
            <v>SOUBRE</v>
          </cell>
          <cell r="N1757" t="str">
            <v>UPCOUNTRY</v>
          </cell>
        </row>
        <row r="1758">
          <cell r="B1758" t="str">
            <v>ET705</v>
          </cell>
          <cell r="C1758" t="str">
            <v>DIOUROUZON</v>
          </cell>
          <cell r="D1758" t="str">
            <v>-7.51602</v>
          </cell>
          <cell r="E1758" t="str">
            <v>6.89085</v>
          </cell>
          <cell r="F1758" t="str">
            <v>2G/3G/4G</v>
          </cell>
          <cell r="G1758" t="str">
            <v>HUAWEI</v>
          </cell>
          <cell r="H1758" t="str">
            <v>MOOV</v>
          </cell>
          <cell r="I1758" t="str">
            <v>DIOUROUZON</v>
          </cell>
          <cell r="J1758" t="str">
            <v>GUEHIEBLY</v>
          </cell>
          <cell r="K1758" t="str">
            <v>DUEKOUE</v>
          </cell>
          <cell r="L1758" t="str">
            <v>GUEMON</v>
          </cell>
          <cell r="M1758" t="str">
            <v>MAN</v>
          </cell>
          <cell r="N1758" t="str">
            <v>UPCOUNTRY</v>
          </cell>
        </row>
        <row r="1759">
          <cell r="B1759" t="str">
            <v>ET702</v>
          </cell>
          <cell r="C1759" t="str">
            <v>ROA</v>
          </cell>
          <cell r="D1759" t="str">
            <v>-6.566317</v>
          </cell>
          <cell r="E1759" t="str">
            <v>6.275243</v>
          </cell>
          <cell r="F1759" t="str">
            <v>2G/3G/4G</v>
          </cell>
          <cell r="G1759" t="str">
            <v>HUAWEI</v>
          </cell>
          <cell r="H1759" t="str">
            <v>MOOV</v>
          </cell>
          <cell r="I1759" t="str">
            <v>ROA</v>
          </cell>
          <cell r="J1759" t="str">
            <v>GRAND-ZATTRY</v>
          </cell>
          <cell r="K1759" t="str">
            <v>SOUBRE</v>
          </cell>
          <cell r="L1759" t="str">
            <v>NAWA</v>
          </cell>
          <cell r="M1759" t="str">
            <v>SOUBRE</v>
          </cell>
          <cell r="N1759" t="str">
            <v>UPCOUNTRY</v>
          </cell>
        </row>
        <row r="1760">
          <cell r="B1760" t="str">
            <v>ET723</v>
          </cell>
          <cell r="C1760" t="str">
            <v>BONOUA_ZOUGLOU</v>
          </cell>
          <cell r="D1760" t="str">
            <v>-3.592934</v>
          </cell>
          <cell r="E1760" t="str">
            <v>5.293568</v>
          </cell>
          <cell r="F1760" t="str">
            <v>2G/3G/4G</v>
          </cell>
          <cell r="G1760" t="str">
            <v>HUAWEI</v>
          </cell>
          <cell r="H1760" t="str">
            <v>MOOV</v>
          </cell>
          <cell r="I1760" t="str">
            <v>BONOUA</v>
          </cell>
          <cell r="J1760" t="str">
            <v>BONOUA</v>
          </cell>
          <cell r="K1760" t="str">
            <v>GRAND-BASSAM</v>
          </cell>
          <cell r="L1760" t="str">
            <v>SUD-COMOE</v>
          </cell>
          <cell r="M1760" t="str">
            <v>MARCORY</v>
          </cell>
          <cell r="N1760" t="str">
            <v>UPCOUNTRY</v>
          </cell>
        </row>
        <row r="1761">
          <cell r="B1761" t="str">
            <v>ET830</v>
          </cell>
          <cell r="C1761" t="str">
            <v>TIORONIARADOUGOU</v>
          </cell>
          <cell r="D1761" t="str">
            <v>-5.639272</v>
          </cell>
          <cell r="E1761" t="str">
            <v>9.358608</v>
          </cell>
          <cell r="F1761" t="str">
            <v>2G/3G/4G</v>
          </cell>
          <cell r="G1761" t="str">
            <v>HUAWEI</v>
          </cell>
          <cell r="H1761" t="str">
            <v>MOOV</v>
          </cell>
          <cell r="I1761" t="str">
            <v>TIORONIARADOUGOU</v>
          </cell>
          <cell r="J1761" t="str">
            <v>TIORONIARADOUGOU</v>
          </cell>
          <cell r="K1761" t="str">
            <v>KORHOGO</v>
          </cell>
          <cell r="L1761" t="str">
            <v>PORO</v>
          </cell>
          <cell r="M1761" t="str">
            <v>KORHOGO</v>
          </cell>
          <cell r="N1761" t="str">
            <v>UPCOUNTRY</v>
          </cell>
        </row>
        <row r="1762">
          <cell r="B1762" t="str">
            <v>ET862</v>
          </cell>
          <cell r="C1762" t="str">
            <v>GOURANE</v>
          </cell>
          <cell r="D1762" t="str">
            <v>-7.295712</v>
          </cell>
          <cell r="E1762" t="str">
            <v>7.609566</v>
          </cell>
          <cell r="F1762" t="str">
            <v>2G/3G/4G</v>
          </cell>
          <cell r="G1762" t="str">
            <v>HUAWEI</v>
          </cell>
          <cell r="H1762" t="str">
            <v>MOOV</v>
          </cell>
          <cell r="I1762" t="str">
            <v>GOURANE</v>
          </cell>
          <cell r="J1762" t="str">
            <v>GBONNE</v>
          </cell>
          <cell r="K1762" t="str">
            <v>BIANKOUMA</v>
          </cell>
          <cell r="L1762" t="str">
            <v>TONKPI</v>
          </cell>
          <cell r="M1762" t="str">
            <v>MAN</v>
          </cell>
          <cell r="N1762" t="str">
            <v>UPCOUNTRY</v>
          </cell>
        </row>
        <row r="1763">
          <cell r="B1763" t="str">
            <v>ET734</v>
          </cell>
          <cell r="C1763" t="str">
            <v>BOUNANTINFLA</v>
          </cell>
          <cell r="D1763" t="str">
            <v>-5.918221</v>
          </cell>
          <cell r="E1763" t="str">
            <v>6.758081</v>
          </cell>
          <cell r="F1763" t="str">
            <v>2G/3G/4G</v>
          </cell>
          <cell r="G1763" t="str">
            <v>HUAWEI</v>
          </cell>
          <cell r="H1763" t="str">
            <v>IHS</v>
          </cell>
          <cell r="I1763" t="str">
            <v>BOUNANTINFLA</v>
          </cell>
          <cell r="J1763" t="str">
            <v>ZAGUIETA</v>
          </cell>
          <cell r="K1763" t="str">
            <v>BOUAFLE</v>
          </cell>
          <cell r="L1763" t="str">
            <v>MARAHOUE</v>
          </cell>
          <cell r="M1763" t="str">
            <v>DALOA</v>
          </cell>
          <cell r="N1763" t="str">
            <v>UPCOUNTRY</v>
          </cell>
        </row>
        <row r="1764">
          <cell r="B1764" t="str">
            <v>ET832</v>
          </cell>
          <cell r="C1764" t="str">
            <v>OTEHOA</v>
          </cell>
          <cell r="D1764" t="str">
            <v>-6.358961</v>
          </cell>
          <cell r="E1764" t="str">
            <v>6.258864</v>
          </cell>
          <cell r="F1764" t="str">
            <v>2G/3G/4G</v>
          </cell>
          <cell r="G1764" t="str">
            <v>HUAWEI</v>
          </cell>
          <cell r="H1764" t="str">
            <v>MOOV</v>
          </cell>
          <cell r="I1764" t="str">
            <v>OTEHOA</v>
          </cell>
          <cell r="J1764" t="str">
            <v>DIGNAGO</v>
          </cell>
          <cell r="K1764" t="str">
            <v>GAGNOA</v>
          </cell>
          <cell r="L1764" t="str">
            <v>GOH</v>
          </cell>
          <cell r="M1764" t="str">
            <v>GAGNOA</v>
          </cell>
          <cell r="N1764" t="str">
            <v>UPCOUNTRY</v>
          </cell>
        </row>
        <row r="1765">
          <cell r="B1765" t="str">
            <v>ET886</v>
          </cell>
          <cell r="C1765" t="str">
            <v>KASSIONGOKOURA</v>
          </cell>
          <cell r="D1765" t="str">
            <v>-5.568888</v>
          </cell>
          <cell r="E1765" t="str">
            <v>10.018205</v>
          </cell>
          <cell r="F1765" t="str">
            <v>2G/3G/4G</v>
          </cell>
          <cell r="G1765" t="str">
            <v>HUAWEI</v>
          </cell>
          <cell r="H1765" t="str">
            <v>MOOV</v>
          </cell>
          <cell r="I1765" t="str">
            <v>KASSIONGOKOURA</v>
          </cell>
          <cell r="J1765" t="str">
            <v>DIAWALA</v>
          </cell>
          <cell r="K1765" t="str">
            <v>OUANGOLODOUGOU</v>
          </cell>
          <cell r="L1765" t="str">
            <v>TCHOLOGO</v>
          </cell>
          <cell r="M1765" t="str">
            <v>KORHOGO</v>
          </cell>
          <cell r="N1765" t="str">
            <v>UPCOUNTRY</v>
          </cell>
        </row>
        <row r="1766">
          <cell r="B1766" t="str">
            <v>ET875</v>
          </cell>
          <cell r="C1766" t="str">
            <v xml:space="preserve"> KOBOUO</v>
          </cell>
          <cell r="D1766" t="str">
            <v>-5.984586</v>
          </cell>
          <cell r="E1766" t="str">
            <v>5.909921</v>
          </cell>
          <cell r="F1766" t="str">
            <v>2G/3G/4G</v>
          </cell>
          <cell r="G1766" t="str">
            <v>HUAWEI</v>
          </cell>
          <cell r="H1766" t="str">
            <v>MOOV</v>
          </cell>
          <cell r="I1766" t="str">
            <v>KOBOUO</v>
          </cell>
          <cell r="J1766" t="str">
            <v>DOUGROUPALEGNOA</v>
          </cell>
          <cell r="K1766" t="str">
            <v>GAGNOA</v>
          </cell>
          <cell r="L1766" t="str">
            <v>GOH</v>
          </cell>
          <cell r="M1766" t="str">
            <v>GAGNOA</v>
          </cell>
          <cell r="N1766" t="str">
            <v>UPCOUNTRY</v>
          </cell>
        </row>
        <row r="1767">
          <cell r="B1767" t="str">
            <v>ET774</v>
          </cell>
          <cell r="C1767" t="str">
            <v xml:space="preserve"> TOUMOUKORO
</v>
          </cell>
          <cell r="D1767" t="str">
            <v>-5.74235</v>
          </cell>
          <cell r="E1767" t="str">
            <v>10.39054</v>
          </cell>
          <cell r="F1767" t="str">
            <v>2G/3G/4G</v>
          </cell>
          <cell r="G1767" t="str">
            <v>HUAWEI</v>
          </cell>
          <cell r="H1767" t="str">
            <v>MOOV</v>
          </cell>
          <cell r="I1767" t="str">
            <v>TOUMOUKORO</v>
          </cell>
          <cell r="J1767" t="str">
            <v>TOUMOUKORO</v>
          </cell>
          <cell r="K1767" t="str">
            <v>OUANGOLODOUGOU</v>
          </cell>
          <cell r="L1767" t="str">
            <v>TCHOLOGO</v>
          </cell>
          <cell r="M1767" t="str">
            <v>KORHOGO</v>
          </cell>
          <cell r="N1767" t="str">
            <v>UPCOUNTRY</v>
          </cell>
        </row>
        <row r="1768">
          <cell r="B1768" t="str">
            <v>ET863</v>
          </cell>
          <cell r="C1768" t="str">
            <v>DJIDOUBAYE</v>
          </cell>
          <cell r="D1768" t="str">
            <v>-7.493094</v>
          </cell>
          <cell r="E1768" t="str">
            <v>6.08849</v>
          </cell>
          <cell r="F1768" t="str">
            <v>2G/3G/4G</v>
          </cell>
          <cell r="G1768" t="str">
            <v>HUAWEI</v>
          </cell>
          <cell r="H1768" t="str">
            <v>MOOV</v>
          </cell>
          <cell r="I1768" t="str">
            <v>DJIDOUBAYE</v>
          </cell>
          <cell r="J1768" t="str">
            <v>ZAGNE</v>
          </cell>
          <cell r="K1768" t="str">
            <v>TAI</v>
          </cell>
          <cell r="L1768" t="str">
            <v>CAVALLY</v>
          </cell>
          <cell r="M1768" t="str">
            <v>MAN</v>
          </cell>
          <cell r="N1768" t="str">
            <v>UPCOUNTRY</v>
          </cell>
        </row>
        <row r="1769">
          <cell r="B1769" t="str">
            <v>ET914</v>
          </cell>
          <cell r="C1769" t="str">
            <v>ODIENNE_STADE</v>
          </cell>
          <cell r="D1769" t="str">
            <v>-7.57471</v>
          </cell>
          <cell r="E1769" t="str">
            <v>9.50113</v>
          </cell>
          <cell r="F1769" t="str">
            <v>2G/3G/4G</v>
          </cell>
          <cell r="G1769" t="str">
            <v>HUAWEI</v>
          </cell>
          <cell r="H1769" t="str">
            <v>MOOV</v>
          </cell>
          <cell r="I1769" t="str">
            <v>ODIENNE</v>
          </cell>
          <cell r="J1769" t="str">
            <v>ODIENNE</v>
          </cell>
          <cell r="K1769" t="str">
            <v>ODIENNE</v>
          </cell>
          <cell r="L1769" t="str">
            <v>KABADOUGOU</v>
          </cell>
          <cell r="M1769" t="str">
            <v>MAN</v>
          </cell>
          <cell r="N1769" t="str">
            <v>UPCOUNTRY</v>
          </cell>
        </row>
        <row r="1770">
          <cell r="B1770" t="str">
            <v>ET724</v>
          </cell>
          <cell r="C1770" t="str">
            <v>DAHIRA</v>
          </cell>
          <cell r="D1770" t="str">
            <v>-6.335627</v>
          </cell>
          <cell r="E1770" t="str">
            <v>6.549673</v>
          </cell>
          <cell r="F1770" t="str">
            <v>2G/3G/4G</v>
          </cell>
          <cell r="G1770" t="str">
            <v>HUAWEI</v>
          </cell>
          <cell r="H1770" t="str">
            <v>IHS</v>
          </cell>
          <cell r="I1770" t="str">
            <v>DAHIRA</v>
          </cell>
          <cell r="J1770" t="str">
            <v>SAIOUA</v>
          </cell>
          <cell r="K1770" t="str">
            <v>ISSIA</v>
          </cell>
          <cell r="L1770" t="str">
            <v>HAUT-SASSANDRA</v>
          </cell>
          <cell r="M1770" t="str">
            <v>DALOA</v>
          </cell>
          <cell r="N1770" t="str">
            <v>UPCOUNTRY</v>
          </cell>
        </row>
        <row r="1771">
          <cell r="B1771" t="str">
            <v>ET599</v>
          </cell>
          <cell r="C1771" t="str">
            <v>DANANE_BELLEVILLE</v>
          </cell>
          <cell r="D1771" t="str">
            <v>-8.161536</v>
          </cell>
          <cell r="E1771" t="str">
            <v>7.255227</v>
          </cell>
          <cell r="F1771" t="str">
            <v>2G/3G/4G</v>
          </cell>
          <cell r="G1771" t="str">
            <v>HUAWEI</v>
          </cell>
          <cell r="H1771" t="str">
            <v>MOOV</v>
          </cell>
          <cell r="I1771" t="str">
            <v>DANANE</v>
          </cell>
          <cell r="J1771" t="str">
            <v>DANANE</v>
          </cell>
          <cell r="K1771" t="str">
            <v>DANANE</v>
          </cell>
          <cell r="L1771" t="str">
            <v>TONKPI</v>
          </cell>
          <cell r="M1771" t="str">
            <v>MAN</v>
          </cell>
          <cell r="N1771" t="str">
            <v>UPCOUNTRY</v>
          </cell>
        </row>
        <row r="1772">
          <cell r="B1772" t="str">
            <v>ET835</v>
          </cell>
          <cell r="C1772" t="str">
            <v>DOBRE</v>
          </cell>
          <cell r="D1772" t="str">
            <v>-6.342463</v>
          </cell>
          <cell r="E1772" t="str">
            <v>5.56432</v>
          </cell>
          <cell r="F1772" t="str">
            <v>2G/3G/4G</v>
          </cell>
          <cell r="G1772" t="str">
            <v>HUAWEI</v>
          </cell>
          <cell r="H1772" t="str">
            <v>MOOV</v>
          </cell>
          <cell r="I1772" t="str">
            <v>DOBRE</v>
          </cell>
          <cell r="J1772" t="str">
            <v>SOUBRE</v>
          </cell>
          <cell r="K1772" t="str">
            <v>MEAGUI</v>
          </cell>
          <cell r="L1772" t="str">
            <v>NAWA</v>
          </cell>
          <cell r="M1772" t="str">
            <v>SOUBRE</v>
          </cell>
          <cell r="N1772" t="str">
            <v>UPCOUNTRY</v>
          </cell>
        </row>
        <row r="1773">
          <cell r="B1773" t="str">
            <v>ET625</v>
          </cell>
          <cell r="C1773" t="str">
            <v>GUIGLO_NICLA</v>
          </cell>
          <cell r="D1773" t="str">
            <v>-7.481769</v>
          </cell>
          <cell r="E1773" t="str">
            <v>6.523627</v>
          </cell>
          <cell r="F1773" t="str">
            <v>2G/3G/4G</v>
          </cell>
          <cell r="G1773" t="str">
            <v>HUAWEI</v>
          </cell>
          <cell r="H1773" t="str">
            <v>MOOV</v>
          </cell>
          <cell r="I1773" t="str">
            <v>GUIGLO</v>
          </cell>
          <cell r="J1773" t="str">
            <v>GUIGLO</v>
          </cell>
          <cell r="K1773" t="str">
            <v>GUIGLO</v>
          </cell>
          <cell r="L1773" t="str">
            <v>CAVALLY</v>
          </cell>
          <cell r="M1773" t="str">
            <v>MAN</v>
          </cell>
          <cell r="N1773" t="str">
            <v>UPCOUNTRY</v>
          </cell>
        </row>
        <row r="1774">
          <cell r="B1774" t="str">
            <v>ET995</v>
          </cell>
          <cell r="C1774" t="str">
            <v>TOUBA_TP</v>
          </cell>
          <cell r="D1774" t="str">
            <v>-7.673328</v>
          </cell>
          <cell r="E1774" t="str">
            <v>8.286877</v>
          </cell>
          <cell r="F1774" t="str">
            <v>2G/3G/4G</v>
          </cell>
          <cell r="G1774" t="str">
            <v>HUAWEI</v>
          </cell>
          <cell r="H1774" t="str">
            <v>MOOV</v>
          </cell>
          <cell r="I1774" t="str">
            <v>TOUBA</v>
          </cell>
          <cell r="J1774" t="str">
            <v>TOUBA</v>
          </cell>
          <cell r="K1774" t="str">
            <v>TOUBA</v>
          </cell>
          <cell r="L1774" t="str">
            <v>BAFING</v>
          </cell>
          <cell r="M1774" t="str">
            <v>MAN</v>
          </cell>
          <cell r="N1774" t="str">
            <v>UPCOUNTRY</v>
          </cell>
        </row>
        <row r="1775">
          <cell r="B1775" t="str">
            <v>ET974</v>
          </cell>
          <cell r="C1775" t="str">
            <v>ADJAHUI_GATL</v>
          </cell>
          <cell r="D1775" t="str">
            <v>-3.935164</v>
          </cell>
          <cell r="E1775" t="str">
            <v>5.272726</v>
          </cell>
          <cell r="F1775" t="str">
            <v>2G/3G/4G</v>
          </cell>
          <cell r="G1775" t="str">
            <v>HUAWEI</v>
          </cell>
          <cell r="H1775" t="str">
            <v>MOOV</v>
          </cell>
          <cell r="I1775" t="str">
            <v>PORT-BOUET</v>
          </cell>
          <cell r="J1775" t="str">
            <v>ABIDJAN</v>
          </cell>
          <cell r="K1775" t="str">
            <v>ABIDJAN</v>
          </cell>
          <cell r="L1775" t="str">
            <v>ABIDJAN</v>
          </cell>
          <cell r="M1775" t="str">
            <v>MARCORY</v>
          </cell>
          <cell r="N1775" t="str">
            <v>ABIDJAN</v>
          </cell>
        </row>
        <row r="1776">
          <cell r="B1776" t="str">
            <v>ET859</v>
          </cell>
          <cell r="C1776" t="str">
            <v>NAFOUNGOLO</v>
          </cell>
          <cell r="D1776" t="str">
            <v>-5.449316</v>
          </cell>
          <cell r="E1776" t="str">
            <v>10.315474</v>
          </cell>
          <cell r="F1776" t="str">
            <v>2G/3G/4G</v>
          </cell>
          <cell r="G1776" t="str">
            <v>HUAWEI</v>
          </cell>
          <cell r="H1776" t="str">
            <v>MOOV</v>
          </cell>
          <cell r="I1776" t="str">
            <v>NAFOUNGOLO</v>
          </cell>
          <cell r="J1776" t="str">
            <v>DIAWALA</v>
          </cell>
          <cell r="K1776" t="str">
            <v>OUANGOLODOUGOU</v>
          </cell>
          <cell r="L1776" t="str">
            <v>TCHOLOGO</v>
          </cell>
          <cell r="M1776" t="str">
            <v>KORHOGO</v>
          </cell>
          <cell r="N1776" t="str">
            <v>UPCOUNTRY</v>
          </cell>
        </row>
        <row r="1777">
          <cell r="B1777" t="str">
            <v>ET620</v>
          </cell>
          <cell r="C1777" t="str">
            <v>GODELILIE</v>
          </cell>
          <cell r="D1777" t="str">
            <v>-5.966464</v>
          </cell>
          <cell r="E1777" t="str">
            <v>5.601435</v>
          </cell>
          <cell r="F1777" t="str">
            <v>2G/3G/4G</v>
          </cell>
          <cell r="G1777" t="str">
            <v>HUAWEI</v>
          </cell>
          <cell r="H1777" t="str">
            <v>MOOV</v>
          </cell>
          <cell r="I1777" t="str">
            <v>GODELILIE</v>
          </cell>
          <cell r="J1777" t="str">
            <v>NIAMBEZARIA</v>
          </cell>
          <cell r="K1777" t="str">
            <v>LAKOTA</v>
          </cell>
          <cell r="L1777" t="str">
            <v>LOH-DJIBOUA</v>
          </cell>
          <cell r="M1777" t="str">
            <v>DIVO</v>
          </cell>
          <cell r="N1777" t="str">
            <v>UPCOUNTRY</v>
          </cell>
        </row>
        <row r="1778">
          <cell r="B1778" t="str">
            <v>ET799</v>
          </cell>
          <cell r="C1778" t="str">
            <v>NIDROU</v>
          </cell>
          <cell r="D1778" t="str">
            <v>-7.447550</v>
          </cell>
          <cell r="E1778" t="str">
            <v>7.300290</v>
          </cell>
          <cell r="F1778" t="str">
            <v>2G/3G/4G</v>
          </cell>
          <cell r="G1778" t="str">
            <v>HUAWEI</v>
          </cell>
          <cell r="H1778" t="str">
            <v>MOOV</v>
          </cell>
          <cell r="I1778" t="str">
            <v>NIDROU</v>
          </cell>
          <cell r="J1778" t="str">
            <v>NIDROU</v>
          </cell>
          <cell r="K1778" t="str">
            <v>KOUIBLY</v>
          </cell>
          <cell r="L1778" t="str">
            <v>GUEMON</v>
          </cell>
          <cell r="M1778" t="str">
            <v>MAN</v>
          </cell>
          <cell r="N1778" t="str">
            <v>UPCOUNTRY</v>
          </cell>
        </row>
        <row r="1779">
          <cell r="B1779" t="str">
            <v>ET719</v>
          </cell>
          <cell r="C1779" t="str">
            <v>BONOUA_EKRESSINVILLE</v>
          </cell>
          <cell r="D1779" t="str">
            <v>-3.686545</v>
          </cell>
          <cell r="E1779" t="str">
            <v>5.223238</v>
          </cell>
          <cell r="F1779" t="str">
            <v>2G/3G/4G</v>
          </cell>
          <cell r="G1779" t="str">
            <v>HUAWEI</v>
          </cell>
          <cell r="H1779" t="str">
            <v>MOOV</v>
          </cell>
          <cell r="I1779" t="str">
            <v>BONOUA</v>
          </cell>
          <cell r="J1779" t="str">
            <v>BONOUA</v>
          </cell>
          <cell r="K1779" t="str">
            <v>GRAND-BASSAM</v>
          </cell>
          <cell r="L1779" t="str">
            <v>SUD-COMOE</v>
          </cell>
          <cell r="M1779" t="str">
            <v>MARCORY</v>
          </cell>
          <cell r="N1779" t="str">
            <v>UPCOUNTRY</v>
          </cell>
        </row>
        <row r="1780">
          <cell r="B1780" t="str">
            <v>ET915</v>
          </cell>
          <cell r="C1780" t="str">
            <v>BASSAM_CITE_KAYDAN</v>
          </cell>
          <cell r="D1780" t="str">
            <v>-3.798260</v>
          </cell>
          <cell r="E1780" t="str">
            <v>5.241825</v>
          </cell>
          <cell r="F1780" t="str">
            <v>2G/3G/4G</v>
          </cell>
          <cell r="G1780" t="str">
            <v>HUAWEI</v>
          </cell>
          <cell r="H1780" t="str">
            <v>MOOV</v>
          </cell>
          <cell r="I1780" t="str">
            <v>GRAND-BASSAM</v>
          </cell>
          <cell r="J1780" t="str">
            <v>GRAND-BASSAM</v>
          </cell>
          <cell r="K1780" t="str">
            <v>GRAND-BASSAM</v>
          </cell>
          <cell r="L1780" t="str">
            <v>SUD-COMOE</v>
          </cell>
          <cell r="M1780" t="str">
            <v>MARCORY</v>
          </cell>
          <cell r="N1780" t="str">
            <v>UPCOUNTRY</v>
          </cell>
        </row>
        <row r="1781">
          <cell r="B1781" t="str">
            <v>ET706</v>
          </cell>
          <cell r="C1781" t="str">
            <v>GLOPLOU</v>
          </cell>
          <cell r="D1781" t="str">
            <v>-7.353040</v>
          </cell>
          <cell r="E1781" t="str">
            <v>7.111420</v>
          </cell>
          <cell r="F1781" t="str">
            <v>2G/3G/4G</v>
          </cell>
          <cell r="G1781" t="str">
            <v>HUAWEI</v>
          </cell>
          <cell r="H1781" t="str">
            <v>MOOV</v>
          </cell>
          <cell r="I1781" t="str">
            <v>GLOPLOU</v>
          </cell>
          <cell r="J1781" t="str">
            <v>BEOUE-ZIBIAO</v>
          </cell>
          <cell r="K1781" t="str">
            <v>BANGOLO</v>
          </cell>
          <cell r="L1781" t="str">
            <v>GUEMON</v>
          </cell>
          <cell r="M1781" t="str">
            <v>MAN</v>
          </cell>
          <cell r="N1781" t="str">
            <v>UPCOUNTRY</v>
          </cell>
        </row>
        <row r="1782">
          <cell r="B1782" t="str">
            <v>ET892</v>
          </cell>
          <cell r="C1782" t="str">
            <v>TIOROTIERI</v>
          </cell>
          <cell r="D1782" t="str">
            <v>-6.211711</v>
          </cell>
          <cell r="E1782" t="str">
            <v>10.088390</v>
          </cell>
          <cell r="F1782" t="str">
            <v>2G/3G/4G</v>
          </cell>
          <cell r="G1782" t="str">
            <v>HUAWEI</v>
          </cell>
          <cell r="H1782" t="str">
            <v>MOOV</v>
          </cell>
          <cell r="I1782" t="str">
            <v>TIOROTIERI</v>
          </cell>
          <cell r="J1782" t="str">
            <v>KATOGO</v>
          </cell>
          <cell r="K1782" t="str">
            <v>M'BENGUE</v>
          </cell>
          <cell r="L1782" t="str">
            <v>PORO</v>
          </cell>
          <cell r="M1782" t="str">
            <v>KORHOGO</v>
          </cell>
          <cell r="N1782" t="str">
            <v>UPCOUNTRY</v>
          </cell>
        </row>
        <row r="1783">
          <cell r="B1783" t="str">
            <v>ET890</v>
          </cell>
          <cell r="C1783" t="str">
            <v>LATOKAHA</v>
          </cell>
          <cell r="D1783" t="str">
            <v>-5.391105</v>
          </cell>
          <cell r="E1783" t="str">
            <v>8.626590</v>
          </cell>
          <cell r="F1783" t="str">
            <v>2G/3G/4G</v>
          </cell>
          <cell r="G1783" t="str">
            <v>HUAWEI</v>
          </cell>
          <cell r="H1783" t="str">
            <v>MOOV</v>
          </cell>
          <cell r="I1783" t="str">
            <v>LATOKAHA</v>
          </cell>
          <cell r="J1783" t="str">
            <v>NIAKARAMADOUGOU</v>
          </cell>
          <cell r="K1783" t="str">
            <v>NIAKARAMADOUGOU</v>
          </cell>
          <cell r="L1783" t="str">
            <v>HAMBOL</v>
          </cell>
          <cell r="M1783" t="str">
            <v>KORHOGO</v>
          </cell>
          <cell r="N1783" t="str">
            <v>UPCOUNTRY</v>
          </cell>
        </row>
        <row r="1784">
          <cell r="B1784" t="str">
            <v>ET673</v>
          </cell>
          <cell r="C1784" t="str">
            <v>BANNEU</v>
          </cell>
          <cell r="D1784" t="str">
            <v>-8.251160</v>
          </cell>
          <cell r="E1784" t="str">
            <v>7.072720</v>
          </cell>
          <cell r="F1784" t="str">
            <v>2G/3G/4G</v>
          </cell>
          <cell r="G1784" t="str">
            <v>HUAWEI</v>
          </cell>
          <cell r="H1784" t="str">
            <v>MOOV</v>
          </cell>
          <cell r="I1784" t="str">
            <v>BANNEU</v>
          </cell>
          <cell r="J1784" t="str">
            <v>BANNEU</v>
          </cell>
          <cell r="K1784" t="str">
            <v>ZOUAN-HOUNIEN</v>
          </cell>
          <cell r="L1784" t="str">
            <v>TONKPI</v>
          </cell>
          <cell r="M1784" t="str">
            <v>MAN</v>
          </cell>
          <cell r="N1784" t="str">
            <v>UPCOUNTRY</v>
          </cell>
        </row>
        <row r="1785">
          <cell r="B1785" t="str">
            <v>ET874</v>
          </cell>
          <cell r="C1785" t="str">
            <v>TAOBLY</v>
          </cell>
          <cell r="D1785" t="str">
            <v>-7.185975</v>
          </cell>
          <cell r="E1785" t="str">
            <v>7.412130</v>
          </cell>
          <cell r="F1785" t="str">
            <v>2G/3G/4G</v>
          </cell>
          <cell r="G1785" t="str">
            <v>HUAWEI</v>
          </cell>
          <cell r="H1785" t="str">
            <v>MOOV</v>
          </cell>
          <cell r="I1785" t="str">
            <v>TAOBLY</v>
          </cell>
          <cell r="J1785" t="str">
            <v>SEMIEN</v>
          </cell>
          <cell r="K1785" t="str">
            <v>FACOBLY</v>
          </cell>
          <cell r="L1785" t="str">
            <v>GUEMON</v>
          </cell>
          <cell r="M1785" t="str">
            <v>MAN</v>
          </cell>
          <cell r="N1785" t="str">
            <v>UPCOUNTRY</v>
          </cell>
        </row>
        <row r="1786">
          <cell r="B1786" t="str">
            <v>ET927</v>
          </cell>
          <cell r="C1786" t="str">
            <v>YOREDOULA</v>
          </cell>
          <cell r="D1786" t="str">
            <v>-6.714550</v>
          </cell>
          <cell r="E1786" t="str">
            <v>7.326140</v>
          </cell>
          <cell r="F1786" t="str">
            <v>2G/3G/4G</v>
          </cell>
          <cell r="G1786" t="str">
            <v>HUAWEI</v>
          </cell>
          <cell r="H1786" t="str">
            <v>MOOV</v>
          </cell>
          <cell r="I1786" t="str">
            <v>YOREDOULA</v>
          </cell>
          <cell r="J1786" t="str">
            <v>SEITIFLA</v>
          </cell>
          <cell r="K1786" t="str">
            <v>VAVOUA</v>
          </cell>
          <cell r="L1786" t="str">
            <v>HAUT-SASSANDRA</v>
          </cell>
          <cell r="M1786" t="str">
            <v>DALOA</v>
          </cell>
          <cell r="N1786" t="str">
            <v>UPCOUNTRY</v>
          </cell>
        </row>
        <row r="1787">
          <cell r="B1787" t="str">
            <v>ET939</v>
          </cell>
          <cell r="C1787" t="str">
            <v>WILLY_CERES_NORD</v>
          </cell>
          <cell r="D1787" t="str">
            <v>-4.022080</v>
          </cell>
          <cell r="E1787" t="str">
            <v>5.368770</v>
          </cell>
          <cell r="F1787" t="str">
            <v>2G/3G/4G</v>
          </cell>
          <cell r="G1787" t="str">
            <v>ERICSSON</v>
          </cell>
          <cell r="H1787" t="str">
            <v>MOOV</v>
          </cell>
          <cell r="I1787" t="str">
            <v>ADJAME</v>
          </cell>
          <cell r="J1787" t="str">
            <v>ABIDJAN</v>
          </cell>
          <cell r="K1787" t="str">
            <v>ABIDJAN</v>
          </cell>
          <cell r="L1787" t="str">
            <v>ABIDJAN</v>
          </cell>
          <cell r="M1787" t="str">
            <v>PLATEAU</v>
          </cell>
          <cell r="N1787" t="str">
            <v>ABIDJAN</v>
          </cell>
        </row>
        <row r="1788">
          <cell r="B1788" t="str">
            <v>ET992</v>
          </cell>
          <cell r="C1788" t="str">
            <v>PROCHE_ORNELA</v>
          </cell>
          <cell r="D1788" t="str">
            <v>-4.086459</v>
          </cell>
          <cell r="E1788" t="str">
            <v>5.318941</v>
          </cell>
          <cell r="F1788" t="str">
            <v>2G/3G/4G</v>
          </cell>
          <cell r="G1788" t="str">
            <v>ERICSSON</v>
          </cell>
          <cell r="H1788" t="str">
            <v>MOOV</v>
          </cell>
          <cell r="I1788" t="str">
            <v>YOPOUGON</v>
          </cell>
          <cell r="J1788" t="str">
            <v>ABIDJAN</v>
          </cell>
          <cell r="K1788" t="str">
            <v>ABIDJAN</v>
          </cell>
          <cell r="L1788" t="str">
            <v>ABIDJAN</v>
          </cell>
          <cell r="M1788" t="str">
            <v>YOPOUGON SABLE</v>
          </cell>
          <cell r="N1788" t="str">
            <v>ABIDJAN</v>
          </cell>
        </row>
        <row r="1789">
          <cell r="B1789" t="str">
            <v>ET928</v>
          </cell>
          <cell r="C1789" t="str">
            <v>ABOBO_CUMORAH</v>
          </cell>
          <cell r="D1789" t="str">
            <v>-4.009730</v>
          </cell>
          <cell r="E1789" t="str">
            <v>5.391150</v>
          </cell>
          <cell r="F1789" t="str">
            <v>2G/3G/4G</v>
          </cell>
          <cell r="G1789" t="str">
            <v>ERICSSON</v>
          </cell>
          <cell r="H1789" t="str">
            <v>MOOV</v>
          </cell>
          <cell r="I1789" t="str">
            <v>ABOBO</v>
          </cell>
          <cell r="J1789" t="str">
            <v>ABIDJAN</v>
          </cell>
          <cell r="K1789" t="str">
            <v>ABIDJAN</v>
          </cell>
          <cell r="L1789" t="str">
            <v>ABIDJAN</v>
          </cell>
          <cell r="M1789" t="str">
            <v>ABOBO</v>
          </cell>
          <cell r="N1789" t="str">
            <v>ABIDJAN</v>
          </cell>
        </row>
        <row r="1790">
          <cell r="B1790" t="str">
            <v>ET941</v>
          </cell>
          <cell r="C1790" t="str">
            <v>ANYAMA_ADJAME_2</v>
          </cell>
          <cell r="D1790" t="str">
            <v>-4.034306</v>
          </cell>
          <cell r="E1790" t="str">
            <v>5.488139</v>
          </cell>
          <cell r="F1790" t="str">
            <v>2G/3G/4G</v>
          </cell>
          <cell r="G1790" t="str">
            <v>ERICSSON</v>
          </cell>
          <cell r="H1790" t="str">
            <v>IHS</v>
          </cell>
          <cell r="I1790" t="str">
            <v>ANYAMA</v>
          </cell>
          <cell r="J1790" t="str">
            <v>ANYAMA</v>
          </cell>
          <cell r="K1790" t="str">
            <v>ABIDJAN</v>
          </cell>
          <cell r="L1790" t="str">
            <v>ABIDJAN</v>
          </cell>
          <cell r="M1790" t="str">
            <v>ABOBO</v>
          </cell>
          <cell r="N1790" t="str">
            <v>ABIDJAN</v>
          </cell>
        </row>
        <row r="1791">
          <cell r="B1791" t="str">
            <v>ET852</v>
          </cell>
          <cell r="C1791" t="str">
            <v>TRAWAININKRO</v>
          </cell>
          <cell r="D1791" t="str">
            <v>-6.883991</v>
          </cell>
          <cell r="E1791" t="str">
            <v>6.065248</v>
          </cell>
          <cell r="F1791" t="str">
            <v>2G/3G/4G</v>
          </cell>
          <cell r="G1791" t="str">
            <v>HUAWEI</v>
          </cell>
          <cell r="H1791" t="str">
            <v>MOOV</v>
          </cell>
          <cell r="I1791" t="str">
            <v>TRAWAININKRO</v>
          </cell>
          <cell r="J1791" t="str">
            <v>DAPEOUA</v>
          </cell>
          <cell r="K1791" t="str">
            <v>BUYO</v>
          </cell>
          <cell r="L1791" t="str">
            <v>NAWA</v>
          </cell>
          <cell r="M1791" t="str">
            <v>SOUBRE</v>
          </cell>
          <cell r="N1791" t="str">
            <v>UPCOUNTRY</v>
          </cell>
        </row>
        <row r="1792">
          <cell r="B1792" t="str">
            <v>ET772</v>
          </cell>
          <cell r="C1792" t="str">
            <v>KOUEGO</v>
          </cell>
          <cell r="D1792" t="str">
            <v>-6.768265</v>
          </cell>
          <cell r="E1792" t="str">
            <v>8.058417</v>
          </cell>
          <cell r="F1792" t="str">
            <v>2G/3G/4G</v>
          </cell>
          <cell r="G1792" t="str">
            <v>HUAWEI</v>
          </cell>
          <cell r="H1792" t="str">
            <v>MOOV</v>
          </cell>
          <cell r="I1792" t="str">
            <v>KOUEGO</v>
          </cell>
          <cell r="J1792" t="str">
            <v>WOROFLA</v>
          </cell>
          <cell r="K1792" t="str">
            <v>SEGUELA</v>
          </cell>
          <cell r="L1792" t="str">
            <v>WORODOUGOU</v>
          </cell>
          <cell r="M1792" t="str">
            <v>DALOA</v>
          </cell>
          <cell r="N1792" t="str">
            <v>UPCOUNTRY</v>
          </cell>
        </row>
        <row r="1793">
          <cell r="B1793" t="str">
            <v>ET872</v>
          </cell>
          <cell r="C1793" t="str">
            <v>KATIALI</v>
          </cell>
          <cell r="D1793" t="str">
            <v>-5.927850</v>
          </cell>
          <cell r="E1793" t="str">
            <v>9.817380</v>
          </cell>
          <cell r="F1793" t="str">
            <v>2G/3G/4G</v>
          </cell>
          <cell r="G1793" t="str">
            <v>HUAWEI</v>
          </cell>
          <cell r="H1793" t="str">
            <v>MOOV</v>
          </cell>
          <cell r="I1793" t="str">
            <v>KATIALI</v>
          </cell>
          <cell r="J1793" t="str">
            <v>KATIALI</v>
          </cell>
          <cell r="K1793" t="str">
            <v>M'BENGUE</v>
          </cell>
          <cell r="L1793" t="str">
            <v>PORO</v>
          </cell>
          <cell r="M1793" t="str">
            <v>KORHOGO</v>
          </cell>
          <cell r="N1793" t="str">
            <v>UPCOUNTRY</v>
          </cell>
        </row>
        <row r="1794">
          <cell r="B1794" t="str">
            <v>ET993</v>
          </cell>
          <cell r="C1794" t="str">
            <v>YOP_ST_ANDRE</v>
          </cell>
          <cell r="D1794" t="str">
            <v>-4.073524</v>
          </cell>
          <cell r="E1794" t="str">
            <v>5.342911</v>
          </cell>
          <cell r="F1794" t="str">
            <v>2G/3G/4G</v>
          </cell>
          <cell r="G1794" t="str">
            <v>ERICSSON</v>
          </cell>
          <cell r="H1794" t="str">
            <v>IHS</v>
          </cell>
          <cell r="I1794" t="str">
            <v>YOPOUGON</v>
          </cell>
          <cell r="J1794" t="str">
            <v>ABIDJAN</v>
          </cell>
          <cell r="K1794" t="str">
            <v>ABIDJAN</v>
          </cell>
          <cell r="L1794" t="str">
            <v>ABIDJAN</v>
          </cell>
          <cell r="M1794" t="str">
            <v>YOPOUGON FICGAYO</v>
          </cell>
          <cell r="N1794" t="str">
            <v>ABIDJAN</v>
          </cell>
        </row>
        <row r="1795">
          <cell r="B1795" t="str">
            <v>ET866</v>
          </cell>
          <cell r="C1795" t="str">
            <v>BODOUASSO</v>
          </cell>
          <cell r="D1795" t="str">
            <v>-6.393567</v>
          </cell>
          <cell r="E1795" t="str">
            <v>7.706807</v>
          </cell>
          <cell r="F1795" t="str">
            <v>2G/3G/4G</v>
          </cell>
          <cell r="G1795" t="str">
            <v>HUAWEI</v>
          </cell>
          <cell r="H1795" t="str">
            <v>MOOV</v>
          </cell>
          <cell r="I1795" t="str">
            <v>BODOUASSO</v>
          </cell>
          <cell r="J1795" t="str">
            <v>DANANON</v>
          </cell>
          <cell r="K1795" t="str">
            <v>VAVOUA</v>
          </cell>
          <cell r="L1795" t="str">
            <v>HAUT-SASSANDRA</v>
          </cell>
          <cell r="M1795" t="str">
            <v>DALOA</v>
          </cell>
          <cell r="N1795" t="str">
            <v>UPCOUNTRY</v>
          </cell>
        </row>
        <row r="1796">
          <cell r="B1796" t="str">
            <v>ET865</v>
          </cell>
          <cell r="C1796" t="str">
            <v>FIZANLOUMA</v>
          </cell>
          <cell r="D1796" t="str">
            <v>-6.087982</v>
          </cell>
          <cell r="E1796" t="str">
            <v>8.032614</v>
          </cell>
          <cell r="F1796" t="str">
            <v>2G/3G/4G</v>
          </cell>
          <cell r="G1796" t="str">
            <v>HUAWEI</v>
          </cell>
          <cell r="H1796" t="str">
            <v>MOOV</v>
          </cell>
          <cell r="I1796" t="str">
            <v>FIZANLOUMA</v>
          </cell>
          <cell r="J1796" t="str">
            <v>MANKONO</v>
          </cell>
          <cell r="K1796" t="str">
            <v>MANKONO</v>
          </cell>
          <cell r="L1796" t="str">
            <v>BERE</v>
          </cell>
          <cell r="M1796" t="str">
            <v>BOUAKE</v>
          </cell>
          <cell r="N1796" t="str">
            <v>UPCOUNTRY</v>
          </cell>
        </row>
        <row r="1797">
          <cell r="B1797" t="str">
            <v>ET991</v>
          </cell>
          <cell r="C1797" t="str">
            <v>YOP_PORT-BOUET2_SIDOCO</v>
          </cell>
          <cell r="D1797" t="str">
            <v>-4.088485</v>
          </cell>
          <cell r="E1797" t="str">
            <v>5.351650</v>
          </cell>
          <cell r="F1797" t="str">
            <v>2G/3G/4G</v>
          </cell>
          <cell r="G1797" t="str">
            <v>ERICSSON</v>
          </cell>
          <cell r="H1797" t="str">
            <v>MOOV</v>
          </cell>
          <cell r="I1797" t="str">
            <v>YOPOUGON</v>
          </cell>
          <cell r="J1797" t="str">
            <v>ABIDJAN</v>
          </cell>
          <cell r="K1797" t="str">
            <v>ABIDJAN</v>
          </cell>
          <cell r="L1797" t="str">
            <v>ABIDJAN</v>
          </cell>
          <cell r="M1797" t="str">
            <v>YOPOUGON FICGAYO</v>
          </cell>
          <cell r="N1797" t="str">
            <v>ABIDJAN</v>
          </cell>
        </row>
        <row r="1798">
          <cell r="B1798" t="str">
            <v>ET929</v>
          </cell>
          <cell r="C1798" t="str">
            <v>SAMAKE_AUCHAN</v>
          </cell>
          <cell r="D1798" t="str">
            <v>-4.008149</v>
          </cell>
          <cell r="E1798" t="str">
            <v>5.414555</v>
          </cell>
          <cell r="F1798" t="str">
            <v>2G/3G/4G</v>
          </cell>
          <cell r="G1798" t="str">
            <v>ERICSSON</v>
          </cell>
          <cell r="H1798" t="str">
            <v>MOOV</v>
          </cell>
          <cell r="I1798" t="str">
            <v>ABOBO</v>
          </cell>
          <cell r="J1798" t="str">
            <v>ABIDJAN</v>
          </cell>
          <cell r="K1798" t="str">
            <v>ABIDJAN</v>
          </cell>
          <cell r="L1798" t="str">
            <v>ABIDJAN</v>
          </cell>
          <cell r="M1798" t="str">
            <v>ABOBO</v>
          </cell>
          <cell r="N1798" t="str">
            <v>ABIDJAN</v>
          </cell>
        </row>
        <row r="1799">
          <cell r="B1799" t="str">
            <v>ET978</v>
          </cell>
          <cell r="C1799" t="str">
            <v>TREICH-AVENUE 9</v>
          </cell>
          <cell r="D1799" t="str">
            <v>-4.007636</v>
          </cell>
          <cell r="E1799" t="str">
            <v>5.308215</v>
          </cell>
          <cell r="F1799" t="str">
            <v>2G/3G/4G</v>
          </cell>
          <cell r="G1799" t="str">
            <v>ERICSSON</v>
          </cell>
          <cell r="H1799" t="str">
            <v>MOOV</v>
          </cell>
          <cell r="I1799" t="str">
            <v>TREICHVILLE</v>
          </cell>
          <cell r="J1799" t="str">
            <v>ABIDJAN</v>
          </cell>
          <cell r="K1799" t="str">
            <v>ABIDJAN</v>
          </cell>
          <cell r="L1799" t="str">
            <v>ABIDJAN</v>
          </cell>
          <cell r="M1799" t="str">
            <v>PLATEAU</v>
          </cell>
          <cell r="N1799" t="str">
            <v>ABIDJAN</v>
          </cell>
        </row>
        <row r="1800">
          <cell r="B1800" t="str">
            <v>ET815</v>
          </cell>
          <cell r="C1800" t="str">
            <v>SONGON_BEL_HORIZON</v>
          </cell>
          <cell r="D1800" t="str">
            <v>-4.151540</v>
          </cell>
          <cell r="E1800" t="str">
            <v>5.340140</v>
          </cell>
          <cell r="F1800" t="str">
            <v>2G/3G/4G</v>
          </cell>
          <cell r="G1800" t="str">
            <v>ERICSSON</v>
          </cell>
          <cell r="H1800" t="str">
            <v>MOOV</v>
          </cell>
          <cell r="I1800" t="str">
            <v>SONGON</v>
          </cell>
          <cell r="J1800" t="str">
            <v>SONGON</v>
          </cell>
          <cell r="K1800" t="str">
            <v>ABIDJAN</v>
          </cell>
          <cell r="L1800" t="str">
            <v>ABIDJAN</v>
          </cell>
          <cell r="M1800" t="str">
            <v>YOPOUGON FICGAYO</v>
          </cell>
          <cell r="N1800" t="str">
            <v>ABIDJAN</v>
          </cell>
        </row>
        <row r="1801">
          <cell r="B1801" t="str">
            <v>ET990</v>
          </cell>
          <cell r="C1801" t="str">
            <v>YOP_BEAGO</v>
          </cell>
          <cell r="D1801" t="str">
            <v>-4.073897</v>
          </cell>
          <cell r="E1801" t="str">
            <v>5.309461</v>
          </cell>
          <cell r="F1801" t="str">
            <v>2G/3G/4G</v>
          </cell>
          <cell r="G1801" t="str">
            <v>ERICSSON</v>
          </cell>
          <cell r="H1801" t="str">
            <v>MOOV</v>
          </cell>
          <cell r="I1801" t="str">
            <v>YOPOUGON</v>
          </cell>
          <cell r="J1801" t="str">
            <v>ABIDJAN</v>
          </cell>
          <cell r="K1801" t="str">
            <v>ABIDJAN</v>
          </cell>
          <cell r="L1801" t="str">
            <v>ABIDJAN</v>
          </cell>
          <cell r="M1801" t="str">
            <v>YOPOUGON FICGAYO</v>
          </cell>
          <cell r="N1801" t="str">
            <v>ABIDJAN</v>
          </cell>
        </row>
        <row r="1802">
          <cell r="B1802" t="str">
            <v>ET988</v>
          </cell>
          <cell r="C1802" t="str">
            <v>YOP_NUMBER_ONE_EXT</v>
          </cell>
          <cell r="D1802" t="str">
            <v>-4.090113</v>
          </cell>
          <cell r="E1802" t="str">
            <v>5.386370</v>
          </cell>
          <cell r="F1802" t="str">
            <v>2G/3G/4G</v>
          </cell>
          <cell r="G1802" t="str">
            <v>ERICSSON</v>
          </cell>
          <cell r="H1802" t="str">
            <v>MOOV</v>
          </cell>
          <cell r="I1802" t="str">
            <v>YOPOUGON</v>
          </cell>
          <cell r="J1802" t="str">
            <v>ABIDJAN</v>
          </cell>
          <cell r="K1802" t="str">
            <v>ABIDJAN</v>
          </cell>
          <cell r="L1802" t="str">
            <v>ABIDJAN</v>
          </cell>
          <cell r="M1802" t="str">
            <v>YOPOUGON SABLE</v>
          </cell>
          <cell r="N1802" t="str">
            <v>ABIDJAN</v>
          </cell>
        </row>
        <row r="1803">
          <cell r="B1803" t="str">
            <v>ET877</v>
          </cell>
          <cell r="C1803" t="str">
            <v>ZIOGOUINE</v>
          </cell>
          <cell r="D1803" t="str">
            <v>-7.636389</v>
          </cell>
          <cell r="E1803" t="str">
            <v>7.194439</v>
          </cell>
          <cell r="F1803" t="str">
            <v>2G/3G/4G</v>
          </cell>
          <cell r="G1803" t="str">
            <v>HUAWEI</v>
          </cell>
          <cell r="H1803" t="str">
            <v>OCI</v>
          </cell>
          <cell r="I1803" t="str">
            <v>ZIOGOUINE</v>
          </cell>
          <cell r="J1803" t="str">
            <v>ZIOGOUINE</v>
          </cell>
          <cell r="K1803" t="str">
            <v>MAN</v>
          </cell>
          <cell r="L1803" t="str">
            <v>TONKPI</v>
          </cell>
          <cell r="M1803" t="str">
            <v>MAN</v>
          </cell>
          <cell r="N1803" t="str">
            <v>UPCOUNTRY</v>
          </cell>
        </row>
        <row r="1804">
          <cell r="B1804" t="str">
            <v>ET834</v>
          </cell>
          <cell r="C1804" t="str">
            <v>KONG_CHR</v>
          </cell>
          <cell r="D1804" t="str">
            <v>-4.602371</v>
          </cell>
          <cell r="E1804" t="str">
            <v>9.151508</v>
          </cell>
          <cell r="F1804" t="str">
            <v>2G/3G/4G</v>
          </cell>
          <cell r="G1804" t="str">
            <v>HUAWEI</v>
          </cell>
          <cell r="H1804" t="str">
            <v>MOOV</v>
          </cell>
          <cell r="I1804" t="str">
            <v>KONG</v>
          </cell>
          <cell r="J1804" t="str">
            <v>KONG</v>
          </cell>
          <cell r="K1804" t="str">
            <v>KONG</v>
          </cell>
          <cell r="L1804" t="str">
            <v>TCHOLOGO</v>
          </cell>
          <cell r="M1804" t="str">
            <v>KORHOGO</v>
          </cell>
          <cell r="N1804" t="str">
            <v>UPCOUNTRY</v>
          </cell>
        </row>
        <row r="1805">
          <cell r="B1805" t="str">
            <v>ET951</v>
          </cell>
          <cell r="C1805" t="str">
            <v>CITEKIMI_BESSIKOI</v>
          </cell>
          <cell r="D1805" t="str">
            <v>-3.952571</v>
          </cell>
          <cell r="E1805" t="str">
            <v>5.388340</v>
          </cell>
          <cell r="F1805" t="str">
            <v>2G/3G/4G</v>
          </cell>
          <cell r="G1805" t="str">
            <v>ERICSSON</v>
          </cell>
          <cell r="H1805" t="str">
            <v>MOOV</v>
          </cell>
          <cell r="I1805" t="str">
            <v>COCODY</v>
          </cell>
          <cell r="J1805" t="str">
            <v>ABIDJAN</v>
          </cell>
          <cell r="K1805" t="str">
            <v>ABIDJAN</v>
          </cell>
          <cell r="L1805" t="str">
            <v>ABIDJAN</v>
          </cell>
          <cell r="M1805" t="str">
            <v>COCODY LATRILLE</v>
          </cell>
          <cell r="N1805" t="str">
            <v>ABIDJAN</v>
          </cell>
        </row>
        <row r="1806">
          <cell r="B1806" t="str">
            <v>ET957</v>
          </cell>
          <cell r="C1806" t="str">
            <v>BESSIKOI_FLEURY</v>
          </cell>
          <cell r="D1806" t="str">
            <v>-3.940750</v>
          </cell>
          <cell r="E1806" t="str">
            <v>5.389440</v>
          </cell>
          <cell r="F1806" t="str">
            <v>2G/3G/4G</v>
          </cell>
          <cell r="G1806" t="str">
            <v>ERICSSON</v>
          </cell>
          <cell r="H1806" t="str">
            <v>MOOV</v>
          </cell>
          <cell r="I1806" t="str">
            <v>COCODY</v>
          </cell>
          <cell r="J1806" t="str">
            <v>ABIDJAN</v>
          </cell>
          <cell r="K1806" t="str">
            <v>ABIDJAN</v>
          </cell>
          <cell r="L1806" t="str">
            <v>ABIDJAN</v>
          </cell>
          <cell r="M1806" t="str">
            <v>COCODY LATRILLE</v>
          </cell>
          <cell r="N1806" t="str">
            <v>ABIDJAN</v>
          </cell>
        </row>
        <row r="1807">
          <cell r="B1807" t="str">
            <v>ET668</v>
          </cell>
          <cell r="C1807" t="str">
            <v>TAMABO_VILLAGE</v>
          </cell>
          <cell r="D1807" t="str">
            <v>-4.818332</v>
          </cell>
          <cell r="E1807" t="str">
            <v>5.414895</v>
          </cell>
          <cell r="F1807" t="str">
            <v>2G/3G/4G</v>
          </cell>
          <cell r="G1807" t="str">
            <v>ERICSSON</v>
          </cell>
          <cell r="H1807" t="str">
            <v>MOOV</v>
          </cell>
          <cell r="I1807" t="str">
            <v>TAMABO VILLAGE</v>
          </cell>
          <cell r="J1807" t="str">
            <v>AHOUANOU</v>
          </cell>
          <cell r="K1807" t="str">
            <v>GRAND-LAHOU</v>
          </cell>
          <cell r="L1807" t="str">
            <v>GRANDS-PONTS</v>
          </cell>
          <cell r="M1807" t="str">
            <v>YOPOUGON FICGAYO</v>
          </cell>
          <cell r="N1807" t="str">
            <v>UPCOUNTRY</v>
          </cell>
        </row>
        <row r="1808">
          <cell r="B1808" t="str">
            <v>ET937</v>
          </cell>
          <cell r="C1808" t="str">
            <v>ADJAME_DJIBI</v>
          </cell>
          <cell r="D1808" t="str">
            <v>-4.026481</v>
          </cell>
          <cell r="E1808" t="str">
            <v>5.341754</v>
          </cell>
          <cell r="F1808" t="str">
            <v>2G/3G/4G</v>
          </cell>
          <cell r="G1808" t="str">
            <v>ERICSSON</v>
          </cell>
          <cell r="H1808" t="str">
            <v>IHS</v>
          </cell>
          <cell r="I1808" t="str">
            <v>ADJAME</v>
          </cell>
          <cell r="J1808" t="str">
            <v>ABIDJAN</v>
          </cell>
          <cell r="K1808" t="str">
            <v>ABIDJAN</v>
          </cell>
          <cell r="L1808" t="str">
            <v>ABIDJAN</v>
          </cell>
          <cell r="M1808" t="str">
            <v>PLATEAU</v>
          </cell>
          <cell r="N1808" t="str">
            <v>ABIDJAN</v>
          </cell>
        </row>
        <row r="1809">
          <cell r="B1809" t="str">
            <v>ET647</v>
          </cell>
          <cell r="C1809" t="str">
            <v>OUAMELHORO</v>
          </cell>
          <cell r="D1809" t="str">
            <v>-5.618760</v>
          </cell>
          <cell r="E1809" t="str">
            <v>10.336363</v>
          </cell>
          <cell r="F1809" t="str">
            <v>2G/3G/4G</v>
          </cell>
          <cell r="G1809" t="str">
            <v>HUAWEI</v>
          </cell>
          <cell r="H1809" t="str">
            <v>MOOV</v>
          </cell>
          <cell r="I1809" t="str">
            <v>OUAMELHORO</v>
          </cell>
          <cell r="J1809" t="str">
            <v>TOUMOUKORO</v>
          </cell>
          <cell r="K1809" t="str">
            <v>OUANGOLODOUGOU</v>
          </cell>
          <cell r="L1809" t="str">
            <v>TCHOLOGO</v>
          </cell>
          <cell r="M1809" t="str">
            <v>KORHOGO</v>
          </cell>
          <cell r="N1809" t="str">
            <v>UPCOUNTRY</v>
          </cell>
        </row>
        <row r="1810">
          <cell r="B1810" t="str">
            <v>ET665</v>
          </cell>
          <cell r="C1810" t="str">
            <v>LOSSAN_KOUAMEKRO</v>
          </cell>
          <cell r="D1810" t="str">
            <v>-6.307358</v>
          </cell>
          <cell r="E1810" t="str">
            <v>5.028360</v>
          </cell>
          <cell r="F1810" t="str">
            <v>2G/3G/4G</v>
          </cell>
          <cell r="G1810" t="str">
            <v>ERICSSON</v>
          </cell>
          <cell r="H1810" t="str">
            <v>MOOV</v>
          </cell>
          <cell r="I1810" t="str">
            <v>LOSSAN KOUAMEKRO</v>
          </cell>
          <cell r="J1810" t="str">
            <v>SASSANDRA</v>
          </cell>
          <cell r="K1810" t="str">
            <v>SASSANDRA</v>
          </cell>
          <cell r="L1810" t="str">
            <v>GBOKLE</v>
          </cell>
          <cell r="M1810" t="str">
            <v>SAN-PEDRO</v>
          </cell>
          <cell r="N1810" t="str">
            <v>UPCOUNTRY</v>
          </cell>
        </row>
        <row r="1811">
          <cell r="B1811" t="str">
            <v>ET943</v>
          </cell>
          <cell r="C1811" t="str">
            <v>ATTECOUBE_OPERA</v>
          </cell>
          <cell r="D1811" t="str">
            <v>-4.037210</v>
          </cell>
          <cell r="E1811" t="str">
            <v>5.354740</v>
          </cell>
          <cell r="F1811" t="str">
            <v>2G/3G/4G</v>
          </cell>
          <cell r="G1811" t="str">
            <v>ERICSSON</v>
          </cell>
          <cell r="H1811" t="str">
            <v>MOOV</v>
          </cell>
          <cell r="I1811" t="str">
            <v>ATTECOUBE</v>
          </cell>
          <cell r="J1811" t="str">
            <v>ABIDJAN</v>
          </cell>
          <cell r="K1811" t="str">
            <v>ABIDJAN</v>
          </cell>
          <cell r="L1811" t="str">
            <v>ABIDJAN</v>
          </cell>
          <cell r="M1811" t="str">
            <v>PLATEAU</v>
          </cell>
          <cell r="N1811" t="str">
            <v>ABIDJAN</v>
          </cell>
        </row>
        <row r="1812">
          <cell r="B1812" t="str">
            <v>ET867</v>
          </cell>
          <cell r="C1812" t="str">
            <v>SONGON_MBRATHE</v>
          </cell>
          <cell r="D1812" t="str">
            <v>-4.261092</v>
          </cell>
          <cell r="E1812" t="str">
            <v>5.317194</v>
          </cell>
          <cell r="F1812" t="str">
            <v>2G/3G/4G</v>
          </cell>
          <cell r="G1812" t="str">
            <v>ERICSSON</v>
          </cell>
          <cell r="H1812" t="str">
            <v>MOOV</v>
          </cell>
          <cell r="I1812" t="str">
            <v>SONGON</v>
          </cell>
          <cell r="J1812" t="str">
            <v>SONGON</v>
          </cell>
          <cell r="K1812" t="str">
            <v>ABIDJAN</v>
          </cell>
          <cell r="L1812" t="str">
            <v>ABIDJAN</v>
          </cell>
          <cell r="M1812" t="str">
            <v>YOPOUGON FICGAYO</v>
          </cell>
          <cell r="N1812" t="str">
            <v>ABIDJAN</v>
          </cell>
        </row>
        <row r="1813">
          <cell r="B1813" t="str">
            <v>ET850</v>
          </cell>
          <cell r="C1813" t="str">
            <v>DATTA</v>
          </cell>
          <cell r="D1813" t="str">
            <v>-5.326286</v>
          </cell>
          <cell r="E1813" t="str">
            <v>5.934545</v>
          </cell>
          <cell r="F1813" t="str">
            <v>2G/3G/4G</v>
          </cell>
          <cell r="G1813" t="str">
            <v>ERICSSON</v>
          </cell>
          <cell r="H1813" t="str">
            <v>MOOV</v>
          </cell>
          <cell r="I1813" t="str">
            <v>DATTA</v>
          </cell>
          <cell r="J1813" t="str">
            <v>DIVO</v>
          </cell>
          <cell r="K1813" t="str">
            <v>DIVO</v>
          </cell>
          <cell r="L1813" t="str">
            <v>LOH-DJIBOUA</v>
          </cell>
          <cell r="M1813" t="str">
            <v>DIVO</v>
          </cell>
          <cell r="N1813" t="str">
            <v>UPCOUNTRY</v>
          </cell>
        </row>
        <row r="1814">
          <cell r="B1814" t="str">
            <v>ET922</v>
          </cell>
          <cell r="C1814" t="str">
            <v>BOLONA</v>
          </cell>
          <cell r="D1814" t="str">
            <v>-6.441697</v>
          </cell>
          <cell r="E1814" t="str">
            <v>10.298005</v>
          </cell>
          <cell r="F1814" t="str">
            <v>2G/3G/4G</v>
          </cell>
          <cell r="G1814" t="str">
            <v>HUAWEI</v>
          </cell>
          <cell r="H1814" t="str">
            <v>MOOV</v>
          </cell>
          <cell r="I1814" t="str">
            <v>BOLONA</v>
          </cell>
          <cell r="J1814" t="str">
            <v>TENGRELA</v>
          </cell>
          <cell r="K1814" t="str">
            <v>TENGRELA</v>
          </cell>
          <cell r="L1814" t="str">
            <v>BAGOUE</v>
          </cell>
          <cell r="M1814" t="str">
            <v>KORHOGO</v>
          </cell>
          <cell r="N1814" t="str">
            <v>UPCOUNTRY</v>
          </cell>
        </row>
        <row r="1815">
          <cell r="B1815" t="str">
            <v>ET869</v>
          </cell>
          <cell r="C1815" t="str">
            <v>LABODOUGOU</v>
          </cell>
          <cell r="D1815" t="str">
            <v>-5.413170</v>
          </cell>
          <cell r="E1815" t="str">
            <v>5.713950</v>
          </cell>
          <cell r="F1815" t="str">
            <v>2G/3G/4G</v>
          </cell>
          <cell r="G1815" t="str">
            <v>ERICSSON</v>
          </cell>
          <cell r="H1815" t="str">
            <v>MOOV</v>
          </cell>
          <cell r="I1815" t="str">
            <v>LABODOUGOU</v>
          </cell>
          <cell r="J1815" t="str">
            <v>DIVO</v>
          </cell>
          <cell r="K1815" t="str">
            <v>DIVO</v>
          </cell>
          <cell r="L1815" t="str">
            <v>LOH-DJIBOUA</v>
          </cell>
          <cell r="M1815" t="str">
            <v>DIVO</v>
          </cell>
          <cell r="N1815" t="str">
            <v>UPCOUNTRY</v>
          </cell>
        </row>
        <row r="1816">
          <cell r="B1816" t="str">
            <v>ET858</v>
          </cell>
          <cell r="C1816" t="str">
            <v>NIGUI-SAFF</v>
          </cell>
          <cell r="D1816" t="str">
            <v>-4.615711</v>
          </cell>
          <cell r="E1816" t="str">
            <v>5.251581</v>
          </cell>
          <cell r="F1816" t="str">
            <v>2G/3G/4G</v>
          </cell>
          <cell r="G1816" t="str">
            <v>ERICSSON</v>
          </cell>
          <cell r="H1816" t="str">
            <v>MOOV</v>
          </cell>
          <cell r="I1816" t="str">
            <v>NIGUI-SAFF</v>
          </cell>
          <cell r="J1816" t="str">
            <v>ATTOUTOU</v>
          </cell>
          <cell r="K1816" t="str">
            <v>JACQUEVILLE</v>
          </cell>
          <cell r="L1816" t="str">
            <v>GRANDS-PONTS</v>
          </cell>
          <cell r="M1816" t="str">
            <v>YOPOUGON FICGAYO</v>
          </cell>
          <cell r="N1816" t="str">
            <v>UPCOUNTRY</v>
          </cell>
        </row>
        <row r="1817">
          <cell r="B1817" t="str">
            <v>ET759</v>
          </cell>
          <cell r="C1817" t="str">
            <v>NOUAMOU</v>
          </cell>
          <cell r="D1817" t="str">
            <v>-2.903471</v>
          </cell>
          <cell r="E1817" t="str">
            <v>5.184277</v>
          </cell>
          <cell r="F1817" t="str">
            <v>2G/3G/4G</v>
          </cell>
          <cell r="G1817" t="str">
            <v>ERICSSON</v>
          </cell>
          <cell r="H1817" t="str">
            <v>IHS</v>
          </cell>
          <cell r="I1817" t="str">
            <v>NOUAMOU</v>
          </cell>
          <cell r="J1817" t="str">
            <v>NOUAMOU</v>
          </cell>
          <cell r="K1817" t="str">
            <v>TIAPOUM</v>
          </cell>
          <cell r="L1817" t="str">
            <v>SUD-COMOE</v>
          </cell>
          <cell r="M1817" t="str">
            <v>MARCORY</v>
          </cell>
          <cell r="N1817" t="str">
            <v>UPCOUNTRY</v>
          </cell>
        </row>
        <row r="1818">
          <cell r="B1818" t="str">
            <v>ET632</v>
          </cell>
          <cell r="C1818" t="str">
            <v>PALMAFRIQUE_ANGUEDEDOU</v>
          </cell>
          <cell r="D1818" t="str">
            <v>-4.203854</v>
          </cell>
          <cell r="E1818" t="str">
            <v>5.407423</v>
          </cell>
          <cell r="F1818" t="str">
            <v>2G/3G/4G</v>
          </cell>
          <cell r="G1818" t="str">
            <v>ERICSSON</v>
          </cell>
          <cell r="H1818" t="str">
            <v>OCI</v>
          </cell>
          <cell r="I1818" t="str">
            <v>ADONKOI 1&amp;2</v>
          </cell>
          <cell r="J1818" t="str">
            <v>ANYAMA</v>
          </cell>
          <cell r="K1818" t="str">
            <v>ABIDJAN</v>
          </cell>
          <cell r="L1818" t="str">
            <v>ABIDJAN</v>
          </cell>
          <cell r="M1818" t="str">
            <v>YOPOUGON SABLE</v>
          </cell>
          <cell r="N1818" t="str">
            <v>ABIDJAN</v>
          </cell>
        </row>
        <row r="1819">
          <cell r="B1819" t="str">
            <v>ET845</v>
          </cell>
          <cell r="C1819" t="str">
            <v>DOKA</v>
          </cell>
          <cell r="D1819" t="str">
            <v>-5.328715</v>
          </cell>
          <cell r="E1819" t="str">
            <v>6.330168</v>
          </cell>
          <cell r="F1819" t="str">
            <v>2G/3G/4G</v>
          </cell>
          <cell r="G1819" t="str">
            <v>HUAWEI</v>
          </cell>
          <cell r="H1819" t="str">
            <v>MOOV</v>
          </cell>
          <cell r="I1819" t="str">
            <v>DOKA</v>
          </cell>
          <cell r="J1819" t="str">
            <v>OUME</v>
          </cell>
          <cell r="K1819" t="str">
            <v>OUME</v>
          </cell>
          <cell r="L1819" t="str">
            <v>GOH</v>
          </cell>
          <cell r="M1819" t="str">
            <v>GAGNOA</v>
          </cell>
          <cell r="N1819" t="str">
            <v>UPCOUNTRY</v>
          </cell>
        </row>
        <row r="1820">
          <cell r="B1820" t="str">
            <v>ET885</v>
          </cell>
          <cell r="C1820" t="str">
            <v>MAHANDIANA-SOKOURANI</v>
          </cell>
          <cell r="D1820" t="str">
            <v>-6.671423</v>
          </cell>
          <cell r="E1820" t="str">
            <v>10.242777</v>
          </cell>
          <cell r="F1820" t="str">
            <v>2G/3G/4G</v>
          </cell>
          <cell r="G1820" t="str">
            <v>HUAWEI</v>
          </cell>
          <cell r="H1820" t="str">
            <v>MOOV</v>
          </cell>
          <cell r="I1820" t="str">
            <v>MAHANDIANA-SOKOURANI</v>
          </cell>
          <cell r="J1820" t="str">
            <v>MAHANDIANA-SOKOURANI</v>
          </cell>
          <cell r="K1820" t="str">
            <v>KANIASSO</v>
          </cell>
          <cell r="L1820" t="str">
            <v>FOLON</v>
          </cell>
          <cell r="M1820" t="str">
            <v>MAN</v>
          </cell>
          <cell r="N1820" t="str">
            <v>UPCOUNTRY</v>
          </cell>
        </row>
        <row r="1821">
          <cell r="B1821" t="str">
            <v>ET715</v>
          </cell>
          <cell r="C1821" t="str">
            <v>BABLY</v>
          </cell>
          <cell r="D1821" t="str">
            <v>-7.872420</v>
          </cell>
          <cell r="E1821" t="str">
            <v>7.027940</v>
          </cell>
          <cell r="F1821" t="str">
            <v>2G/3G/4G</v>
          </cell>
          <cell r="G1821" t="str">
            <v>HUAWEI</v>
          </cell>
          <cell r="H1821" t="str">
            <v>MOOV</v>
          </cell>
          <cell r="I1821" t="str">
            <v>BABLY</v>
          </cell>
          <cell r="J1821" t="str">
            <v>ZOU</v>
          </cell>
          <cell r="K1821" t="str">
            <v>BANGOLO</v>
          </cell>
          <cell r="L1821" t="str">
            <v>GUEMON</v>
          </cell>
          <cell r="M1821" t="str">
            <v>MAN</v>
          </cell>
          <cell r="N1821" t="str">
            <v>UPCOUNTRY</v>
          </cell>
        </row>
        <row r="1822">
          <cell r="B1822" t="str">
            <v>ET853</v>
          </cell>
          <cell r="C1822" t="str">
            <v>KOR_DOKAHA</v>
          </cell>
          <cell r="D1822" t="str">
            <v>-5.653860</v>
          </cell>
          <cell r="E1822" t="str">
            <v>9.425959</v>
          </cell>
          <cell r="F1822" t="str">
            <v>2G/3G/4G</v>
          </cell>
          <cell r="G1822" t="str">
            <v>HUAWEI</v>
          </cell>
          <cell r="H1822" t="str">
            <v>MOOV</v>
          </cell>
          <cell r="I1822" t="str">
            <v>KORHOGO</v>
          </cell>
          <cell r="J1822" t="str">
            <v>KORHOGO</v>
          </cell>
          <cell r="K1822" t="str">
            <v>KORHOGO</v>
          </cell>
          <cell r="L1822" t="str">
            <v>PORO</v>
          </cell>
          <cell r="M1822" t="str">
            <v>KORHOGO</v>
          </cell>
          <cell r="N1822" t="str">
            <v>UPCOUNTRY</v>
          </cell>
        </row>
        <row r="1823">
          <cell r="B1823" t="str">
            <v>ET669</v>
          </cell>
          <cell r="C1823" t="str">
            <v>GBEYA</v>
          </cell>
          <cell r="D1823" t="str">
            <v>-6.936480</v>
          </cell>
          <cell r="E1823" t="str">
            <v>10.315660</v>
          </cell>
          <cell r="F1823" t="str">
            <v>2G/3G/4G</v>
          </cell>
          <cell r="G1823" t="str">
            <v>HUAWEI</v>
          </cell>
          <cell r="H1823" t="str">
            <v>MOOV</v>
          </cell>
          <cell r="I1823" t="str">
            <v>GBEYA</v>
          </cell>
          <cell r="J1823" t="str">
            <v>MAHANDIANA-SOKOURANI</v>
          </cell>
          <cell r="K1823" t="str">
            <v>KANIASSO</v>
          </cell>
          <cell r="L1823" t="str">
            <v>FOLON</v>
          </cell>
          <cell r="M1823" t="str">
            <v>MAN</v>
          </cell>
          <cell r="N1823" t="str">
            <v>UPCOUNTRY</v>
          </cell>
        </row>
        <row r="1824">
          <cell r="B1824" t="str">
            <v>ET784</v>
          </cell>
          <cell r="C1824" t="str">
            <v>TALLERE</v>
          </cell>
          <cell r="D1824" t="str">
            <v>-6.145635</v>
          </cell>
          <cell r="E1824" t="str">
            <v>9.197119</v>
          </cell>
          <cell r="F1824" t="str">
            <v>2G/3G/4G</v>
          </cell>
          <cell r="G1824" t="str">
            <v>HUAWEI</v>
          </cell>
          <cell r="H1824" t="str">
            <v>MOOV</v>
          </cell>
          <cell r="I1824" t="str">
            <v>TALLERE</v>
          </cell>
          <cell r="J1824" t="str">
            <v>SIRASSO</v>
          </cell>
          <cell r="K1824" t="str">
            <v>KORHOGO</v>
          </cell>
          <cell r="L1824" t="str">
            <v>PORO</v>
          </cell>
          <cell r="M1824" t="str">
            <v>KORHOGO</v>
          </cell>
          <cell r="N1824" t="str">
            <v>UPCOUNTRY</v>
          </cell>
        </row>
        <row r="1825">
          <cell r="B1825" t="str">
            <v>ET879</v>
          </cell>
          <cell r="C1825" t="str">
            <v>OUELLI</v>
          </cell>
          <cell r="D1825" t="str">
            <v>-6.810007</v>
          </cell>
          <cell r="E1825" t="str">
            <v>10.360658</v>
          </cell>
          <cell r="F1825" t="str">
            <v>2G/3G/4G</v>
          </cell>
          <cell r="G1825" t="str">
            <v>HUAWEI</v>
          </cell>
          <cell r="H1825" t="str">
            <v>MOOV</v>
          </cell>
          <cell r="I1825" t="str">
            <v>OUELLI</v>
          </cell>
          <cell r="J1825" t="str">
            <v>MAHANDIANA-SOKOURANI</v>
          </cell>
          <cell r="K1825" t="str">
            <v>KANIASSO</v>
          </cell>
          <cell r="L1825" t="str">
            <v>FOLON</v>
          </cell>
          <cell r="M1825" t="str">
            <v>MAN</v>
          </cell>
          <cell r="N1825" t="str">
            <v>UPCOUNTRY</v>
          </cell>
        </row>
        <row r="1826">
          <cell r="B1826" t="str">
            <v>ET654</v>
          </cell>
          <cell r="C1826" t="str">
            <v>AMANI_MENOU</v>
          </cell>
          <cell r="D1826" t="str">
            <v>-4.985759</v>
          </cell>
          <cell r="E1826" t="str">
            <v>6.082487</v>
          </cell>
          <cell r="F1826" t="str">
            <v>2G/3G/4G</v>
          </cell>
          <cell r="G1826" t="str">
            <v>ERICSSON</v>
          </cell>
          <cell r="H1826" t="str">
            <v>MOOV</v>
          </cell>
          <cell r="I1826" t="str">
            <v>AMANI MENOU</v>
          </cell>
          <cell r="J1826" t="str">
            <v>TAABO</v>
          </cell>
          <cell r="K1826" t="str">
            <v>TAABO</v>
          </cell>
          <cell r="L1826" t="str">
            <v>AGNEBY-TIASSA</v>
          </cell>
          <cell r="M1826" t="str">
            <v>YAMOUSSOUKRO</v>
          </cell>
          <cell r="N1826" t="str">
            <v>UPCOUNTRY</v>
          </cell>
        </row>
        <row r="1827">
          <cell r="B1827" t="str">
            <v>ET945</v>
          </cell>
          <cell r="C1827" t="str">
            <v>BINGES_NOUVELLE_GARE</v>
          </cell>
          <cell r="D1827" t="str">
            <v>-3.872240</v>
          </cell>
          <cell r="E1827" t="str">
            <v>5.357310</v>
          </cell>
          <cell r="F1827" t="str">
            <v>2G/3G/4G</v>
          </cell>
          <cell r="G1827" t="str">
            <v>ERICSSON</v>
          </cell>
          <cell r="H1827" t="str">
            <v>MOOV</v>
          </cell>
          <cell r="I1827" t="str">
            <v>BINGERVILLE</v>
          </cell>
          <cell r="J1827" t="str">
            <v>BINGERVILLE</v>
          </cell>
          <cell r="K1827" t="str">
            <v>ABIDJAN</v>
          </cell>
          <cell r="L1827" t="str">
            <v>ABIDJAN</v>
          </cell>
          <cell r="M1827" t="str">
            <v>COCODY LATRILLE</v>
          </cell>
          <cell r="N1827" t="str">
            <v>ABIDJAN</v>
          </cell>
        </row>
        <row r="1828">
          <cell r="B1828" t="str">
            <v>ET947</v>
          </cell>
          <cell r="C1828" t="str">
            <v>BINGES_ANNA</v>
          </cell>
          <cell r="D1828" t="str">
            <v>-3.869213</v>
          </cell>
          <cell r="E1828" t="str">
            <v>5.321795</v>
          </cell>
          <cell r="F1828" t="str">
            <v>2G/3G/4G</v>
          </cell>
          <cell r="G1828" t="str">
            <v>ERICSSON</v>
          </cell>
          <cell r="H1828" t="str">
            <v>MOOV</v>
          </cell>
          <cell r="I1828" t="str">
            <v>BINGERVILLE</v>
          </cell>
          <cell r="J1828" t="str">
            <v>BINGERVILLE</v>
          </cell>
          <cell r="K1828" t="str">
            <v>ABIDJAN</v>
          </cell>
          <cell r="L1828" t="str">
            <v>ABIDJAN</v>
          </cell>
          <cell r="M1828" t="str">
            <v>COCODY LATRILLE</v>
          </cell>
          <cell r="N1828" t="str">
            <v>ABIDJAN</v>
          </cell>
        </row>
        <row r="1829">
          <cell r="B1829" t="str">
            <v>ET987</v>
          </cell>
          <cell r="C1829" t="str">
            <v>YOP_CITE_ADO_EXT</v>
          </cell>
          <cell r="D1829" t="str">
            <v>-4.091390</v>
          </cell>
          <cell r="E1829" t="str">
            <v>5.400545</v>
          </cell>
          <cell r="F1829" t="str">
            <v>2G/3G/4G</v>
          </cell>
          <cell r="G1829" t="str">
            <v>ERICSSON</v>
          </cell>
          <cell r="H1829" t="str">
            <v>MOOV</v>
          </cell>
          <cell r="I1829" t="str">
            <v>YOPOUGON</v>
          </cell>
          <cell r="J1829" t="str">
            <v>ABIDJAN</v>
          </cell>
          <cell r="K1829" t="str">
            <v>ABIDJAN</v>
          </cell>
          <cell r="L1829" t="str">
            <v>ABIDJAN</v>
          </cell>
          <cell r="M1829" t="str">
            <v>YOPOUGON SABLE</v>
          </cell>
          <cell r="N1829" t="str">
            <v>ABIDJAN</v>
          </cell>
        </row>
        <row r="1830">
          <cell r="B1830" t="str">
            <v>ET942</v>
          </cell>
          <cell r="C1830" t="str">
            <v>ANYAMA_RTE_YAPOKOI</v>
          </cell>
          <cell r="D1830" t="str">
            <v>-4.052016</v>
          </cell>
          <cell r="E1830" t="str">
            <v>5.507142</v>
          </cell>
          <cell r="F1830" t="str">
            <v>2G/3G/4G</v>
          </cell>
          <cell r="G1830" t="str">
            <v>ERICSSON</v>
          </cell>
          <cell r="H1830" t="str">
            <v>MOOV</v>
          </cell>
          <cell r="I1830" t="str">
            <v>ANYAMA</v>
          </cell>
          <cell r="J1830" t="str">
            <v>ANYAMA</v>
          </cell>
          <cell r="K1830" t="str">
            <v>ABIDJAN</v>
          </cell>
          <cell r="L1830" t="str">
            <v>ABIDJAN</v>
          </cell>
          <cell r="M1830" t="str">
            <v>ABOBO</v>
          </cell>
          <cell r="N1830" t="str">
            <v>ABIDJAN</v>
          </cell>
        </row>
        <row r="1831">
          <cell r="B1831" t="str">
            <v>ET932</v>
          </cell>
          <cell r="C1831" t="str">
            <v>KOBAKRO_AVANCE</v>
          </cell>
          <cell r="D1831" t="str">
            <v>-4.076580</v>
          </cell>
          <cell r="E1831" t="str">
            <v>5.455182</v>
          </cell>
          <cell r="F1831" t="str">
            <v>2G/3G/4G</v>
          </cell>
          <cell r="G1831" t="str">
            <v>ERICSSON</v>
          </cell>
          <cell r="H1831" t="str">
            <v>MOOV</v>
          </cell>
          <cell r="I1831" t="str">
            <v>ABOBO</v>
          </cell>
          <cell r="J1831" t="str">
            <v>ABIDJAN</v>
          </cell>
          <cell r="K1831" t="str">
            <v>ABIDJAN</v>
          </cell>
          <cell r="L1831" t="str">
            <v>ABIDJAN</v>
          </cell>
          <cell r="M1831" t="str">
            <v>ABOBO</v>
          </cell>
          <cell r="N1831" t="str">
            <v>ABIDJAN</v>
          </cell>
        </row>
        <row r="1832">
          <cell r="B1832" t="str">
            <v>ET976</v>
          </cell>
          <cell r="C1832" t="str">
            <v>TREICH_PECHEUR</v>
          </cell>
          <cell r="D1832" t="str">
            <v>-4.009161</v>
          </cell>
          <cell r="E1832" t="str">
            <v>5.288776</v>
          </cell>
          <cell r="F1832" t="str">
            <v>2G/3G/4G</v>
          </cell>
          <cell r="G1832" t="str">
            <v>ERICSSON</v>
          </cell>
          <cell r="H1832" t="str">
            <v>IHS</v>
          </cell>
          <cell r="I1832" t="str">
            <v>TREICHVILLE</v>
          </cell>
          <cell r="J1832" t="str">
            <v>ABIDJAN</v>
          </cell>
          <cell r="K1832" t="str">
            <v>ABIDJAN</v>
          </cell>
          <cell r="L1832" t="str">
            <v>ABIDJAN</v>
          </cell>
          <cell r="M1832" t="str">
            <v>PLATEAU</v>
          </cell>
          <cell r="N1832" t="str">
            <v>ABIDJAN</v>
          </cell>
        </row>
        <row r="1833">
          <cell r="B1833" t="str">
            <v>ET946</v>
          </cell>
          <cell r="C1833" t="str">
            <v>BINGES_APPONIAN</v>
          </cell>
          <cell r="D1833" t="str">
            <v>-3.823319</v>
          </cell>
          <cell r="E1833" t="str">
            <v>5.350356</v>
          </cell>
          <cell r="F1833" t="str">
            <v>2G/3G/4G</v>
          </cell>
          <cell r="G1833" t="str">
            <v>ERICSSON</v>
          </cell>
          <cell r="H1833" t="str">
            <v>MOOV</v>
          </cell>
          <cell r="I1833" t="str">
            <v>BINGERVILLE</v>
          </cell>
          <cell r="J1833" t="str">
            <v>BINGERVILLE</v>
          </cell>
          <cell r="K1833" t="str">
            <v>ABIDJAN</v>
          </cell>
          <cell r="L1833" t="str">
            <v>ABIDJAN</v>
          </cell>
          <cell r="M1833" t="str">
            <v>COCODY LATRILLE</v>
          </cell>
          <cell r="N1833" t="str">
            <v>ABIDJAN</v>
          </cell>
        </row>
        <row r="1834">
          <cell r="B1834" t="str">
            <v>ET979</v>
          </cell>
          <cell r="C1834" t="str">
            <v>YOP_BANCO_SIPPEC</v>
          </cell>
          <cell r="D1834" t="str">
            <v>-4.081209</v>
          </cell>
          <cell r="E1834" t="str">
            <v>5.415215</v>
          </cell>
          <cell r="F1834" t="str">
            <v>2G/3G/4G</v>
          </cell>
          <cell r="G1834" t="str">
            <v>ERICSSON</v>
          </cell>
          <cell r="H1834" t="str">
            <v>MOOV</v>
          </cell>
          <cell r="I1834" t="str">
            <v>YOPOUGON</v>
          </cell>
          <cell r="J1834" t="str">
            <v>ABIDJAN</v>
          </cell>
          <cell r="K1834" t="str">
            <v>ABIDJAN</v>
          </cell>
          <cell r="L1834" t="str">
            <v>ABIDJAN</v>
          </cell>
          <cell r="M1834" t="str">
            <v>YOPOUGON SABLE</v>
          </cell>
          <cell r="N1834" t="str">
            <v>ABIDJAN</v>
          </cell>
        </row>
        <row r="1835">
          <cell r="B1835" t="str">
            <v>ET998</v>
          </cell>
          <cell r="C1835" t="str">
            <v>BOUNA_GBORONKIRRA</v>
          </cell>
          <cell r="D1835" t="str">
            <v>-2.992160</v>
          </cell>
          <cell r="E1835" t="str">
            <v>9.279210</v>
          </cell>
          <cell r="F1835" t="str">
            <v>2G/3G/4G</v>
          </cell>
          <cell r="G1835" t="str">
            <v>ERICSSON</v>
          </cell>
          <cell r="H1835" t="str">
            <v>MOOV</v>
          </cell>
          <cell r="I1835" t="str">
            <v>BOUNA</v>
          </cell>
          <cell r="J1835" t="str">
            <v>BOUNA</v>
          </cell>
          <cell r="K1835" t="str">
            <v>BOUNA</v>
          </cell>
          <cell r="L1835" t="str">
            <v>BOUNKANI</v>
          </cell>
          <cell r="M1835" t="str">
            <v>ABENGOUROU</v>
          </cell>
          <cell r="N1835" t="str">
            <v>UPCOUNTRY</v>
          </cell>
        </row>
        <row r="1836">
          <cell r="B1836" t="str">
            <v>ET940</v>
          </cell>
          <cell r="C1836" t="str">
            <v>CITE_TERRE_IVOIRE</v>
          </cell>
          <cell r="D1836" t="str">
            <v>-3.968780</v>
          </cell>
          <cell r="E1836" t="str">
            <v>5.410689</v>
          </cell>
          <cell r="F1836" t="str">
            <v>2G/3G/4G</v>
          </cell>
          <cell r="G1836" t="str">
            <v>ERICSSON</v>
          </cell>
          <cell r="H1836" t="str">
            <v>MOOV</v>
          </cell>
          <cell r="I1836" t="str">
            <v>COCODY</v>
          </cell>
          <cell r="J1836" t="str">
            <v>ABIDJAN</v>
          </cell>
          <cell r="K1836" t="str">
            <v>ABIDJAN</v>
          </cell>
          <cell r="L1836" t="str">
            <v>ABIDJAN</v>
          </cell>
          <cell r="M1836" t="str">
            <v>COCODY LATRILLE</v>
          </cell>
          <cell r="N1836" t="str">
            <v>ABIDJAN</v>
          </cell>
        </row>
        <row r="1837">
          <cell r="B1837" t="str">
            <v>ET997</v>
          </cell>
          <cell r="C1837" t="str">
            <v>ADIAKE_HOTEL_TANOE</v>
          </cell>
          <cell r="D1837" t="str">
            <v>-3.295700</v>
          </cell>
          <cell r="E1837" t="str">
            <v>5.285680</v>
          </cell>
          <cell r="F1837" t="str">
            <v>2G/3G/4G</v>
          </cell>
          <cell r="G1837" t="str">
            <v>ERICSSON</v>
          </cell>
          <cell r="H1837" t="str">
            <v>MOOV</v>
          </cell>
          <cell r="I1837" t="str">
            <v>ADIAKE</v>
          </cell>
          <cell r="J1837" t="str">
            <v>ADIAKE</v>
          </cell>
          <cell r="K1837" t="str">
            <v>ADIAKE</v>
          </cell>
          <cell r="L1837" t="str">
            <v>SUD-COMOE</v>
          </cell>
          <cell r="M1837" t="str">
            <v>MARCORY</v>
          </cell>
          <cell r="N1837" t="str">
            <v>UPCOUNTRY</v>
          </cell>
        </row>
        <row r="1838">
          <cell r="B1838" t="str">
            <v>ET909</v>
          </cell>
          <cell r="C1838" t="str">
            <v>ADZOPE_EECI-EXT</v>
          </cell>
          <cell r="D1838" t="str">
            <v>-3.849328</v>
          </cell>
          <cell r="E1838" t="str">
            <v>6.096042</v>
          </cell>
          <cell r="F1838" t="str">
            <v>2G/3G/4G</v>
          </cell>
          <cell r="G1838" t="str">
            <v>ERICSSON</v>
          </cell>
          <cell r="H1838" t="str">
            <v>MOOV</v>
          </cell>
          <cell r="I1838" t="str">
            <v>ADZOPE</v>
          </cell>
          <cell r="J1838" t="str">
            <v>ADZOPE</v>
          </cell>
          <cell r="K1838" t="str">
            <v>ADZOPE</v>
          </cell>
          <cell r="L1838" t="str">
            <v>LA ME</v>
          </cell>
          <cell r="M1838" t="str">
            <v>ABENGOUROU</v>
          </cell>
          <cell r="N1838" t="str">
            <v>UPCOUNTRY</v>
          </cell>
        </row>
        <row r="1839">
          <cell r="B1839" t="str">
            <v>ET848</v>
          </cell>
          <cell r="C1839" t="str">
            <v>BONDOUKOU_OLAM</v>
          </cell>
          <cell r="D1839" t="str">
            <v>-2.824012</v>
          </cell>
          <cell r="E1839" t="str">
            <v>8.014766</v>
          </cell>
          <cell r="F1839" t="str">
            <v>2G/3G/4G</v>
          </cell>
          <cell r="G1839" t="str">
            <v>ERICSSON</v>
          </cell>
          <cell r="H1839" t="str">
            <v>MOOV</v>
          </cell>
          <cell r="I1839" t="str">
            <v>BONDOUKOU</v>
          </cell>
          <cell r="J1839" t="str">
            <v>BONDOUKOU</v>
          </cell>
          <cell r="K1839" t="str">
            <v>BONDOUKOU</v>
          </cell>
          <cell r="L1839" t="str">
            <v>GONTOUGO</v>
          </cell>
          <cell r="M1839" t="str">
            <v>ABENGOUROU</v>
          </cell>
          <cell r="N1839" t="str">
            <v>UPCOUNTRY</v>
          </cell>
        </row>
        <row r="1840">
          <cell r="B1840" t="str">
            <v>ET959</v>
          </cell>
          <cell r="C1840" t="str">
            <v>KOUM_BAD</v>
          </cell>
          <cell r="D1840" t="str">
            <v>-3.951944</v>
          </cell>
          <cell r="E1840" t="str">
            <v>5.309164</v>
          </cell>
          <cell r="F1840" t="str">
            <v>2G/3G/4G</v>
          </cell>
          <cell r="G1840" t="str">
            <v>ERICSSON</v>
          </cell>
          <cell r="H1840" t="str">
            <v>MOOV</v>
          </cell>
          <cell r="I1840" t="str">
            <v>KOUMASSI</v>
          </cell>
          <cell r="J1840" t="str">
            <v>ABIDJAN</v>
          </cell>
          <cell r="K1840" t="str">
            <v>ABIDJAN</v>
          </cell>
          <cell r="L1840" t="str">
            <v>ABIDJAN</v>
          </cell>
          <cell r="M1840" t="str">
            <v>MARCORY</v>
          </cell>
          <cell r="N1840" t="str">
            <v>ABIDJAN</v>
          </cell>
        </row>
        <row r="1841">
          <cell r="B1841" t="str">
            <v>ET944</v>
          </cell>
          <cell r="C1841" t="str">
            <v>DJOROGOBITE_1</v>
          </cell>
          <cell r="D1841" t="str">
            <v>-3.930440</v>
          </cell>
          <cell r="E1841" t="str">
            <v>5.401550</v>
          </cell>
          <cell r="F1841" t="str">
            <v>2G/3G/4G</v>
          </cell>
          <cell r="G1841" t="str">
            <v>ERICSSON</v>
          </cell>
          <cell r="H1841" t="str">
            <v>MOOV</v>
          </cell>
          <cell r="I1841" t="str">
            <v>BINGERVILLE</v>
          </cell>
          <cell r="J1841" t="str">
            <v>BINGERVILLE</v>
          </cell>
          <cell r="K1841" t="str">
            <v>ABIDJAN</v>
          </cell>
          <cell r="L1841" t="str">
            <v>ABIDJAN</v>
          </cell>
          <cell r="M1841" t="str">
            <v>COCODY LATRILLE</v>
          </cell>
          <cell r="N1841" t="str">
            <v>ABIDJAN</v>
          </cell>
        </row>
        <row r="1842">
          <cell r="B1842" t="str">
            <v>ET950</v>
          </cell>
          <cell r="C1842" t="str">
            <v>BIABOU_JINVEST</v>
          </cell>
          <cell r="D1842" t="str">
            <v>-3.970963</v>
          </cell>
          <cell r="E1842" t="str">
            <v>5.438432</v>
          </cell>
          <cell r="F1842" t="str">
            <v>2G/3G/4G</v>
          </cell>
          <cell r="G1842" t="str">
            <v>ERICSSON</v>
          </cell>
          <cell r="H1842" t="str">
            <v>MOOV</v>
          </cell>
          <cell r="I1842" t="str">
            <v>ABOBO</v>
          </cell>
          <cell r="J1842" t="str">
            <v>ABIDJAN</v>
          </cell>
          <cell r="K1842" t="str">
            <v>ABIDJAN</v>
          </cell>
          <cell r="L1842" t="str">
            <v>ABIDJAN</v>
          </cell>
          <cell r="M1842" t="str">
            <v>ABOBO</v>
          </cell>
          <cell r="N1842" t="str">
            <v>ABIDJAN</v>
          </cell>
        </row>
        <row r="1843">
          <cell r="B1843" t="str">
            <v>ET778</v>
          </cell>
          <cell r="C1843" t="str">
            <v>ZAGUIETA</v>
          </cell>
          <cell r="D1843" t="str">
            <v>-6.066635</v>
          </cell>
          <cell r="E1843" t="str">
            <v>6.791445</v>
          </cell>
          <cell r="F1843" t="str">
            <v>2G/3G/4G</v>
          </cell>
          <cell r="G1843" t="str">
            <v>HUAWEI</v>
          </cell>
          <cell r="H1843" t="str">
            <v>MOOV</v>
          </cell>
          <cell r="I1843" t="str">
            <v>ZAGUIETA</v>
          </cell>
          <cell r="J1843" t="str">
            <v>ZAGUIETA</v>
          </cell>
          <cell r="K1843" t="str">
            <v>BOUAFLE</v>
          </cell>
          <cell r="L1843" t="str">
            <v>MARAHOUE</v>
          </cell>
          <cell r="M1843" t="str">
            <v>DALOA</v>
          </cell>
          <cell r="N1843" t="str">
            <v>UPCOUNTRY</v>
          </cell>
        </row>
        <row r="1844">
          <cell r="B1844" t="str">
            <v>ET936</v>
          </cell>
          <cell r="C1844" t="str">
            <v>ADJAME_MOSQUEE</v>
          </cell>
          <cell r="D1844" t="str">
            <v>-4.028547</v>
          </cell>
          <cell r="E1844" t="str">
            <v>5.353346</v>
          </cell>
          <cell r="F1844" t="str">
            <v>2G/3G/4G</v>
          </cell>
          <cell r="G1844" t="str">
            <v>ERICSSON</v>
          </cell>
          <cell r="H1844" t="str">
            <v>MOOV</v>
          </cell>
          <cell r="I1844" t="str">
            <v>ADJAME</v>
          </cell>
          <cell r="J1844" t="str">
            <v>ABIDJAN</v>
          </cell>
          <cell r="K1844" t="str">
            <v>ABIDJAN</v>
          </cell>
          <cell r="L1844" t="str">
            <v>ABIDJAN</v>
          </cell>
          <cell r="M1844" t="str">
            <v>PLATEAU</v>
          </cell>
          <cell r="N1844" t="str">
            <v>ABIDJAN</v>
          </cell>
        </row>
        <row r="1845">
          <cell r="B1845" t="str">
            <v>ET935</v>
          </cell>
          <cell r="C1845" t="str">
            <v>ANYAMA _CITEVERTE</v>
          </cell>
          <cell r="D1845" t="str">
            <v>-4.031051</v>
          </cell>
          <cell r="E1845" t="str">
            <v>5.458607</v>
          </cell>
          <cell r="F1845" t="str">
            <v>2G/3G/4G</v>
          </cell>
          <cell r="G1845" t="str">
            <v>ERICSSON</v>
          </cell>
          <cell r="H1845" t="str">
            <v>MOOV</v>
          </cell>
          <cell r="I1845" t="str">
            <v>ANYAMA</v>
          </cell>
          <cell r="J1845" t="str">
            <v>ANYAMA</v>
          </cell>
          <cell r="K1845" t="str">
            <v>ABIDJAN</v>
          </cell>
          <cell r="L1845" t="str">
            <v>ABIDJAN</v>
          </cell>
          <cell r="M1845" t="str">
            <v>ABOBO</v>
          </cell>
          <cell r="N1845" t="str">
            <v>ABIDJAN</v>
          </cell>
        </row>
        <row r="1846">
          <cell r="B1846" t="str">
            <v>ET538</v>
          </cell>
          <cell r="C1846" t="str">
            <v>WONGUE</v>
          </cell>
          <cell r="D1846" t="str">
            <v>-6.573101</v>
          </cell>
          <cell r="E1846" t="str">
            <v>8.324629</v>
          </cell>
          <cell r="F1846" t="str">
            <v>2G/3G/4G</v>
          </cell>
          <cell r="G1846" t="str">
            <v>HUAWEI</v>
          </cell>
          <cell r="H1846" t="str">
            <v>MOOV</v>
          </cell>
          <cell r="I1846" t="str">
            <v>WONGUE</v>
          </cell>
          <cell r="J1846" t="str">
            <v>KANI</v>
          </cell>
          <cell r="K1846" t="str">
            <v>KANI</v>
          </cell>
          <cell r="L1846" t="str">
            <v>WORODOUGOU</v>
          </cell>
          <cell r="M1846" t="str">
            <v>DALOA</v>
          </cell>
          <cell r="N1846" t="str">
            <v>UPCOUNTRY</v>
          </cell>
        </row>
        <row r="1847">
          <cell r="B1847" t="str">
            <v>ET934</v>
          </cell>
          <cell r="C1847" t="str">
            <v>ABOBO_SAGBE_BOCABO</v>
          </cell>
          <cell r="D1847" t="str">
            <v>-4.028204</v>
          </cell>
          <cell r="E1847" t="str">
            <v>5.426904</v>
          </cell>
          <cell r="F1847" t="str">
            <v>2G/3G/4G</v>
          </cell>
          <cell r="G1847" t="str">
            <v>ERICSSON</v>
          </cell>
          <cell r="H1847" t="str">
            <v>MOOV</v>
          </cell>
          <cell r="I1847" t="str">
            <v>ABOBO</v>
          </cell>
          <cell r="J1847" t="str">
            <v>ABIDJAN</v>
          </cell>
          <cell r="K1847" t="str">
            <v>ABIDJAN</v>
          </cell>
          <cell r="L1847" t="str">
            <v>ABIDJAN</v>
          </cell>
          <cell r="M1847" t="str">
            <v>ABOBO</v>
          </cell>
          <cell r="N1847" t="str">
            <v>ABIDJAN</v>
          </cell>
        </row>
        <row r="1848">
          <cell r="B1848" t="str">
            <v>ET933</v>
          </cell>
          <cell r="C1848" t="str">
            <v>ANYAMA ANCE_GENDARMERIE</v>
          </cell>
          <cell r="D1848" t="str">
            <v>-4.047762</v>
          </cell>
          <cell r="E1848" t="str">
            <v>5.463704</v>
          </cell>
          <cell r="F1848" t="str">
            <v>2G/3G/4G</v>
          </cell>
          <cell r="G1848" t="str">
            <v>ERICSSON</v>
          </cell>
          <cell r="H1848" t="str">
            <v>MOOV</v>
          </cell>
          <cell r="I1848" t="str">
            <v>ANYAMA</v>
          </cell>
          <cell r="J1848" t="str">
            <v>ANYAMA</v>
          </cell>
          <cell r="K1848" t="str">
            <v>ABIDJAN</v>
          </cell>
          <cell r="L1848" t="str">
            <v>ABIDJAN</v>
          </cell>
          <cell r="M1848" t="str">
            <v>ABOBO</v>
          </cell>
          <cell r="N1848" t="str">
            <v>ABIDJAN</v>
          </cell>
        </row>
        <row r="1849">
          <cell r="B1849" t="str">
            <v>ET996</v>
          </cell>
          <cell r="C1849" t="str">
            <v>NDOUCI_BAD</v>
          </cell>
          <cell r="D1849" t="str">
            <v>-4.767440</v>
          </cell>
          <cell r="E1849" t="str">
            <v>5.873130</v>
          </cell>
          <cell r="F1849" t="str">
            <v>2G/3G/4G</v>
          </cell>
          <cell r="G1849" t="str">
            <v>ERICSSON</v>
          </cell>
          <cell r="H1849" t="str">
            <v>MOOV</v>
          </cell>
          <cell r="I1849" t="str">
            <v>NDOUCI</v>
          </cell>
          <cell r="J1849" t="str">
            <v>NDOUCI</v>
          </cell>
          <cell r="K1849" t="str">
            <v>TIASSALE</v>
          </cell>
          <cell r="L1849" t="str">
            <v>AGNEBY-TIASSA</v>
          </cell>
          <cell r="M1849" t="str">
            <v>YOPOUGON SABLE</v>
          </cell>
          <cell r="N1849" t="str">
            <v>UPCOUNTRY</v>
          </cell>
        </row>
        <row r="1850">
          <cell r="B1850" t="str">
            <v>ET948</v>
          </cell>
          <cell r="C1850" t="str">
            <v>BINGES_CITE_TRESOR</v>
          </cell>
          <cell r="D1850" t="str">
            <v>-3.841220</v>
          </cell>
          <cell r="E1850" t="str">
            <v>5.344730</v>
          </cell>
          <cell r="F1850" t="str">
            <v>2G/3G/4G</v>
          </cell>
          <cell r="G1850" t="str">
            <v>ERICSSON</v>
          </cell>
          <cell r="H1850" t="str">
            <v>MOOV</v>
          </cell>
          <cell r="I1850" t="str">
            <v>BINGERVILLE</v>
          </cell>
          <cell r="J1850" t="str">
            <v>BINGERVILLE</v>
          </cell>
          <cell r="K1850" t="str">
            <v>ABIDJAN</v>
          </cell>
          <cell r="L1850" t="str">
            <v>ABIDJAN</v>
          </cell>
          <cell r="M1850" t="str">
            <v>COCODY LATRILLE</v>
          </cell>
          <cell r="N1850" t="str">
            <v>ABIDJAN</v>
          </cell>
        </row>
        <row r="1851">
          <cell r="B1851" t="str">
            <v>ET921</v>
          </cell>
          <cell r="C1851" t="str">
            <v>DIVO_BRIBORE</v>
          </cell>
          <cell r="D1851" t="str">
            <v>-5.382741</v>
          </cell>
          <cell r="E1851" t="str">
            <v>5.815626</v>
          </cell>
          <cell r="F1851" t="str">
            <v>2G/3G/4G</v>
          </cell>
          <cell r="G1851" t="str">
            <v>ERICSSON</v>
          </cell>
          <cell r="H1851" t="str">
            <v>MOOV</v>
          </cell>
          <cell r="I1851" t="str">
            <v>DIVO</v>
          </cell>
          <cell r="J1851" t="str">
            <v>DIVO</v>
          </cell>
          <cell r="K1851" t="str">
            <v>DIVO</v>
          </cell>
          <cell r="L1851" t="str">
            <v>LOH-DJIBOUA</v>
          </cell>
          <cell r="M1851" t="str">
            <v>DIVO</v>
          </cell>
          <cell r="N1851" t="str">
            <v>UPCOUNTRY</v>
          </cell>
        </row>
        <row r="1852">
          <cell r="B1852" t="str">
            <v>ET897</v>
          </cell>
          <cell r="C1852" t="str">
            <v>LAKOTA_LACITE</v>
          </cell>
          <cell r="D1852" t="str">
            <v>-5.685920</v>
          </cell>
          <cell r="E1852" t="str">
            <v>5.843440</v>
          </cell>
          <cell r="F1852" t="str">
            <v>2G/3G/4G</v>
          </cell>
          <cell r="G1852" t="str">
            <v>ERICSSON</v>
          </cell>
          <cell r="H1852" t="str">
            <v>MOOV</v>
          </cell>
          <cell r="I1852" t="str">
            <v>LAKOTA</v>
          </cell>
          <cell r="J1852" t="str">
            <v>LAKOTA</v>
          </cell>
          <cell r="K1852" t="str">
            <v>LAKOTA</v>
          </cell>
          <cell r="L1852" t="str">
            <v>LOH-DJIBOUA</v>
          </cell>
          <cell r="M1852" t="str">
            <v>DIVO</v>
          </cell>
          <cell r="N1852" t="str">
            <v>UPCOUNTRY</v>
          </cell>
        </row>
        <row r="1853">
          <cell r="B1853" t="str">
            <v>ET796</v>
          </cell>
          <cell r="C1853" t="str">
            <v>SP_UNIVERSITE</v>
          </cell>
          <cell r="D1853" t="str">
            <v>-6.696228</v>
          </cell>
          <cell r="E1853" t="str">
            <v>4.781600</v>
          </cell>
          <cell r="F1853" t="str">
            <v>2G/3G/4G</v>
          </cell>
          <cell r="G1853" t="str">
            <v>ERICSSON</v>
          </cell>
          <cell r="H1853" t="str">
            <v>MOOV</v>
          </cell>
          <cell r="I1853" t="str">
            <v>SAN-PEDRO</v>
          </cell>
          <cell r="J1853" t="str">
            <v>SAN-PEDRO</v>
          </cell>
          <cell r="K1853" t="str">
            <v>SAN-PEDRO</v>
          </cell>
          <cell r="L1853" t="str">
            <v>SAN-PEDRO</v>
          </cell>
          <cell r="M1853" t="str">
            <v>SAN-PEDRO</v>
          </cell>
          <cell r="N1853" t="str">
            <v>UPCOUNTRY</v>
          </cell>
        </row>
        <row r="1854">
          <cell r="B1854" t="str">
            <v>ET814</v>
          </cell>
          <cell r="C1854" t="str">
            <v>BONDO</v>
          </cell>
          <cell r="D1854" t="str">
            <v>-3.189198</v>
          </cell>
          <cell r="E1854" t="str">
            <v>8.222393</v>
          </cell>
          <cell r="F1854" t="str">
            <v>2G/3G/4G</v>
          </cell>
          <cell r="G1854" t="str">
            <v>ERICSSON</v>
          </cell>
          <cell r="H1854" t="str">
            <v>MOOV</v>
          </cell>
          <cell r="I1854" t="str">
            <v>BONDO</v>
          </cell>
          <cell r="J1854" t="str">
            <v>BONDO</v>
          </cell>
          <cell r="K1854" t="str">
            <v>BONDOUKOU</v>
          </cell>
          <cell r="L1854" t="str">
            <v>GONTOUGO</v>
          </cell>
          <cell r="M1854" t="str">
            <v>ABENGOUROU</v>
          </cell>
          <cell r="N1854" t="str">
            <v>UPCOUNTRY</v>
          </cell>
        </row>
        <row r="1855">
          <cell r="B1855" t="str">
            <v>ET833</v>
          </cell>
          <cell r="C1855" t="str">
            <v>TIEVIESSOU</v>
          </cell>
          <cell r="D1855" t="str">
            <v>-4.886961</v>
          </cell>
          <cell r="E1855" t="str">
            <v>5.346085</v>
          </cell>
          <cell r="F1855" t="str">
            <v>2G/3G/4G</v>
          </cell>
          <cell r="G1855" t="str">
            <v>ERICSSON</v>
          </cell>
          <cell r="H1855" t="str">
            <v>MOOV</v>
          </cell>
          <cell r="I1855" t="str">
            <v>TIEVIESSOU</v>
          </cell>
          <cell r="J1855" t="str">
            <v>GRAND-LAHOU</v>
          </cell>
          <cell r="K1855" t="str">
            <v>GRAND-LAHOU</v>
          </cell>
          <cell r="L1855" t="str">
            <v>GRANDS-PONTS</v>
          </cell>
          <cell r="M1855" t="str">
            <v>YOPOUGON FICGAYO</v>
          </cell>
          <cell r="N1855" t="str">
            <v>UPCOUNTRY</v>
          </cell>
        </row>
        <row r="1856">
          <cell r="B1856" t="str">
            <v>ET531</v>
          </cell>
          <cell r="C1856" t="str">
            <v>TIEKPE</v>
          </cell>
          <cell r="D1856" t="str">
            <v>-5.306081</v>
          </cell>
          <cell r="E1856" t="str">
            <v>9.663815</v>
          </cell>
          <cell r="F1856" t="str">
            <v>2G/3G/4G</v>
          </cell>
          <cell r="G1856" t="str">
            <v>HUAWEI</v>
          </cell>
          <cell r="H1856" t="str">
            <v>MOOV</v>
          </cell>
          <cell r="I1856" t="str">
            <v>TIEKPE</v>
          </cell>
          <cell r="J1856" t="str">
            <v>FERKESSEDOUGOU</v>
          </cell>
          <cell r="K1856" t="str">
            <v>FERKESSEDOUGOU</v>
          </cell>
          <cell r="L1856" t="str">
            <v>TCHOLOGO</v>
          </cell>
          <cell r="M1856" t="str">
            <v>KORHOGO</v>
          </cell>
          <cell r="N1856" t="str">
            <v>UPCOUNTRY</v>
          </cell>
        </row>
        <row r="1857">
          <cell r="B1857" t="str">
            <v>ET918</v>
          </cell>
          <cell r="C1857" t="str">
            <v>SAN-PEDRO_TERRE_ROUGE</v>
          </cell>
          <cell r="D1857" t="str">
            <v>-6.662826</v>
          </cell>
          <cell r="E1857" t="str">
            <v>4.765770</v>
          </cell>
          <cell r="F1857" t="str">
            <v>2G/3G/4G</v>
          </cell>
          <cell r="G1857" t="str">
            <v>ERICSSON</v>
          </cell>
          <cell r="H1857" t="str">
            <v>MOOV</v>
          </cell>
          <cell r="I1857" t="str">
            <v>SAN-PEDRO</v>
          </cell>
          <cell r="J1857" t="str">
            <v>SAN-PEDRO</v>
          </cell>
          <cell r="K1857" t="str">
            <v>SAN-PEDRO</v>
          </cell>
          <cell r="L1857" t="str">
            <v>SAN-PEDRO</v>
          </cell>
          <cell r="M1857" t="str">
            <v>SAN-PEDRO</v>
          </cell>
          <cell r="N1857" t="str">
            <v>UPCOUNTRY</v>
          </cell>
        </row>
        <row r="1858">
          <cell r="B1858" t="str">
            <v>ET876</v>
          </cell>
          <cell r="C1858" t="str">
            <v>BOUA</v>
          </cell>
          <cell r="D1858" t="str">
            <v>-7.052595</v>
          </cell>
          <cell r="E1858" t="str">
            <v>5.023050</v>
          </cell>
          <cell r="F1858" t="str">
            <v>2G/3G/4G</v>
          </cell>
          <cell r="G1858" t="str">
            <v>ERICSSON</v>
          </cell>
          <cell r="H1858" t="str">
            <v>MOOV</v>
          </cell>
          <cell r="I1858" t="str">
            <v>BOUA</v>
          </cell>
          <cell r="J1858" t="str">
            <v>DOGBO</v>
          </cell>
          <cell r="K1858" t="str">
            <v>SAN-PEDRO</v>
          </cell>
          <cell r="L1858" t="str">
            <v>SAN-PEDRO</v>
          </cell>
          <cell r="M1858" t="str">
            <v>SAN-PEDRO</v>
          </cell>
          <cell r="N1858" t="str">
            <v>UPCOUNTRY</v>
          </cell>
        </row>
        <row r="1859">
          <cell r="B1859" t="str">
            <v>IM001</v>
          </cell>
          <cell r="C1859" t="str">
            <v>MICRO_CARGILL_YOP</v>
          </cell>
          <cell r="D1859" t="str">
            <v>-4.096221</v>
          </cell>
          <cell r="E1859" t="str">
            <v>5.376856</v>
          </cell>
          <cell r="F1859" t="str">
            <v>2G/3G/4G</v>
          </cell>
          <cell r="G1859" t="str">
            <v>ERICSSON</v>
          </cell>
          <cell r="H1859" t="str">
            <v>MOOV</v>
          </cell>
          <cell r="I1859" t="str">
            <v>YOPOUGON</v>
          </cell>
          <cell r="J1859" t="str">
            <v>ABIDJAN</v>
          </cell>
          <cell r="K1859" t="str">
            <v>ABIDJAN</v>
          </cell>
          <cell r="L1859" t="str">
            <v>ABIDJAN</v>
          </cell>
          <cell r="M1859" t="str">
            <v>YOPOUGON SABLE</v>
          </cell>
          <cell r="N1859" t="str">
            <v>ABIDJAN</v>
          </cell>
        </row>
        <row r="1860">
          <cell r="B1860" t="str">
            <v>ET841</v>
          </cell>
          <cell r="C1860" t="str">
            <v>ZEGREBOUE</v>
          </cell>
          <cell r="D1860" t="str">
            <v>-5.914580</v>
          </cell>
          <cell r="E1860" t="str">
            <v>5.375108</v>
          </cell>
          <cell r="F1860" t="str">
            <v>2G/3G/4G</v>
          </cell>
          <cell r="G1860" t="str">
            <v>ERICSSON</v>
          </cell>
          <cell r="H1860" t="str">
            <v>MOOV</v>
          </cell>
          <cell r="I1860" t="str">
            <v>ZEGREBOUE</v>
          </cell>
          <cell r="J1860" t="str">
            <v>SAGO</v>
          </cell>
          <cell r="K1860" t="str">
            <v>SASSANDRA</v>
          </cell>
          <cell r="L1860" t="str">
            <v>GBOKLE</v>
          </cell>
          <cell r="M1860" t="str">
            <v>SAN-PEDRO</v>
          </cell>
          <cell r="N1860" t="str">
            <v>UPCOUNTRY</v>
          </cell>
        </row>
        <row r="1861">
          <cell r="B1861" t="str">
            <v>ET889</v>
          </cell>
          <cell r="C1861" t="str">
            <v>ZAHEBRE</v>
          </cell>
          <cell r="D1861" t="str">
            <v>-6.263729</v>
          </cell>
          <cell r="E1861" t="str">
            <v>5.309821</v>
          </cell>
          <cell r="F1861" t="str">
            <v>2G/3G/4G</v>
          </cell>
          <cell r="G1861" t="str">
            <v>ERICSSON</v>
          </cell>
          <cell r="H1861" t="str">
            <v>MOOV</v>
          </cell>
          <cell r="I1861" t="str">
            <v>ZAHEBRE</v>
          </cell>
          <cell r="J1861" t="str">
            <v>GRIHIRI</v>
          </cell>
          <cell r="K1861" t="str">
            <v>SASSANDRA</v>
          </cell>
          <cell r="L1861" t="str">
            <v>GBOKLE</v>
          </cell>
          <cell r="M1861" t="str">
            <v>SAN-PEDRO</v>
          </cell>
          <cell r="N1861" t="str">
            <v>UPCOUNTRY</v>
          </cell>
        </row>
        <row r="1862">
          <cell r="B1862" t="str">
            <v>ET666</v>
          </cell>
          <cell r="C1862" t="str">
            <v>ZERIBERI</v>
          </cell>
          <cell r="D1862" t="str">
            <v>-5.444483</v>
          </cell>
          <cell r="E1862" t="str">
            <v>5.384058</v>
          </cell>
          <cell r="F1862" t="str">
            <v>2G/3G/4G</v>
          </cell>
          <cell r="G1862" t="str">
            <v>ERICSSON</v>
          </cell>
          <cell r="H1862" t="str">
            <v>MOOV</v>
          </cell>
          <cell r="I1862" t="str">
            <v>ZERIBERI</v>
          </cell>
          <cell r="J1862" t="str">
            <v>DAHIRI</v>
          </cell>
          <cell r="K1862" t="str">
            <v>GBOKLE</v>
          </cell>
          <cell r="L1862" t="str">
            <v>GBOKLE</v>
          </cell>
          <cell r="M1862" t="str">
            <v>SAN-PEDRO</v>
          </cell>
          <cell r="N1862" t="str">
            <v>UPCOUNTRY</v>
          </cell>
        </row>
        <row r="1863">
          <cell r="B1863" t="str">
            <v>ET856</v>
          </cell>
          <cell r="C1863" t="str">
            <v>KARIE</v>
          </cell>
          <cell r="D1863" t="str">
            <v>-7.343706</v>
          </cell>
          <cell r="E1863" t="str">
            <v>5.447055</v>
          </cell>
          <cell r="F1863" t="str">
            <v>2G/3G/4G</v>
          </cell>
          <cell r="G1863" t="str">
            <v>ERICSSON</v>
          </cell>
          <cell r="H1863" t="str">
            <v>MOOV</v>
          </cell>
          <cell r="I1863" t="str">
            <v>KARIE</v>
          </cell>
          <cell r="J1863" t="str">
            <v>DJOUROUTOU</v>
          </cell>
          <cell r="K1863" t="str">
            <v>TABOU</v>
          </cell>
          <cell r="L1863" t="str">
            <v>SAN-PEDRO</v>
          </cell>
          <cell r="M1863" t="str">
            <v>SAN-PEDRO</v>
          </cell>
          <cell r="N1863" t="str">
            <v>UPCOUNTRY</v>
          </cell>
        </row>
        <row r="1864">
          <cell r="B1864" t="str">
            <v>ET870</v>
          </cell>
          <cell r="C1864" t="str">
            <v>TRAHE</v>
          </cell>
          <cell r="D1864" t="str">
            <v>-7.188002</v>
          </cell>
          <cell r="E1864" t="str">
            <v>4.721502</v>
          </cell>
          <cell r="F1864" t="str">
            <v>2G/3G/4G</v>
          </cell>
          <cell r="G1864" t="str">
            <v>ERICSSON</v>
          </cell>
          <cell r="H1864" t="str">
            <v>MOOV</v>
          </cell>
          <cell r="I1864" t="str">
            <v>TRAHE</v>
          </cell>
          <cell r="J1864" t="str">
            <v>GRAND-BEREBY</v>
          </cell>
          <cell r="K1864" t="str">
            <v>SAN-PEDRO</v>
          </cell>
          <cell r="L1864" t="str">
            <v>SAN-PEDRO</v>
          </cell>
          <cell r="M1864" t="str">
            <v>SAN-PEDRO</v>
          </cell>
          <cell r="N1864" t="str">
            <v>UPCOUNTRY</v>
          </cell>
        </row>
        <row r="1865">
          <cell r="B1865" t="str">
            <v>ET816</v>
          </cell>
          <cell r="C1865" t="str">
            <v>MASSADOUGOU_EST</v>
          </cell>
          <cell r="D1865" t="str">
            <v>-3.921030</v>
          </cell>
          <cell r="E1865" t="str">
            <v>8.296990</v>
          </cell>
          <cell r="F1865" t="str">
            <v>2G/3G/4G</v>
          </cell>
          <cell r="G1865" t="str">
            <v>ERICSSON</v>
          </cell>
          <cell r="H1865" t="str">
            <v>MOOV</v>
          </cell>
          <cell r="I1865" t="str">
            <v>MASSADOUGOU</v>
          </cell>
          <cell r="J1865" t="str">
            <v>YOROBODI</v>
          </cell>
          <cell r="K1865" t="str">
            <v>SANDEGUE</v>
          </cell>
          <cell r="L1865" t="str">
            <v>GONTOUGO</v>
          </cell>
          <cell r="M1865" t="str">
            <v>ABENGOUROU</v>
          </cell>
          <cell r="N1865" t="str">
            <v>UPCOUNTRY</v>
          </cell>
        </row>
        <row r="1866">
          <cell r="B1866" t="str">
            <v>ET050</v>
          </cell>
          <cell r="C1866" t="str">
            <v>SONGON_HEVEA</v>
          </cell>
          <cell r="D1866" t="str">
            <v>-4.193567</v>
          </cell>
          <cell r="E1866" t="str">
            <v>5.331895</v>
          </cell>
          <cell r="F1866" t="str">
            <v>2G/3G/4G</v>
          </cell>
          <cell r="G1866" t="str">
            <v>ERICSSON</v>
          </cell>
          <cell r="H1866" t="str">
            <v>MOOV</v>
          </cell>
          <cell r="I1866" t="str">
            <v>SONGON</v>
          </cell>
          <cell r="J1866" t="str">
            <v>SONGON</v>
          </cell>
          <cell r="K1866" t="str">
            <v>ABIDJAN</v>
          </cell>
          <cell r="L1866" t="str">
            <v>ABIDJAN</v>
          </cell>
          <cell r="M1866" t="str">
            <v>YOPOUGON FICGAYO</v>
          </cell>
          <cell r="N1866" t="str">
            <v>ABIDJAN</v>
          </cell>
        </row>
        <row r="1867">
          <cell r="B1867" t="str">
            <v>ET842</v>
          </cell>
          <cell r="C1867" t="str">
            <v>NIPLOU</v>
          </cell>
          <cell r="D1867" t="str">
            <v>-7.397179</v>
          </cell>
          <cell r="E1867" t="str">
            <v>4.825705</v>
          </cell>
          <cell r="F1867" t="str">
            <v>2G/3G/4G</v>
          </cell>
          <cell r="G1867" t="str">
            <v>ERICSSON</v>
          </cell>
          <cell r="H1867" t="str">
            <v>MOOV</v>
          </cell>
          <cell r="I1867" t="str">
            <v>NIPLOU</v>
          </cell>
          <cell r="J1867" t="str">
            <v>IBOKE</v>
          </cell>
          <cell r="K1867" t="str">
            <v>TABOU</v>
          </cell>
          <cell r="L1867" t="str">
            <v>SAN PEDRO</v>
          </cell>
          <cell r="M1867" t="str">
            <v>SAN-PEDRO</v>
          </cell>
          <cell r="N1867" t="str">
            <v>UPCOUNTRY</v>
          </cell>
        </row>
        <row r="1868">
          <cell r="B1868" t="str">
            <v>ET839</v>
          </cell>
          <cell r="C1868" t="str">
            <v>BORON_PORO</v>
          </cell>
          <cell r="D1868" t="str">
            <v>-5.970529</v>
          </cell>
          <cell r="E1868" t="str">
            <v>8.693500</v>
          </cell>
          <cell r="F1868" t="str">
            <v>2G/3G/4G</v>
          </cell>
          <cell r="G1868" t="str">
            <v>HUAWEI</v>
          </cell>
          <cell r="H1868" t="str">
            <v>MOOV</v>
          </cell>
          <cell r="I1868" t="str">
            <v>BORON</v>
          </cell>
          <cell r="J1868" t="str">
            <v>BORON</v>
          </cell>
          <cell r="K1868" t="str">
            <v>DIKODOUGOU</v>
          </cell>
          <cell r="L1868" t="str">
            <v>PORO</v>
          </cell>
          <cell r="M1868" t="str">
            <v>KORHOGO</v>
          </cell>
          <cell r="N1868" t="str">
            <v>UPCOUNTRY</v>
          </cell>
        </row>
        <row r="1869">
          <cell r="B1869" t="str">
            <v>IM250</v>
          </cell>
          <cell r="C1869" t="str">
            <v>MICRO_PLAYCE_PALMERAIE</v>
          </cell>
          <cell r="D1869" t="str">
            <v>-3.932385</v>
          </cell>
          <cell r="E1869" t="str">
            <v>5.372302</v>
          </cell>
          <cell r="F1869" t="str">
            <v>2G/3G/4G</v>
          </cell>
          <cell r="G1869" t="str">
            <v>ERICSSON</v>
          </cell>
          <cell r="H1869" t="str">
            <v>MOOV</v>
          </cell>
          <cell r="I1869" t="str">
            <v>COCODY</v>
          </cell>
          <cell r="J1869" t="str">
            <v>ABIDJAN</v>
          </cell>
          <cell r="K1869" t="str">
            <v>ABIDJAN</v>
          </cell>
          <cell r="L1869" t="str">
            <v>ABIDJAN</v>
          </cell>
          <cell r="M1869" t="str">
            <v>COCODY LATRILLE</v>
          </cell>
          <cell r="N1869" t="str">
            <v>ABIDJAN</v>
          </cell>
        </row>
        <row r="1870">
          <cell r="B1870" t="str">
            <v>ET844</v>
          </cell>
          <cell r="C1870" t="str">
            <v>BLAPLEU</v>
          </cell>
          <cell r="D1870" t="str">
            <v>-7.729380</v>
          </cell>
          <cell r="E1870" t="str">
            <v>7.638612</v>
          </cell>
          <cell r="F1870" t="str">
            <v>2G/3G/4G</v>
          </cell>
          <cell r="G1870" t="str">
            <v>HUAWEI</v>
          </cell>
          <cell r="H1870" t="str">
            <v>MOOV</v>
          </cell>
          <cell r="I1870" t="str">
            <v>BLAPLEU</v>
          </cell>
          <cell r="J1870" t="str">
            <v>BLAPLEU</v>
          </cell>
          <cell r="K1870" t="str">
            <v>BIANKOUMA</v>
          </cell>
          <cell r="L1870" t="str">
            <v>TONKPI</v>
          </cell>
          <cell r="M1870" t="str">
            <v>MAN</v>
          </cell>
          <cell r="N1870" t="str">
            <v>UPCOUNTRY</v>
          </cell>
        </row>
        <row r="1871">
          <cell r="B1871" t="str">
            <v>ET895</v>
          </cell>
          <cell r="C1871" t="str">
            <v>GAGNOA_GBONSSOU</v>
          </cell>
          <cell r="D1871" t="str">
            <v>-5.941188</v>
          </cell>
          <cell r="E1871" t="str">
            <v>6.117338</v>
          </cell>
          <cell r="F1871" t="str">
            <v>2G/3G/4G</v>
          </cell>
          <cell r="G1871" t="str">
            <v>HUAWEI</v>
          </cell>
          <cell r="H1871" t="str">
            <v>MOOV</v>
          </cell>
          <cell r="I1871" t="str">
            <v>GAGNOA</v>
          </cell>
          <cell r="J1871" t="str">
            <v>GAGNOA</v>
          </cell>
          <cell r="K1871" t="str">
            <v>GAGNOA</v>
          </cell>
          <cell r="L1871" t="str">
            <v>GOH</v>
          </cell>
          <cell r="M1871" t="str">
            <v>GAGNOA</v>
          </cell>
          <cell r="N1871" t="str">
            <v>UPCOUNTRY</v>
          </cell>
        </row>
        <row r="1872">
          <cell r="B1872" t="str">
            <v>ET053</v>
          </cell>
          <cell r="C1872" t="str">
            <v>CAP_SUD</v>
          </cell>
          <cell r="D1872" t="str">
            <v>-3.986987</v>
          </cell>
          <cell r="E1872" t="str">
            <v>5.297087</v>
          </cell>
          <cell r="F1872" t="str">
            <v>2G/3G/4G/5G</v>
          </cell>
          <cell r="G1872" t="str">
            <v>ERICSSON</v>
          </cell>
          <cell r="H1872" t="str">
            <v>MTN</v>
          </cell>
          <cell r="I1872" t="str">
            <v>MARCORY</v>
          </cell>
          <cell r="J1872" t="str">
            <v>ABIDJAN</v>
          </cell>
          <cell r="K1872" t="str">
            <v>ABIDJAN</v>
          </cell>
          <cell r="L1872" t="str">
            <v>ABIDJAN</v>
          </cell>
          <cell r="M1872" t="str">
            <v>MARCORY</v>
          </cell>
          <cell r="N1872" t="str">
            <v>ABIDJAN</v>
          </cell>
        </row>
        <row r="1873">
          <cell r="B1873" t="str">
            <v>ET931</v>
          </cell>
          <cell r="C1873" t="str">
            <v>NDOTRE_CARR_FANNY</v>
          </cell>
          <cell r="D1873" t="str">
            <v>-4.085197</v>
          </cell>
          <cell r="E1873" t="str">
            <v>5.439377</v>
          </cell>
          <cell r="F1873" t="str">
            <v>2G/3G/4G</v>
          </cell>
          <cell r="G1873" t="str">
            <v>ERICSSON</v>
          </cell>
          <cell r="H1873" t="str">
            <v>MOOV</v>
          </cell>
          <cell r="I1873" t="str">
            <v>ABOBO</v>
          </cell>
          <cell r="J1873" t="str">
            <v>ABIDJAN</v>
          </cell>
          <cell r="K1873" t="str">
            <v>ABIDJAN</v>
          </cell>
          <cell r="L1873" t="str">
            <v>ABIDJAN</v>
          </cell>
          <cell r="M1873" t="str">
            <v>ABOBO</v>
          </cell>
          <cell r="N1873" t="str">
            <v>ABIDJAN</v>
          </cell>
        </row>
        <row r="1874">
          <cell r="B1874" t="str">
            <v>ET973</v>
          </cell>
          <cell r="C1874" t="str">
            <v>PB_ABATTOIR</v>
          </cell>
          <cell r="D1874" t="str">
            <v>-3.967570</v>
          </cell>
          <cell r="E1874" t="str">
            <v>5.261915</v>
          </cell>
          <cell r="F1874" t="str">
            <v>2G/3G/4G</v>
          </cell>
          <cell r="G1874" t="str">
            <v>HUAWEI</v>
          </cell>
          <cell r="H1874" t="str">
            <v>MOOV</v>
          </cell>
          <cell r="I1874" t="str">
            <v>PORT-BOUET</v>
          </cell>
          <cell r="J1874" t="str">
            <v>ABIDJAN</v>
          </cell>
          <cell r="K1874" t="str">
            <v>ABIDJAN</v>
          </cell>
          <cell r="L1874" t="str">
            <v>ABIDJAN</v>
          </cell>
          <cell r="M1874" t="str">
            <v>MARCORY</v>
          </cell>
          <cell r="N1874" t="str">
            <v>ABIDJAN</v>
          </cell>
        </row>
        <row r="1875">
          <cell r="B1875" t="str">
            <v>IM002</v>
          </cell>
          <cell r="C1875" t="str">
            <v>PBOUET_MAFIBLE</v>
          </cell>
          <cell r="D1875" t="str">
            <v>-3.865322</v>
          </cell>
          <cell r="E1875" t="str">
            <v>5.276508</v>
          </cell>
          <cell r="F1875" t="str">
            <v>2G/3G/4G</v>
          </cell>
          <cell r="G1875" t="str">
            <v>HUAWEI</v>
          </cell>
          <cell r="H1875" t="str">
            <v>MOOV</v>
          </cell>
          <cell r="I1875" t="str">
            <v>PORT-BOUET</v>
          </cell>
          <cell r="J1875" t="str">
            <v>ABIDJAN</v>
          </cell>
          <cell r="K1875" t="str">
            <v>ABIDJAN</v>
          </cell>
          <cell r="L1875" t="str">
            <v>ABIDJAN</v>
          </cell>
          <cell r="M1875" t="str">
            <v>MARCORY</v>
          </cell>
          <cell r="N1875" t="str">
            <v>ABIDJAN</v>
          </cell>
        </row>
        <row r="1876">
          <cell r="B1876" t="str">
            <v>ET679</v>
          </cell>
          <cell r="C1876" t="str">
            <v>GUIMEYO</v>
          </cell>
          <cell r="D1876" t="str">
            <v>-6.307712</v>
          </cell>
          <cell r="E1876" t="str">
            <v>5.831375</v>
          </cell>
          <cell r="F1876" t="str">
            <v>2G/3G/4G</v>
          </cell>
          <cell r="G1876" t="str">
            <v>HUAWEI</v>
          </cell>
          <cell r="H1876" t="str">
            <v>MOOV</v>
          </cell>
          <cell r="I1876" t="str">
            <v>GUIMEYO</v>
          </cell>
          <cell r="J1876" t="str">
            <v>OKROUYO</v>
          </cell>
          <cell r="K1876" t="str">
            <v>SOUBRE</v>
          </cell>
          <cell r="L1876" t="str">
            <v>NAWA</v>
          </cell>
          <cell r="M1876" t="str">
            <v>SOUBRE</v>
          </cell>
          <cell r="N1876" t="str">
            <v>UPCOUNTRY</v>
          </cell>
        </row>
        <row r="1877">
          <cell r="B1877" t="str">
            <v>ET884</v>
          </cell>
          <cell r="C1877" t="str">
            <v>KODAYA_V5</v>
          </cell>
          <cell r="D1877" t="str">
            <v>-6.973641</v>
          </cell>
          <cell r="E1877" t="str">
            <v>5.995036</v>
          </cell>
          <cell r="F1877" t="str">
            <v>2G/3G/4G</v>
          </cell>
          <cell r="G1877" t="str">
            <v>HUAWEI</v>
          </cell>
          <cell r="H1877" t="str">
            <v>MOOV</v>
          </cell>
          <cell r="I1877" t="str">
            <v>KODAYA_V5</v>
          </cell>
          <cell r="J1877" t="str">
            <v>DAPEOUA</v>
          </cell>
          <cell r="K1877" t="str">
            <v>BUYO</v>
          </cell>
          <cell r="L1877" t="str">
            <v>NAWA</v>
          </cell>
          <cell r="M1877" t="str">
            <v>SOUBRE</v>
          </cell>
          <cell r="N1877" t="str">
            <v>UPCOUNTRY</v>
          </cell>
        </row>
        <row r="1878">
          <cell r="B1878" t="str">
            <v>ET714</v>
          </cell>
          <cell r="C1878" t="str">
            <v>MELAGOUINE_GOTONGOUINE</v>
          </cell>
          <cell r="D1878" t="str">
            <v>-7.804610</v>
          </cell>
          <cell r="E1878" t="str">
            <v>7.366300</v>
          </cell>
          <cell r="F1878" t="str">
            <v>2G/3G/4G</v>
          </cell>
          <cell r="G1878" t="str">
            <v>HUAWEI</v>
          </cell>
          <cell r="H1878" t="str">
            <v>MOOV</v>
          </cell>
          <cell r="I1878" t="str">
            <v>MELAGOUINE</v>
          </cell>
          <cell r="J1878" t="str">
            <v>SANGOUINE</v>
          </cell>
          <cell r="K1878" t="str">
            <v>MAN</v>
          </cell>
          <cell r="L1878" t="str">
            <v>TONKPI</v>
          </cell>
          <cell r="M1878" t="str">
            <v>MAN</v>
          </cell>
          <cell r="N1878" t="str">
            <v>UPCOUNTRY</v>
          </cell>
        </row>
        <row r="1879">
          <cell r="B1879" t="str">
            <v>ET821</v>
          </cell>
          <cell r="C1879" t="str">
            <v>GBEUGREHOA</v>
          </cell>
          <cell r="D1879" t="str">
            <v>-6.337861</v>
          </cell>
          <cell r="E1879" t="str">
            <v>6.207241</v>
          </cell>
          <cell r="F1879" t="str">
            <v>2G/3G/4G</v>
          </cell>
          <cell r="G1879" t="str">
            <v>HUAWEI</v>
          </cell>
          <cell r="H1879" t="str">
            <v>MOOV</v>
          </cell>
          <cell r="I1879" t="str">
            <v>GBEUGREHOA</v>
          </cell>
          <cell r="J1879" t="str">
            <v>DIGNAGO</v>
          </cell>
          <cell r="K1879" t="str">
            <v>GAGNOA</v>
          </cell>
          <cell r="L1879" t="str">
            <v>GOH</v>
          </cell>
          <cell r="M1879" t="str">
            <v>GAGNOA</v>
          </cell>
          <cell r="N1879" t="str">
            <v>UPCOUNTRY</v>
          </cell>
        </row>
        <row r="1880">
          <cell r="B1880" t="str">
            <v>ET740</v>
          </cell>
          <cell r="C1880" t="str">
            <v>KOSSEHOA</v>
          </cell>
          <cell r="D1880" t="str">
            <v>-6.298759</v>
          </cell>
          <cell r="E1880" t="str">
            <v>6.070524</v>
          </cell>
          <cell r="F1880" t="str">
            <v>2G/3G/4G</v>
          </cell>
          <cell r="G1880" t="str">
            <v>HUAWEI</v>
          </cell>
          <cell r="H1880" t="str">
            <v>MOOV</v>
          </cell>
          <cell r="I1880" t="str">
            <v>KOSSEHOA</v>
          </cell>
          <cell r="J1880" t="str">
            <v>GALEBRE</v>
          </cell>
          <cell r="K1880" t="str">
            <v>GAGNOA</v>
          </cell>
          <cell r="L1880" t="str">
            <v>GOH</v>
          </cell>
          <cell r="M1880" t="str">
            <v>GAGNOA</v>
          </cell>
          <cell r="N1880" t="str">
            <v>UPCOUNTRY</v>
          </cell>
        </row>
        <row r="1881">
          <cell r="B1881" t="str">
            <v>ET703</v>
          </cell>
          <cell r="C1881" t="str">
            <v>PARIS-LEONA</v>
          </cell>
          <cell r="D1881" t="str">
            <v>-7.529430</v>
          </cell>
          <cell r="E1881" t="str">
            <v>6.350570</v>
          </cell>
          <cell r="F1881" t="str">
            <v>2G/3G/4G</v>
          </cell>
          <cell r="G1881" t="str">
            <v>HUAWEI</v>
          </cell>
          <cell r="H1881" t="str">
            <v>MOOV</v>
          </cell>
          <cell r="I1881" t="str">
            <v>PARIS-LEONA</v>
          </cell>
          <cell r="J1881" t="str">
            <v>GUIGLO</v>
          </cell>
          <cell r="K1881" t="str">
            <v>GUIGLO</v>
          </cell>
          <cell r="L1881" t="str">
            <v>CAVALLY</v>
          </cell>
          <cell r="M1881" t="str">
            <v>MAN</v>
          </cell>
          <cell r="N1881" t="str">
            <v>UPCOUNTRY</v>
          </cell>
        </row>
        <row r="1882">
          <cell r="B1882" t="str">
            <v>IM019</v>
          </cell>
          <cell r="C1882" t="str">
            <v>PBOUET_GS_CEVENOL</v>
          </cell>
          <cell r="D1882" t="str">
            <v>-3.894807</v>
          </cell>
          <cell r="E1882" t="str">
            <v>5.255788</v>
          </cell>
          <cell r="F1882" t="str">
            <v>2G/3G/4G</v>
          </cell>
          <cell r="G1882" t="str">
            <v>HUAWEI</v>
          </cell>
          <cell r="H1882" t="str">
            <v>MOOV</v>
          </cell>
          <cell r="I1882" t="str">
            <v>PORT-BOUET</v>
          </cell>
          <cell r="J1882" t="str">
            <v>ABIDJAN</v>
          </cell>
          <cell r="K1882" t="str">
            <v>ABIDJAN</v>
          </cell>
          <cell r="L1882" t="str">
            <v>ABIDJAN</v>
          </cell>
          <cell r="M1882" t="str">
            <v>MARCORY</v>
          </cell>
          <cell r="N1882" t="str">
            <v>ABIDJAN</v>
          </cell>
        </row>
        <row r="1883">
          <cell r="B1883" t="str">
            <v>ET837</v>
          </cell>
          <cell r="C1883" t="str">
            <v>BANABO</v>
          </cell>
          <cell r="D1883" t="str">
            <v>-4.291611</v>
          </cell>
          <cell r="E1883" t="str">
            <v>6.705125</v>
          </cell>
          <cell r="F1883" t="str">
            <v>2G/3G/4G</v>
          </cell>
          <cell r="G1883" t="str">
            <v>HUAWEI</v>
          </cell>
          <cell r="H1883" t="str">
            <v>MOOV</v>
          </cell>
          <cell r="I1883" t="str">
            <v>BANABO</v>
          </cell>
          <cell r="J1883" t="str">
            <v>BONGOUANOU</v>
          </cell>
          <cell r="K1883" t="str">
            <v>BONGOUANOU</v>
          </cell>
          <cell r="L1883" t="str">
            <v>MORONOU</v>
          </cell>
          <cell r="M1883" t="str">
            <v>ABENGOUROU</v>
          </cell>
          <cell r="N1883" t="str">
            <v>UPCOUNTRY</v>
          </cell>
        </row>
        <row r="1884">
          <cell r="B1884" t="str">
            <v>ET926</v>
          </cell>
          <cell r="C1884" t="str">
            <v>LELEBLE</v>
          </cell>
          <cell r="D1884" t="str">
            <v>-5.223014</v>
          </cell>
          <cell r="E1884" t="str">
            <v>6.228546</v>
          </cell>
          <cell r="F1884" t="str">
            <v>2G/3G/4G</v>
          </cell>
          <cell r="G1884" t="str">
            <v>HUAWEI</v>
          </cell>
          <cell r="H1884" t="str">
            <v>OCI</v>
          </cell>
          <cell r="I1884" t="str">
            <v>LELEBLE</v>
          </cell>
          <cell r="J1884" t="str">
            <v>TAABO</v>
          </cell>
          <cell r="K1884" t="str">
            <v>TAABO</v>
          </cell>
          <cell r="L1884" t="str">
            <v>AGNEBY-TIASSA</v>
          </cell>
          <cell r="M1884" t="str">
            <v>YAMOUSSOUKRO</v>
          </cell>
          <cell r="N1884" t="str">
            <v>UPCOUNTRY</v>
          </cell>
        </row>
        <row r="1885">
          <cell r="B1885" t="str">
            <v>ET042</v>
          </cell>
          <cell r="C1885" t="str">
            <v>BOUREBO</v>
          </cell>
          <cell r="D1885" t="str">
            <v>-5.721962</v>
          </cell>
          <cell r="E1885" t="str">
            <v>7.714887</v>
          </cell>
          <cell r="F1885" t="str">
            <v>2G/3G/4G</v>
          </cell>
          <cell r="G1885" t="str">
            <v>HUAWEI</v>
          </cell>
          <cell r="H1885" t="str">
            <v>MOOV</v>
          </cell>
          <cell r="I1885" t="str">
            <v>BOUREBO</v>
          </cell>
          <cell r="J1885" t="str">
            <v>KONDROBO</v>
          </cell>
          <cell r="K1885" t="str">
            <v>BEOUMI</v>
          </cell>
          <cell r="L1885" t="str">
            <v>GBEKE</v>
          </cell>
          <cell r="M1885" t="str">
            <v>BOUAKE</v>
          </cell>
          <cell r="N1885" t="str">
            <v>UPCOUNTRY</v>
          </cell>
        </row>
        <row r="1886">
          <cell r="B1886" t="str">
            <v>ET836</v>
          </cell>
          <cell r="C1886" t="str">
            <v>ASSAOUFFOUE</v>
          </cell>
          <cell r="D1886" t="str">
            <v>-4.226732</v>
          </cell>
          <cell r="E1886" t="str">
            <v>6.574913</v>
          </cell>
          <cell r="F1886" t="str">
            <v>2G/3G/4G</v>
          </cell>
          <cell r="G1886" t="str">
            <v>HUAWEI</v>
          </cell>
          <cell r="H1886" t="str">
            <v>MOOV</v>
          </cell>
          <cell r="I1886" t="str">
            <v>ASSAOUFFOUE</v>
          </cell>
          <cell r="J1886" t="str">
            <v>BONGOUANOU</v>
          </cell>
          <cell r="K1886" t="str">
            <v>BONGOUANOU</v>
          </cell>
          <cell r="L1886" t="str">
            <v>MORONOU</v>
          </cell>
          <cell r="M1886" t="str">
            <v>ABENGOUROU</v>
          </cell>
          <cell r="N1886" t="str">
            <v>UPCOUNTRY</v>
          </cell>
        </row>
        <row r="1887">
          <cell r="B1887" t="str">
            <v>ET638</v>
          </cell>
          <cell r="C1887" t="str">
            <v>TOKOHIRI</v>
          </cell>
          <cell r="D1887" t="str">
            <v>-5.199340</v>
          </cell>
          <cell r="E1887" t="str">
            <v>6.377272</v>
          </cell>
          <cell r="F1887" t="str">
            <v>2G/3G/4G</v>
          </cell>
          <cell r="G1887" t="str">
            <v>HUAWEI</v>
          </cell>
          <cell r="H1887" t="str">
            <v>MOOV</v>
          </cell>
          <cell r="I1887" t="str">
            <v>TOKOHIRI</v>
          </cell>
          <cell r="J1887" t="str">
            <v>TAABO</v>
          </cell>
          <cell r="K1887" t="str">
            <v>TAABO</v>
          </cell>
          <cell r="L1887" t="str">
            <v>AGNEBY-TIASSA</v>
          </cell>
          <cell r="M1887" t="str">
            <v>YAMOUSSOUKRO</v>
          </cell>
          <cell r="N1887" t="str">
            <v>UPCOUNTRY</v>
          </cell>
        </row>
        <row r="1888">
          <cell r="B1888" t="str">
            <v>ET047</v>
          </cell>
          <cell r="C1888" t="str">
            <v>AYAOU-SOKPA</v>
          </cell>
          <cell r="D1888" t="str">
            <v>-5.612830</v>
          </cell>
          <cell r="E1888" t="str">
            <v>7.421340</v>
          </cell>
          <cell r="F1888" t="str">
            <v>2G/3G/4G</v>
          </cell>
          <cell r="G1888" t="str">
            <v>HUAWEI</v>
          </cell>
          <cell r="H1888" t="str">
            <v>MOOV</v>
          </cell>
          <cell r="I1888" t="str">
            <v>AYAOU-SOKPA</v>
          </cell>
          <cell r="J1888" t="str">
            <v>AYAOU SRAN</v>
          </cell>
          <cell r="K1888" t="str">
            <v>SAKASSOU</v>
          </cell>
          <cell r="L1888" t="str">
            <v>GBEKE</v>
          </cell>
          <cell r="M1888" t="str">
            <v>BOUAKE</v>
          </cell>
          <cell r="N1888" t="str">
            <v>UPCOUNTRY</v>
          </cell>
        </row>
        <row r="1889">
          <cell r="B1889" t="str">
            <v>ET046</v>
          </cell>
          <cell r="C1889" t="str">
            <v>KOROKARA</v>
          </cell>
          <cell r="D1889" t="str">
            <v>-5.625890</v>
          </cell>
          <cell r="E1889" t="str">
            <v>9.906720</v>
          </cell>
          <cell r="F1889" t="str">
            <v>2G/3G/4G</v>
          </cell>
          <cell r="G1889" t="str">
            <v>HUAWEI</v>
          </cell>
          <cell r="H1889" t="str">
            <v>MOOV</v>
          </cell>
          <cell r="I1889" t="str">
            <v>KOROKARA</v>
          </cell>
          <cell r="J1889" t="str">
            <v>DIAWALA</v>
          </cell>
          <cell r="K1889" t="str">
            <v>OUANGOLODOUGOU</v>
          </cell>
          <cell r="L1889" t="str">
            <v>TCHOLOGO</v>
          </cell>
          <cell r="M1889" t="str">
            <v>KORHOGO</v>
          </cell>
          <cell r="N1889" t="str">
            <v>UPCOUNTRY</v>
          </cell>
        </row>
        <row r="1890">
          <cell r="B1890" t="str">
            <v>ET649</v>
          </cell>
          <cell r="C1890" t="str">
            <v>LOGBONOU</v>
          </cell>
          <cell r="D1890" t="str">
            <v>-5.252483</v>
          </cell>
          <cell r="E1890" t="str">
            <v>8.066483</v>
          </cell>
          <cell r="F1890" t="str">
            <v>2G/3G/4G</v>
          </cell>
          <cell r="G1890" t="str">
            <v>HUAWEI</v>
          </cell>
          <cell r="H1890" t="str">
            <v>MOOV</v>
          </cell>
          <cell r="I1890" t="str">
            <v>LOGBONOU</v>
          </cell>
          <cell r="J1890" t="str">
            <v>KATIOLA</v>
          </cell>
          <cell r="K1890" t="str">
            <v>KATIOLA</v>
          </cell>
          <cell r="L1890" t="str">
            <v>HAMBOL</v>
          </cell>
          <cell r="M1890" t="str">
            <v>BOUAKE</v>
          </cell>
          <cell r="N1890" t="str">
            <v>UPCOUNTRY</v>
          </cell>
        </row>
        <row r="1891">
          <cell r="B1891" t="str">
            <v>IM007</v>
          </cell>
          <cell r="C1891" t="str">
            <v>BKE_AIR_FRANCE_3</v>
          </cell>
          <cell r="D1891" t="str">
            <v>-5.019130</v>
          </cell>
          <cell r="E1891" t="str">
            <v>7.657600</v>
          </cell>
          <cell r="F1891" t="str">
            <v>2G/3G/4G</v>
          </cell>
          <cell r="G1891" t="str">
            <v>HUAWEI</v>
          </cell>
          <cell r="H1891" t="str">
            <v>MOOV</v>
          </cell>
          <cell r="I1891" t="str">
            <v>BOUAKE</v>
          </cell>
          <cell r="J1891" t="str">
            <v>BOUAKE</v>
          </cell>
          <cell r="K1891" t="str">
            <v>BOUAKE</v>
          </cell>
          <cell r="L1891" t="str">
            <v>GBEKE</v>
          </cell>
          <cell r="M1891" t="str">
            <v>BOUAKE</v>
          </cell>
          <cell r="N1891" t="str">
            <v>UPCOUNTRY</v>
          </cell>
        </row>
        <row r="1892">
          <cell r="B1892" t="str">
            <v>IM096</v>
          </cell>
          <cell r="C1892" t="str">
            <v>DIALAKORO</v>
          </cell>
          <cell r="D1892" t="str">
            <v>-5.848290</v>
          </cell>
          <cell r="E1892" t="str">
            <v>8.191581</v>
          </cell>
          <cell r="F1892" t="str">
            <v>2G/3G/4G</v>
          </cell>
          <cell r="G1892" t="str">
            <v>HUAWEI</v>
          </cell>
          <cell r="H1892" t="str">
            <v>MOOV</v>
          </cell>
          <cell r="I1892" t="str">
            <v>DIALAKORO</v>
          </cell>
          <cell r="J1892" t="str">
            <v>TIENINGBOUE</v>
          </cell>
          <cell r="K1892" t="str">
            <v>MANKONO</v>
          </cell>
          <cell r="L1892" t="str">
            <v>BERE</v>
          </cell>
          <cell r="M1892" t="str">
            <v>BOUAKE</v>
          </cell>
          <cell r="N1892" t="str">
            <v>UPCOUNTRY</v>
          </cell>
        </row>
        <row r="1893">
          <cell r="B1893" t="str">
            <v>IM123</v>
          </cell>
          <cell r="C1893" t="str">
            <v>DJOUGOUBLE</v>
          </cell>
          <cell r="D1893" t="str">
            <v>-5.937000</v>
          </cell>
          <cell r="E1893" t="str">
            <v>9.528140</v>
          </cell>
          <cell r="F1893" t="str">
            <v>2G/3G/4G</v>
          </cell>
          <cell r="G1893" t="str">
            <v>HUAWEI</v>
          </cell>
          <cell r="H1893" t="str">
            <v>MOOV</v>
          </cell>
          <cell r="I1893" t="str">
            <v>DJOUGOUBLE</v>
          </cell>
          <cell r="J1893" t="str">
            <v>NIOFOIN</v>
          </cell>
          <cell r="K1893" t="str">
            <v>KORHOGO</v>
          </cell>
          <cell r="L1893" t="str">
            <v>PORO</v>
          </cell>
          <cell r="M1893" t="str">
            <v>KORHOGO</v>
          </cell>
          <cell r="N1893" t="str">
            <v>UPCOUNTRY</v>
          </cell>
        </row>
        <row r="1894">
          <cell r="B1894" t="str">
            <v>IM091</v>
          </cell>
          <cell r="C1894" t="str">
            <v>SOKO_NORD</v>
          </cell>
          <cell r="D1894" t="str">
            <v>-6.983540</v>
          </cell>
          <cell r="E1894" t="str">
            <v>8.335542</v>
          </cell>
          <cell r="F1894" t="str">
            <v>2G/3G/4G</v>
          </cell>
          <cell r="G1894" t="str">
            <v>HUAWEI</v>
          </cell>
          <cell r="H1894" t="str">
            <v>MOOV</v>
          </cell>
          <cell r="I1894" t="str">
            <v>SOKO</v>
          </cell>
          <cell r="J1894" t="str">
            <v>WOROFLA</v>
          </cell>
          <cell r="K1894" t="str">
            <v>SEGUELA</v>
          </cell>
          <cell r="L1894" t="str">
            <v>WORODOUGOU</v>
          </cell>
          <cell r="M1894" t="str">
            <v>DALOA</v>
          </cell>
          <cell r="N1894" t="str">
            <v>UPCOUNTRY</v>
          </cell>
        </row>
        <row r="1895">
          <cell r="B1895" t="str">
            <v>IM192</v>
          </cell>
          <cell r="C1895" t="str">
            <v>TAYO</v>
          </cell>
          <cell r="D1895" t="str">
            <v>-6.334996</v>
          </cell>
          <cell r="E1895" t="str">
            <v>5.680158</v>
          </cell>
          <cell r="F1895" t="str">
            <v>2G/3G/4G</v>
          </cell>
          <cell r="G1895" t="str">
            <v>HUAWEI</v>
          </cell>
          <cell r="H1895" t="str">
            <v>MOOV</v>
          </cell>
          <cell r="I1895" t="str">
            <v>TAYO</v>
          </cell>
          <cell r="J1895" t="str">
            <v>OKROUYO</v>
          </cell>
          <cell r="K1895" t="str">
            <v>SOUBRE</v>
          </cell>
          <cell r="L1895" t="str">
            <v>NAWA</v>
          </cell>
          <cell r="M1895" t="str">
            <v>SOUBRE</v>
          </cell>
          <cell r="N1895" t="str">
            <v>UPCOUNTRY</v>
          </cell>
        </row>
        <row r="1896">
          <cell r="B1896" t="str">
            <v>ET955</v>
          </cell>
          <cell r="C1896" t="str">
            <v>COCODY_DANGA</v>
          </cell>
          <cell r="D1896" t="str">
            <v>-4.006282</v>
          </cell>
          <cell r="E1896" t="str">
            <v>5.344065</v>
          </cell>
          <cell r="F1896" t="str">
            <v>2G/3G/4G</v>
          </cell>
          <cell r="G1896" t="str">
            <v>ERICSSON</v>
          </cell>
          <cell r="H1896" t="str">
            <v>MOOV</v>
          </cell>
          <cell r="I1896" t="str">
            <v>COCODY</v>
          </cell>
          <cell r="J1896" t="str">
            <v>ABIDJAN</v>
          </cell>
          <cell r="K1896" t="str">
            <v>ABIDJAN</v>
          </cell>
          <cell r="L1896" t="str">
            <v>ABIDJAN</v>
          </cell>
          <cell r="M1896" t="str">
            <v>COCODY CENTRE</v>
          </cell>
          <cell r="N1896" t="str">
            <v>ABIDJAN</v>
          </cell>
        </row>
        <row r="1897">
          <cell r="B1897" t="str">
            <v>ET956</v>
          </cell>
          <cell r="C1897" t="str">
            <v>AKOUEDO_GENIE2000_EXT</v>
          </cell>
          <cell r="D1897" t="str">
            <v>-3.938680</v>
          </cell>
          <cell r="E1897" t="str">
            <v>5.378155</v>
          </cell>
          <cell r="F1897" t="str">
            <v>2G/3G/4G</v>
          </cell>
          <cell r="G1897" t="str">
            <v>ERICSSON</v>
          </cell>
          <cell r="H1897" t="str">
            <v>MOOV</v>
          </cell>
          <cell r="I1897" t="str">
            <v>COCODY</v>
          </cell>
          <cell r="J1897" t="str">
            <v>ABIDJAN</v>
          </cell>
          <cell r="K1897" t="str">
            <v>ABIDJAN</v>
          </cell>
          <cell r="L1897" t="str">
            <v>ABIDJAN</v>
          </cell>
          <cell r="M1897" t="str">
            <v>COCODY CENTRE</v>
          </cell>
          <cell r="N1897" t="str">
            <v>ABIDJAN</v>
          </cell>
        </row>
        <row r="1898">
          <cell r="B1898" t="str">
            <v>IM015</v>
          </cell>
          <cell r="C1898" t="str">
            <v>YOP_CITE_DIBY_EXT</v>
          </cell>
          <cell r="D1898" t="str">
            <v>-4.115701</v>
          </cell>
          <cell r="E1898" t="str">
            <v>5.349530</v>
          </cell>
          <cell r="F1898" t="str">
            <v>2G/3G/4G</v>
          </cell>
          <cell r="G1898" t="str">
            <v>ERICSSON</v>
          </cell>
          <cell r="H1898" t="str">
            <v>MOOV</v>
          </cell>
          <cell r="I1898" t="str">
            <v>YOPOUGON</v>
          </cell>
          <cell r="J1898" t="str">
            <v>ABIDJAN</v>
          </cell>
          <cell r="K1898" t="str">
            <v>ABIDJAN</v>
          </cell>
          <cell r="L1898" t="str">
            <v>ABIDJAN</v>
          </cell>
          <cell r="M1898" t="str">
            <v>YOPOUGON FICGAYO</v>
          </cell>
          <cell r="N1898" t="str">
            <v>ABIDJAN</v>
          </cell>
        </row>
        <row r="1899">
          <cell r="B1899" t="str">
            <v>IM037</v>
          </cell>
          <cell r="C1899" t="str">
            <v>SONGON_KASSAMBLE</v>
          </cell>
          <cell r="D1899" t="str">
            <v>-4.223352</v>
          </cell>
          <cell r="E1899" t="str">
            <v>5.337652</v>
          </cell>
          <cell r="F1899" t="str">
            <v>2G/3G/4G</v>
          </cell>
          <cell r="G1899" t="str">
            <v>ERICSSON</v>
          </cell>
          <cell r="H1899" t="str">
            <v>MOOV</v>
          </cell>
          <cell r="I1899" t="str">
            <v>SONGON</v>
          </cell>
          <cell r="J1899" t="str">
            <v>SONGON</v>
          </cell>
          <cell r="K1899" t="str">
            <v>ABIDJAN</v>
          </cell>
          <cell r="L1899" t="str">
            <v>ABIDJAN</v>
          </cell>
          <cell r="M1899" t="str">
            <v>YOPOUGON FICGAYO</v>
          </cell>
          <cell r="N1899" t="str">
            <v>ABIDJAN</v>
          </cell>
        </row>
        <row r="1900">
          <cell r="B1900" t="str">
            <v>IM042</v>
          </cell>
          <cell r="C1900" t="str">
            <v>ABOBO_AKEIKOI-VILLAGE</v>
          </cell>
          <cell r="D1900" t="str">
            <v>-4.009400</v>
          </cell>
          <cell r="E1900" t="str">
            <v>5.463242</v>
          </cell>
          <cell r="F1900" t="str">
            <v>2G/3G/4G</v>
          </cell>
          <cell r="G1900" t="str">
            <v>ERICSSON</v>
          </cell>
          <cell r="H1900" t="str">
            <v>MOOV</v>
          </cell>
          <cell r="I1900" t="str">
            <v>ABOBO</v>
          </cell>
          <cell r="J1900" t="str">
            <v>ABIDJAN</v>
          </cell>
          <cell r="K1900" t="str">
            <v>ABIDJAN</v>
          </cell>
          <cell r="L1900" t="str">
            <v>ABIDJAN</v>
          </cell>
          <cell r="M1900" t="str">
            <v>ABOBO</v>
          </cell>
          <cell r="N1900" t="str">
            <v>ABIDJAN</v>
          </cell>
        </row>
        <row r="1901">
          <cell r="B1901" t="str">
            <v>IM067</v>
          </cell>
          <cell r="C1901" t="str">
            <v>JULES_VERNE 2</v>
          </cell>
          <cell r="D1901" t="str">
            <v>-3.919686</v>
          </cell>
          <cell r="E1901" t="str">
            <v>5.365480</v>
          </cell>
          <cell r="F1901" t="str">
            <v>2G/3G/4G</v>
          </cell>
          <cell r="G1901" t="str">
            <v>ERICSSON</v>
          </cell>
          <cell r="H1901" t="str">
            <v>MOOV</v>
          </cell>
          <cell r="I1901" t="str">
            <v>BINGERVILLE</v>
          </cell>
          <cell r="J1901" t="str">
            <v>BINGERVILLE</v>
          </cell>
          <cell r="K1901" t="str">
            <v>ABIDJAN</v>
          </cell>
          <cell r="L1901" t="str">
            <v>ABIDJAN</v>
          </cell>
          <cell r="M1901" t="str">
            <v>COCODY LATRILLE</v>
          </cell>
          <cell r="N1901" t="str">
            <v>ABIDJAN</v>
          </cell>
        </row>
        <row r="1902">
          <cell r="B1902" t="str">
            <v>IM106</v>
          </cell>
          <cell r="C1902" t="str">
            <v>DJEKOUAMEKRO</v>
          </cell>
          <cell r="D1902" t="str">
            <v>-5.078750</v>
          </cell>
          <cell r="E1902" t="str">
            <v>5.921643</v>
          </cell>
          <cell r="F1902" t="str">
            <v>2G/3G/4G</v>
          </cell>
          <cell r="G1902" t="str">
            <v>ERICSSON</v>
          </cell>
          <cell r="H1902" t="str">
            <v>MOOV</v>
          </cell>
          <cell r="I1902" t="str">
            <v>DJEKOUAMEKRO</v>
          </cell>
          <cell r="J1902" t="str">
            <v>OGOUDOU</v>
          </cell>
          <cell r="K1902" t="str">
            <v>DIVO</v>
          </cell>
          <cell r="L1902" t="str">
            <v>LOH-DJIBOUA</v>
          </cell>
          <cell r="M1902" t="str">
            <v>DIVO</v>
          </cell>
          <cell r="N1902" t="str">
            <v>UPCOUNTRY</v>
          </cell>
        </row>
        <row r="1903">
          <cell r="B1903" t="str">
            <v>IM110</v>
          </cell>
          <cell r="C1903" t="str">
            <v>BAKANOU A</v>
          </cell>
          <cell r="D1903" t="str">
            <v>-4.635654</v>
          </cell>
          <cell r="E1903" t="str">
            <v>5.593267</v>
          </cell>
          <cell r="F1903" t="str">
            <v>2G/3G/4G</v>
          </cell>
          <cell r="G1903" t="str">
            <v>ERICSSON</v>
          </cell>
          <cell r="H1903" t="str">
            <v>MOOV</v>
          </cell>
          <cell r="I1903" t="str">
            <v>BAKANOU A</v>
          </cell>
          <cell r="J1903" t="str">
            <v>SIKENSI</v>
          </cell>
          <cell r="K1903" t="str">
            <v>SIKENSI</v>
          </cell>
          <cell r="L1903" t="str">
            <v>AGNEBY-TIASSA</v>
          </cell>
          <cell r="M1903" t="str">
            <v>YOPOUGON SABLE</v>
          </cell>
          <cell r="N1903" t="str">
            <v>UPCOUNTRY</v>
          </cell>
        </row>
        <row r="1904">
          <cell r="B1904" t="str">
            <v>IM150</v>
          </cell>
          <cell r="C1904" t="str">
            <v>ALLANY</v>
          </cell>
          <cell r="D1904" t="str">
            <v>-4.335442</v>
          </cell>
          <cell r="E1904" t="str">
            <v>6.134867</v>
          </cell>
          <cell r="F1904" t="str">
            <v>2G/3G/4G</v>
          </cell>
          <cell r="G1904" t="str">
            <v>ERICSSON</v>
          </cell>
          <cell r="H1904" t="str">
            <v>IHS</v>
          </cell>
          <cell r="I1904" t="str">
            <v>ALLANY</v>
          </cell>
          <cell r="J1904" t="str">
            <v>RUBINO</v>
          </cell>
          <cell r="K1904" t="str">
            <v>AGBOVILLE</v>
          </cell>
          <cell r="L1904" t="str">
            <v>AGNEBY-TIASSA</v>
          </cell>
          <cell r="M1904" t="str">
            <v>ABOBO</v>
          </cell>
          <cell r="N1904" t="str">
            <v>UPCOUNTRY</v>
          </cell>
        </row>
        <row r="1905">
          <cell r="B1905" t="str">
            <v>IM154</v>
          </cell>
          <cell r="C1905" t="str">
            <v>AMANGBEU</v>
          </cell>
          <cell r="D1905" t="str">
            <v>-4.369306</v>
          </cell>
          <cell r="E1905" t="str">
            <v>6.022108</v>
          </cell>
          <cell r="F1905" t="str">
            <v>2G/3G/4G</v>
          </cell>
          <cell r="G1905" t="str">
            <v>ERICSSON</v>
          </cell>
          <cell r="H1905" t="str">
            <v>MOOV</v>
          </cell>
          <cell r="I1905" t="str">
            <v>AMANGBEU</v>
          </cell>
          <cell r="J1905" t="str">
            <v>RUBINO</v>
          </cell>
          <cell r="K1905" t="str">
            <v>AGBOVILLE</v>
          </cell>
          <cell r="L1905" t="str">
            <v>AGNEBY-TIASSA</v>
          </cell>
          <cell r="M1905" t="str">
            <v>ABOBO</v>
          </cell>
          <cell r="N1905" t="str">
            <v>UPCOUNTRY</v>
          </cell>
        </row>
        <row r="1906">
          <cell r="B1906" t="str">
            <v>IM222</v>
          </cell>
          <cell r="C1906" t="str">
            <v>ADJAME_CASSE</v>
          </cell>
          <cell r="D1906" t="str">
            <v>-4.026443</v>
          </cell>
          <cell r="E1906" t="str">
            <v>5.367120</v>
          </cell>
          <cell r="F1906" t="str">
            <v>2G/3G/4G</v>
          </cell>
          <cell r="G1906" t="str">
            <v>ERICSSON</v>
          </cell>
          <cell r="H1906" t="str">
            <v>IHS</v>
          </cell>
          <cell r="I1906" t="str">
            <v>ADJAME</v>
          </cell>
          <cell r="J1906" t="str">
            <v>ABIDJAN</v>
          </cell>
          <cell r="K1906" t="str">
            <v>ABIDJAN</v>
          </cell>
          <cell r="L1906" t="str">
            <v>ABIDJAN</v>
          </cell>
          <cell r="M1906" t="str">
            <v>PLATEAU</v>
          </cell>
          <cell r="N1906" t="str">
            <v>ABIDJAN</v>
          </cell>
        </row>
        <row r="1907">
          <cell r="B1907" t="str">
            <v>IM241</v>
          </cell>
          <cell r="C1907" t="str">
            <v>BINGES_MBATTO_BKE</v>
          </cell>
          <cell r="D1907" t="str">
            <v>-3.795345</v>
          </cell>
          <cell r="E1907" t="str">
            <v>5.348335</v>
          </cell>
          <cell r="F1907" t="str">
            <v>2G/3G/4G</v>
          </cell>
          <cell r="G1907" t="str">
            <v>ERICSSON</v>
          </cell>
          <cell r="H1907" t="str">
            <v>MOOV</v>
          </cell>
          <cell r="I1907" t="str">
            <v>BINGERVILLE</v>
          </cell>
          <cell r="J1907" t="str">
            <v>BINGERVILLE</v>
          </cell>
          <cell r="K1907" t="str">
            <v>ABIDJAN</v>
          </cell>
          <cell r="L1907" t="str">
            <v>ABIDJAN</v>
          </cell>
          <cell r="M1907" t="str">
            <v>COCODY LATRILLE</v>
          </cell>
          <cell r="N1907" t="str">
            <v>ABIDJAN</v>
          </cell>
        </row>
        <row r="1908">
          <cell r="B1908" t="str">
            <v>IM245</v>
          </cell>
          <cell r="C1908" t="str">
            <v>MPOUTO_VILLAGE</v>
          </cell>
          <cell r="D1908" t="str">
            <v>-3.953650</v>
          </cell>
          <cell r="E1908" t="str">
            <v>5.322910</v>
          </cell>
          <cell r="F1908" t="str">
            <v>2G/3G/4G</v>
          </cell>
          <cell r="G1908" t="str">
            <v>ERICSSON</v>
          </cell>
          <cell r="H1908" t="str">
            <v>MOOV</v>
          </cell>
          <cell r="I1908" t="str">
            <v>COCODY</v>
          </cell>
          <cell r="J1908" t="str">
            <v>ABIDJAN</v>
          </cell>
          <cell r="K1908" t="str">
            <v>ABIDJAN</v>
          </cell>
          <cell r="L1908" t="str">
            <v>ABIDJAN</v>
          </cell>
          <cell r="M1908" t="str">
            <v>COCODY CENTRE</v>
          </cell>
          <cell r="N1908" t="str">
            <v>ABIDJAN</v>
          </cell>
        </row>
        <row r="1909">
          <cell r="B1909" t="str">
            <v>IM086</v>
          </cell>
          <cell r="C1909" t="str">
            <v>OBIE</v>
          </cell>
          <cell r="D1909" t="str">
            <v>-5.217868</v>
          </cell>
          <cell r="E1909" t="str">
            <v>5.920005</v>
          </cell>
          <cell r="F1909" t="str">
            <v>2G/3G/4G</v>
          </cell>
          <cell r="G1909" t="str">
            <v>ERICSSON</v>
          </cell>
          <cell r="H1909" t="str">
            <v>MOOV</v>
          </cell>
          <cell r="I1909" t="str">
            <v>OBIE</v>
          </cell>
          <cell r="J1909" t="str">
            <v>OGOUDOU</v>
          </cell>
          <cell r="K1909" t="str">
            <v>DIVO</v>
          </cell>
          <cell r="L1909" t="str">
            <v>LOH-DJIBOUA</v>
          </cell>
          <cell r="M1909" t="str">
            <v>DIVO</v>
          </cell>
          <cell r="N1909" t="str">
            <v>UPCOUNTRY</v>
          </cell>
        </row>
        <row r="1910">
          <cell r="B1910" t="str">
            <v>IM131</v>
          </cell>
          <cell r="C1910" t="str">
            <v>GAZAVILLE</v>
          </cell>
          <cell r="D1910" t="str">
            <v>-5.321146</v>
          </cell>
          <cell r="E1910" t="str">
            <v>5.762522</v>
          </cell>
          <cell r="F1910" t="str">
            <v>2G/3G/4G</v>
          </cell>
          <cell r="G1910" t="str">
            <v>ERICSSON</v>
          </cell>
          <cell r="H1910" t="str">
            <v>MOOV</v>
          </cell>
          <cell r="I1910" t="str">
            <v>GAZAVILLE</v>
          </cell>
          <cell r="J1910" t="str">
            <v>DIVO</v>
          </cell>
          <cell r="K1910" t="str">
            <v>DIVO</v>
          </cell>
          <cell r="L1910" t="str">
            <v>LOH-DJIBOUA</v>
          </cell>
          <cell r="M1910" t="str">
            <v>DIVO</v>
          </cell>
          <cell r="N1910" t="str">
            <v>UPCOUNTRY</v>
          </cell>
        </row>
        <row r="1911">
          <cell r="B1911" t="str">
            <v>IM252</v>
          </cell>
          <cell r="C1911" t="str">
            <v>SONGON_CITE_NSIKAN</v>
          </cell>
          <cell r="D1911" t="str">
            <v>-4.203578</v>
          </cell>
          <cell r="E1911" t="str">
            <v>5.323447</v>
          </cell>
          <cell r="F1911" t="str">
            <v>2G/3G/4G</v>
          </cell>
          <cell r="G1911" t="str">
            <v>ERICSSON</v>
          </cell>
          <cell r="H1911" t="str">
            <v>MOOV</v>
          </cell>
          <cell r="I1911" t="str">
            <v>SONGON</v>
          </cell>
          <cell r="J1911" t="str">
            <v>SONGON</v>
          </cell>
          <cell r="K1911" t="str">
            <v>ABIDJAN</v>
          </cell>
          <cell r="L1911" t="str">
            <v>ABIDJAN</v>
          </cell>
          <cell r="M1911" t="str">
            <v>YOPOUGON FICGAYO</v>
          </cell>
          <cell r="N1911" t="str">
            <v>ABIDJAN</v>
          </cell>
        </row>
        <row r="1912">
          <cell r="B1912" t="str">
            <v>IM266</v>
          </cell>
          <cell r="C1912" t="str">
            <v>HEREMANKONO</v>
          </cell>
          <cell r="D1912" t="str">
            <v>-6.159807</v>
          </cell>
          <cell r="E1912" t="str">
            <v>8.181934</v>
          </cell>
          <cell r="F1912" t="str">
            <v>2G/3G/4G</v>
          </cell>
          <cell r="G1912" t="str">
            <v>HUAWEI</v>
          </cell>
          <cell r="H1912" t="str">
            <v>MOOV</v>
          </cell>
          <cell r="I1912" t="str">
            <v>HEREMANKONO</v>
          </cell>
          <cell r="J1912" t="str">
            <v>MANKONO</v>
          </cell>
          <cell r="K1912" t="str">
            <v>MANKONO</v>
          </cell>
          <cell r="L1912" t="str">
            <v>BERE</v>
          </cell>
          <cell r="M1912" t="str">
            <v>BOUAKE</v>
          </cell>
          <cell r="N1912" t="str">
            <v>UPCOUNTRY</v>
          </cell>
        </row>
        <row r="1913">
          <cell r="B1913" t="str">
            <v>ET840</v>
          </cell>
          <cell r="C1913" t="str">
            <v>NOUVEL-OUSROU</v>
          </cell>
          <cell r="D1913" t="str">
            <v>-4.514597</v>
          </cell>
          <cell r="E1913" t="str">
            <v>5.406253</v>
          </cell>
          <cell r="F1913" t="str">
            <v>2G/3G/4G</v>
          </cell>
          <cell r="G1913" t="str">
            <v>ERICSSON</v>
          </cell>
          <cell r="H1913" t="str">
            <v>MOOV</v>
          </cell>
          <cell r="I1913" t="str">
            <v>NOUVEL-OUSROU</v>
          </cell>
          <cell r="J1913" t="str">
            <v>LOPOU</v>
          </cell>
          <cell r="K1913" t="str">
            <v>DABOU</v>
          </cell>
          <cell r="L1913" t="str">
            <v>GRANDS-PONTS</v>
          </cell>
          <cell r="M1913" t="str">
            <v>YOPOUGON FICGAYO</v>
          </cell>
          <cell r="N1913" t="str">
            <v>UPCOUNTRY</v>
          </cell>
        </row>
        <row r="1914">
          <cell r="B1914" t="str">
            <v>ET989</v>
          </cell>
          <cell r="C1914" t="str">
            <v>YOP_DOUME</v>
          </cell>
          <cell r="D1914" t="str">
            <v>-4.043743</v>
          </cell>
          <cell r="E1914" t="str">
            <v>5.315166</v>
          </cell>
          <cell r="F1914" t="str">
            <v>2G/3G/4G</v>
          </cell>
          <cell r="G1914" t="str">
            <v>ERICSSON</v>
          </cell>
          <cell r="H1914" t="str">
            <v>MOOV</v>
          </cell>
          <cell r="I1914" t="str">
            <v>YOPOUGON</v>
          </cell>
          <cell r="J1914" t="str">
            <v>ABIDJAN</v>
          </cell>
          <cell r="K1914" t="str">
            <v>ABIDJAN</v>
          </cell>
          <cell r="L1914" t="str">
            <v>ABIDJAN</v>
          </cell>
          <cell r="M1914" t="str">
            <v>YOPOUGON FICGAYO</v>
          </cell>
          <cell r="N1914" t="str">
            <v>ABIDJAN</v>
          </cell>
        </row>
        <row r="1915">
          <cell r="B1915" t="str">
            <v>IM011</v>
          </cell>
          <cell r="C1915" t="str">
            <v>KOBAKRO_ISRAEL</v>
          </cell>
          <cell r="D1915" t="str">
            <v>-4.095775</v>
          </cell>
          <cell r="E1915" t="str">
            <v>5.461562</v>
          </cell>
          <cell r="F1915" t="str">
            <v>2G/3G/4G</v>
          </cell>
          <cell r="G1915" t="str">
            <v>ERICSSON</v>
          </cell>
          <cell r="H1915" t="str">
            <v>MOOV</v>
          </cell>
          <cell r="I1915" t="str">
            <v>ANYAMA</v>
          </cell>
          <cell r="J1915" t="str">
            <v>ANYAMA</v>
          </cell>
          <cell r="K1915" t="str">
            <v>ABIDJAN</v>
          </cell>
          <cell r="L1915" t="str">
            <v>ABIDJAN</v>
          </cell>
          <cell r="M1915" t="str">
            <v>ABOBO</v>
          </cell>
          <cell r="N1915" t="str">
            <v>ABIDJAN</v>
          </cell>
        </row>
        <row r="1916">
          <cell r="B1916" t="str">
            <v>IM003</v>
          </cell>
          <cell r="C1916" t="str">
            <v>ABENG_HOTEL_SOBRONAN</v>
          </cell>
          <cell r="D1916" t="str">
            <v>-3.504948</v>
          </cell>
          <cell r="E1916" t="str">
            <v>6.723556</v>
          </cell>
          <cell r="F1916" t="str">
            <v>2G/3G/4G</v>
          </cell>
          <cell r="G1916" t="str">
            <v>ERICSSON</v>
          </cell>
          <cell r="H1916" t="str">
            <v>MOOV</v>
          </cell>
          <cell r="I1916" t="str">
            <v>ABENGOUROU</v>
          </cell>
          <cell r="J1916" t="str">
            <v>ABENGOUROU</v>
          </cell>
          <cell r="K1916" t="str">
            <v>ABENGOUROU</v>
          </cell>
          <cell r="L1916" t="str">
            <v>INDENIE-DJUABLIN</v>
          </cell>
          <cell r="M1916" t="str">
            <v>ABENGOUROU</v>
          </cell>
          <cell r="N1916" t="str">
            <v>UPCOUNTRY</v>
          </cell>
        </row>
        <row r="1917">
          <cell r="B1917" t="str">
            <v>IM024</v>
          </cell>
          <cell r="C1917" t="str">
            <v>DABOU_LYCEE_LEBOUTOU</v>
          </cell>
          <cell r="D1917" t="str">
            <v>-4.367887</v>
          </cell>
          <cell r="E1917" t="str">
            <v>5.318173</v>
          </cell>
          <cell r="F1917" t="str">
            <v>2G/3G/4G</v>
          </cell>
          <cell r="G1917" t="str">
            <v>ERICSSON</v>
          </cell>
          <cell r="H1917" t="str">
            <v>MOOV</v>
          </cell>
          <cell r="I1917" t="str">
            <v>DABOU</v>
          </cell>
          <cell r="J1917" t="str">
            <v>DABOU</v>
          </cell>
          <cell r="K1917" t="str">
            <v>DABOU</v>
          </cell>
          <cell r="L1917" t="str">
            <v>GRANDS-PONTS</v>
          </cell>
          <cell r="M1917" t="str">
            <v>YOPOUGON FICGAYO</v>
          </cell>
          <cell r="N1917" t="str">
            <v>UPCOUNTRY</v>
          </cell>
        </row>
        <row r="1918">
          <cell r="B1918" t="str">
            <v>IM233</v>
          </cell>
          <cell r="C1918" t="str">
            <v>COCODY_MERMOZ</v>
          </cell>
          <cell r="D1918" t="str">
            <v>-3.996166</v>
          </cell>
          <cell r="E1918" t="str">
            <v>5.339440</v>
          </cell>
          <cell r="F1918" t="str">
            <v>2G/3G/4G</v>
          </cell>
          <cell r="G1918" t="str">
            <v>ERICSSON</v>
          </cell>
          <cell r="H1918" t="str">
            <v>IHS</v>
          </cell>
          <cell r="I1918" t="str">
            <v>COCODY</v>
          </cell>
          <cell r="J1918" t="str">
            <v>ABIDJAN</v>
          </cell>
          <cell r="K1918" t="str">
            <v>ABIDJAN</v>
          </cell>
          <cell r="L1918" t="str">
            <v>ABIDJAN</v>
          </cell>
          <cell r="M1918" t="str">
            <v>COCODY CENTRE</v>
          </cell>
          <cell r="N1918" t="str">
            <v>ABIDJAN</v>
          </cell>
        </row>
        <row r="1919">
          <cell r="B1919" t="str">
            <v>IM070</v>
          </cell>
          <cell r="C1919" t="str">
            <v>GOHONDO</v>
          </cell>
          <cell r="D1919" t="str">
            <v>-3.092460</v>
          </cell>
          <cell r="E1919" t="str">
            <v>8.328900</v>
          </cell>
          <cell r="F1919" t="str">
            <v>2G/3G/4G</v>
          </cell>
          <cell r="G1919" t="str">
            <v>ERICSSON</v>
          </cell>
          <cell r="H1919" t="str">
            <v>MOOV</v>
          </cell>
          <cell r="I1919" t="str">
            <v>GOHONDO</v>
          </cell>
          <cell r="J1919" t="str">
            <v>LAOUDI-BA</v>
          </cell>
          <cell r="K1919" t="str">
            <v>BONDOUKOU</v>
          </cell>
          <cell r="L1919" t="str">
            <v>GONTOUGO</v>
          </cell>
          <cell r="M1919" t="str">
            <v>ABENGOUROU</v>
          </cell>
          <cell r="N1919" t="str">
            <v>UPCOUNTRY</v>
          </cell>
        </row>
        <row r="1920">
          <cell r="B1920" t="str">
            <v>IM115</v>
          </cell>
          <cell r="C1920" t="str">
            <v>OUAHAMA</v>
          </cell>
          <cell r="D1920" t="str">
            <v>-6.694977</v>
          </cell>
          <cell r="E1920" t="str">
            <v>7.839897</v>
          </cell>
          <cell r="F1920" t="str">
            <v>2G/3G/4G</v>
          </cell>
          <cell r="G1920" t="str">
            <v>HUAWEI</v>
          </cell>
          <cell r="H1920" t="str">
            <v>MOOV</v>
          </cell>
          <cell r="I1920" t="str">
            <v>OUAHAMA</v>
          </cell>
          <cell r="J1920" t="str">
            <v>SEGUELA</v>
          </cell>
          <cell r="K1920" t="str">
            <v>SEGUELA</v>
          </cell>
          <cell r="L1920" t="str">
            <v>WORODOUGOU</v>
          </cell>
          <cell r="M1920" t="str">
            <v>DALOA</v>
          </cell>
          <cell r="N1920" t="str">
            <v>UPCOUNTRY</v>
          </cell>
        </row>
        <row r="1921">
          <cell r="B1921" t="str">
            <v>IM079</v>
          </cell>
          <cell r="C1921" t="str">
            <v>SOUAFOUE-DJAHAN</v>
          </cell>
          <cell r="D1921" t="str">
            <v>-5.375420</v>
          </cell>
          <cell r="E1921" t="str">
            <v>7.592140</v>
          </cell>
          <cell r="F1921" t="str">
            <v>2G/3G/4G</v>
          </cell>
          <cell r="G1921" t="str">
            <v>HUAWEI</v>
          </cell>
          <cell r="H1921" t="str">
            <v>MOOV</v>
          </cell>
          <cell r="I1921" t="str">
            <v>SOUAFOUE-DJAHAN</v>
          </cell>
          <cell r="J1921" t="str">
            <v>SAKASSOU</v>
          </cell>
          <cell r="K1921" t="str">
            <v>SAKASSOU</v>
          </cell>
          <cell r="L1921" t="str">
            <v>GBEKE</v>
          </cell>
          <cell r="M1921" t="str">
            <v>BOUAKE</v>
          </cell>
          <cell r="N1921" t="str">
            <v>UPCOUNTRY</v>
          </cell>
        </row>
        <row r="1922">
          <cell r="B1922" t="str">
            <v>IM162</v>
          </cell>
          <cell r="C1922" t="str">
            <v>PAPARA</v>
          </cell>
          <cell r="D1922" t="str">
            <v>-6.253123</v>
          </cell>
          <cell r="E1922" t="str">
            <v>10.634421</v>
          </cell>
          <cell r="F1922" t="str">
            <v>2G/3G/4G</v>
          </cell>
          <cell r="G1922" t="str">
            <v>HUAWEI</v>
          </cell>
          <cell r="H1922" t="str">
            <v>MOOV</v>
          </cell>
          <cell r="I1922" t="str">
            <v>PAPARA</v>
          </cell>
          <cell r="J1922" t="str">
            <v>PAPARA</v>
          </cell>
          <cell r="K1922" t="str">
            <v>TENGRELA</v>
          </cell>
          <cell r="L1922" t="str">
            <v>BAGOUE</v>
          </cell>
          <cell r="M1922" t="str">
            <v>KORHOGO</v>
          </cell>
          <cell r="N1922" t="str">
            <v>UPCOUNTRY</v>
          </cell>
        </row>
        <row r="1923">
          <cell r="B1923" t="str">
            <v>IM201</v>
          </cell>
          <cell r="C1923" t="str">
            <v>NOUGOUA</v>
          </cell>
          <cell r="D1923" t="str">
            <v>-2.779700</v>
          </cell>
          <cell r="E1923" t="str">
            <v>5.342200</v>
          </cell>
          <cell r="F1923" t="str">
            <v>2G/3G/4G</v>
          </cell>
          <cell r="G1923" t="str">
            <v>ERICSSON</v>
          </cell>
          <cell r="H1923" t="str">
            <v>MOOV</v>
          </cell>
          <cell r="I1923" t="str">
            <v>NOUGOUA</v>
          </cell>
          <cell r="J1923" t="str">
            <v>NOE</v>
          </cell>
          <cell r="K1923" t="str">
            <v>TIAPOUM</v>
          </cell>
          <cell r="L1923" t="str">
            <v>SUD-COMOE</v>
          </cell>
          <cell r="M1923" t="str">
            <v>MARCORY</v>
          </cell>
          <cell r="N1923" t="str">
            <v>UPCOUNTRY</v>
          </cell>
        </row>
        <row r="1924">
          <cell r="B1924" t="str">
            <v>IM095</v>
          </cell>
          <cell r="C1924" t="str">
            <v>PONA-VAHI</v>
          </cell>
          <cell r="D1924" t="str">
            <v>-7.161829</v>
          </cell>
          <cell r="E1924" t="str">
            <v>6.943976</v>
          </cell>
          <cell r="F1924" t="str">
            <v>2G/3G/4G</v>
          </cell>
          <cell r="G1924" t="str">
            <v>HUAWEI</v>
          </cell>
          <cell r="H1924" t="str">
            <v>MOOV</v>
          </cell>
          <cell r="I1924" t="str">
            <v>PONA-VAHI</v>
          </cell>
          <cell r="J1924" t="str">
            <v>BAGOHOUO</v>
          </cell>
          <cell r="K1924" t="str">
            <v>DUEKOUE</v>
          </cell>
          <cell r="L1924" t="str">
            <v>GUEMON</v>
          </cell>
          <cell r="M1924" t="str">
            <v>MAN</v>
          </cell>
          <cell r="N1924" t="str">
            <v>UPCOUNTRY</v>
          </cell>
        </row>
        <row r="1925">
          <cell r="B1925" t="str">
            <v>IM255</v>
          </cell>
          <cell r="C1925" t="str">
            <v>ATTINGUIE_CANAAN</v>
          </cell>
          <cell r="D1925" t="str">
            <v>-4.178151</v>
          </cell>
          <cell r="E1925" t="str">
            <v>5.466569</v>
          </cell>
          <cell r="F1925" t="str">
            <v>2G/3G/4G</v>
          </cell>
          <cell r="G1925" t="str">
            <v>ERICSSON</v>
          </cell>
          <cell r="H1925" t="str">
            <v>MOOV</v>
          </cell>
          <cell r="I1925" t="str">
            <v>ATTINGUIE</v>
          </cell>
          <cell r="J1925" t="str">
            <v>ANYAMA</v>
          </cell>
          <cell r="K1925" t="str">
            <v>ABIDJAN</v>
          </cell>
          <cell r="L1925" t="str">
            <v>ABIDJAN</v>
          </cell>
          <cell r="M1925" t="str">
            <v>YOPOUGON SABLE</v>
          </cell>
          <cell r="N1925" t="str">
            <v>ABIDJAN</v>
          </cell>
        </row>
        <row r="1926">
          <cell r="B1926" t="str">
            <v>ET689</v>
          </cell>
          <cell r="C1926" t="str">
            <v>YELLEU</v>
          </cell>
          <cell r="D1926" t="str">
            <v>-8.048220</v>
          </cell>
          <cell r="E1926" t="str">
            <v>6.972019</v>
          </cell>
          <cell r="F1926" t="str">
            <v>2G/3G/4G</v>
          </cell>
          <cell r="G1926" t="str">
            <v>HUAWEI</v>
          </cell>
          <cell r="H1926" t="str">
            <v>MOOV</v>
          </cell>
          <cell r="I1926" t="str">
            <v>YELLEU</v>
          </cell>
          <cell r="J1926" t="str">
            <v>YELLEU</v>
          </cell>
          <cell r="K1926" t="str">
            <v>ZOUAN-HOUNIEN</v>
          </cell>
          <cell r="L1926" t="str">
            <v>TONKPI</v>
          </cell>
          <cell r="M1926" t="str">
            <v>MAN</v>
          </cell>
          <cell r="N1926" t="str">
            <v>UPCOUNTRY</v>
          </cell>
        </row>
        <row r="1927">
          <cell r="B1927" t="str">
            <v>IM127</v>
          </cell>
          <cell r="C1927" t="str">
            <v>BOBOKRO</v>
          </cell>
          <cell r="D1927" t="str">
            <v>-4.773056</v>
          </cell>
          <cell r="E1927" t="str">
            <v>7.725727</v>
          </cell>
          <cell r="F1927" t="str">
            <v>2G/3G/4G</v>
          </cell>
          <cell r="G1927" t="str">
            <v>HUAWEI</v>
          </cell>
          <cell r="H1927" t="str">
            <v>MOOV</v>
          </cell>
          <cell r="I1927" t="str">
            <v>BOBOKRO</v>
          </cell>
          <cell r="J1927" t="str">
            <v>MAMINI</v>
          </cell>
          <cell r="K1927" t="str">
            <v>BOUAKE</v>
          </cell>
          <cell r="L1927" t="str">
            <v>GBEKE</v>
          </cell>
          <cell r="M1927" t="str">
            <v>BOUAKE</v>
          </cell>
          <cell r="N1927" t="str">
            <v>UPCOUNTRY</v>
          </cell>
        </row>
        <row r="1928">
          <cell r="B1928" t="str">
            <v>IM168</v>
          </cell>
          <cell r="C1928" t="str">
            <v>GROGUIDA V1</v>
          </cell>
          <cell r="D1928" t="str">
            <v>-5.092054</v>
          </cell>
          <cell r="E1928" t="str">
            <v>5.145522</v>
          </cell>
          <cell r="F1928" t="str">
            <v>2G/3G/4G</v>
          </cell>
          <cell r="G1928" t="str">
            <v>ERICSSON</v>
          </cell>
          <cell r="H1928" t="str">
            <v>MOOV</v>
          </cell>
          <cell r="I1928" t="str">
            <v>GROGUIDA V1</v>
          </cell>
          <cell r="J1928" t="str">
            <v>GRAND-LAHOU</v>
          </cell>
          <cell r="K1928" t="str">
            <v>GRAND-LAHOU</v>
          </cell>
          <cell r="L1928" t="str">
            <v>GRANDS-PONTS</v>
          </cell>
          <cell r="M1928" t="str">
            <v>YOPOUGON FICGAYO</v>
          </cell>
          <cell r="N1928" t="str">
            <v>UPCOUNTRY</v>
          </cell>
        </row>
        <row r="1929">
          <cell r="B1929" t="str">
            <v>IM004</v>
          </cell>
          <cell r="C1929" t="str">
            <v>MEAGUI_FONTAINE</v>
          </cell>
          <cell r="D1929" t="str">
            <v>-6.555123</v>
          </cell>
          <cell r="E1929" t="str">
            <v>5.384556</v>
          </cell>
          <cell r="F1929" t="str">
            <v>2G/3G/4G</v>
          </cell>
          <cell r="G1929" t="str">
            <v>HUAWEI</v>
          </cell>
          <cell r="H1929" t="str">
            <v>MOOV</v>
          </cell>
          <cell r="I1929" t="str">
            <v>MEAGUI</v>
          </cell>
          <cell r="J1929" t="str">
            <v>MEAGUI</v>
          </cell>
          <cell r="K1929" t="str">
            <v>MEAGUI</v>
          </cell>
          <cell r="L1929" t="str">
            <v>NAWA</v>
          </cell>
          <cell r="M1929" t="str">
            <v>SOUBRE</v>
          </cell>
          <cell r="N1929" t="str">
            <v>UPCOUNTRY</v>
          </cell>
        </row>
        <row r="1930">
          <cell r="B1930" t="str">
            <v>IM038</v>
          </cell>
          <cell r="C1930" t="str">
            <v>SOUBRE_COLLEGE_PAWA</v>
          </cell>
          <cell r="D1930" t="str">
            <v>-6.573133</v>
          </cell>
          <cell r="E1930" t="str">
            <v>5.794109</v>
          </cell>
          <cell r="F1930" t="str">
            <v>2G/3G/4G</v>
          </cell>
          <cell r="G1930" t="str">
            <v>HUAWEI</v>
          </cell>
          <cell r="H1930" t="str">
            <v>MOOV</v>
          </cell>
          <cell r="I1930" t="str">
            <v>SOUBRE</v>
          </cell>
          <cell r="J1930" t="str">
            <v>SOUBRE</v>
          </cell>
          <cell r="K1930" t="str">
            <v>SOUBRE</v>
          </cell>
          <cell r="L1930" t="str">
            <v>NAWA</v>
          </cell>
          <cell r="M1930" t="str">
            <v>SOUBRE</v>
          </cell>
          <cell r="N1930" t="str">
            <v>UPCOUNTRY</v>
          </cell>
        </row>
        <row r="1931">
          <cell r="B1931" t="str">
            <v>ET032</v>
          </cell>
          <cell r="C1931" t="str">
            <v>DJELISSO</v>
          </cell>
          <cell r="D1931" t="str">
            <v>-6.502772</v>
          </cell>
          <cell r="E1931" t="str">
            <v>8.791514</v>
          </cell>
          <cell r="F1931" t="str">
            <v>2G/3G/4G</v>
          </cell>
          <cell r="G1931" t="str">
            <v>HUAWEI</v>
          </cell>
          <cell r="H1931" t="str">
            <v>MOOV</v>
          </cell>
          <cell r="I1931" t="str">
            <v>DJELISSO</v>
          </cell>
          <cell r="J1931" t="str">
            <v>FADJADOUGOU</v>
          </cell>
          <cell r="K1931" t="str">
            <v>KANI</v>
          </cell>
          <cell r="L1931" t="str">
            <v>WORODOUGOU</v>
          </cell>
          <cell r="M1931" t="str">
            <v>KORHOGO</v>
          </cell>
          <cell r="N1931" t="str">
            <v>UPCOUNTRY</v>
          </cell>
        </row>
        <row r="1932">
          <cell r="B1932" t="str">
            <v>ET788</v>
          </cell>
          <cell r="C1932" t="str">
            <v>KEITENABLY</v>
          </cell>
          <cell r="D1932" t="str">
            <v>-7.334032</v>
          </cell>
          <cell r="E1932" t="str">
            <v>7.260868</v>
          </cell>
          <cell r="F1932" t="str">
            <v>2G/3G/4G</v>
          </cell>
          <cell r="G1932" t="str">
            <v>HUAWEI</v>
          </cell>
          <cell r="H1932" t="str">
            <v>MOOV</v>
          </cell>
          <cell r="I1932" t="str">
            <v>KEITENABLY</v>
          </cell>
          <cell r="J1932" t="str">
            <v>KOUIBLY</v>
          </cell>
          <cell r="K1932" t="str">
            <v>KOUIBLY</v>
          </cell>
          <cell r="L1932" t="str">
            <v>GUEMON</v>
          </cell>
          <cell r="M1932" t="str">
            <v>MAN</v>
          </cell>
          <cell r="N1932" t="str">
            <v>UPCOUNTRY</v>
          </cell>
        </row>
        <row r="1933">
          <cell r="B1933" t="str">
            <v>ET843</v>
          </cell>
          <cell r="C1933" t="str">
            <v>LEDJEHAN</v>
          </cell>
          <cell r="D1933" t="str">
            <v>-7.105657</v>
          </cell>
          <cell r="E1933" t="str">
            <v>6.931508</v>
          </cell>
          <cell r="F1933" t="str">
            <v>2G/3G/4G</v>
          </cell>
          <cell r="G1933" t="str">
            <v>HUAWEI</v>
          </cell>
          <cell r="H1933" t="str">
            <v>MOOV</v>
          </cell>
          <cell r="I1933" t="str">
            <v>LEDJEHAN</v>
          </cell>
          <cell r="J1933" t="str">
            <v>BAGOHOUO</v>
          </cell>
          <cell r="K1933" t="str">
            <v>DUEKOUE</v>
          </cell>
          <cell r="L1933" t="str">
            <v>GUEMON</v>
          </cell>
          <cell r="M1933" t="str">
            <v>MAN</v>
          </cell>
          <cell r="N1933" t="str">
            <v>UPCOUNTRY</v>
          </cell>
        </row>
        <row r="1934">
          <cell r="B1934" t="str">
            <v>ET748</v>
          </cell>
          <cell r="C1934" t="str">
            <v>IRIEFLA</v>
          </cell>
          <cell r="D1934" t="str">
            <v>-5.850725</v>
          </cell>
          <cell r="E1934" t="str">
            <v>7.691375</v>
          </cell>
          <cell r="F1934" t="str">
            <v>2G/3G/4G</v>
          </cell>
          <cell r="G1934" t="str">
            <v>HUAWEI</v>
          </cell>
          <cell r="H1934" t="str">
            <v>MOOV</v>
          </cell>
          <cell r="I1934" t="str">
            <v>IRIEFLA</v>
          </cell>
          <cell r="J1934" t="str">
            <v>IRIEFLA</v>
          </cell>
          <cell r="K1934" t="str">
            <v>ZUENOULA</v>
          </cell>
          <cell r="L1934" t="str">
            <v>MARAHOUE</v>
          </cell>
          <cell r="M1934" t="str">
            <v>YAMOUSSOUKRO</v>
          </cell>
          <cell r="N1934" t="str">
            <v>UPCOUNTRY</v>
          </cell>
        </row>
        <row r="1935">
          <cell r="B1935" t="str">
            <v>IM062</v>
          </cell>
          <cell r="C1935" t="str">
            <v>SIKENSI_MARCHE</v>
          </cell>
          <cell r="D1935" t="str">
            <v>-4.573410</v>
          </cell>
          <cell r="E1935" t="str">
            <v>5.670600</v>
          </cell>
          <cell r="F1935" t="str">
            <v>2G/3G/4G</v>
          </cell>
          <cell r="G1935" t="str">
            <v>ERICSSON</v>
          </cell>
          <cell r="H1935" t="str">
            <v>MOOV</v>
          </cell>
          <cell r="I1935" t="str">
            <v>SIKENSI</v>
          </cell>
          <cell r="J1935" t="str">
            <v>SIKENSI</v>
          </cell>
          <cell r="K1935" t="str">
            <v>SIKENSI</v>
          </cell>
          <cell r="L1935" t="str">
            <v>AGNEBY-TIASSA</v>
          </cell>
          <cell r="M1935" t="str">
            <v>YOPOUGON SABLE</v>
          </cell>
          <cell r="N1935" t="str">
            <v>UPCOUNTRY</v>
          </cell>
        </row>
        <row r="1936">
          <cell r="B1936" t="str">
            <v>IM005</v>
          </cell>
          <cell r="C1936" t="str">
            <v>YAKRO_BCEAO</v>
          </cell>
          <cell r="D1936" t="str">
            <v>-5.225880</v>
          </cell>
          <cell r="E1936" t="str">
            <v>6.824960</v>
          </cell>
          <cell r="F1936" t="str">
            <v>2G/3G/4G</v>
          </cell>
          <cell r="G1936" t="str">
            <v>HUAWEI</v>
          </cell>
          <cell r="H1936" t="str">
            <v>MOOV</v>
          </cell>
          <cell r="I1936" t="str">
            <v>YAMOUSSOUKRO</v>
          </cell>
          <cell r="J1936" t="str">
            <v>YAMOUSSOUKRO</v>
          </cell>
          <cell r="K1936" t="str">
            <v>YAMOUSSOUKRO</v>
          </cell>
          <cell r="L1936" t="str">
            <v>YAMOUSSOUKRO</v>
          </cell>
          <cell r="M1936" t="str">
            <v>YAMOUSSOUKRO</v>
          </cell>
          <cell r="N1936" t="str">
            <v>UPCOUNTRY</v>
          </cell>
        </row>
        <row r="1937">
          <cell r="B1937" t="str">
            <v>IM286</v>
          </cell>
          <cell r="C1937" t="str">
            <v>BESSERI-TAKIKRO</v>
          </cell>
          <cell r="D1937" t="str">
            <v>-4.726134</v>
          </cell>
          <cell r="E1937" t="str">
            <v>7.704748</v>
          </cell>
          <cell r="F1937" t="str">
            <v>2G/3G/4G</v>
          </cell>
          <cell r="G1937" t="str">
            <v>HUAWEI</v>
          </cell>
          <cell r="H1937" t="str">
            <v>MOOV</v>
          </cell>
          <cell r="I1937" t="str">
            <v>BESSERI-TAKIKRO</v>
          </cell>
          <cell r="J1937" t="str">
            <v>BOUAKÉ</v>
          </cell>
          <cell r="K1937" t="str">
            <v>BOUAKE</v>
          </cell>
          <cell r="L1937" t="str">
            <v>GBEKE</v>
          </cell>
          <cell r="M1937" t="str">
            <v>BOUAKE</v>
          </cell>
          <cell r="N1937" t="str">
            <v>UPCOUNTRY</v>
          </cell>
        </row>
        <row r="1938">
          <cell r="B1938" t="str">
            <v>IM203</v>
          </cell>
          <cell r="C1938" t="str">
            <v>GBINZO 1</v>
          </cell>
          <cell r="D1938" t="str">
            <v>-5.486389</v>
          </cell>
          <cell r="E1938" t="str">
            <v>10.219780</v>
          </cell>
          <cell r="F1938" t="str">
            <v>2G/3G/4G</v>
          </cell>
          <cell r="G1938" t="str">
            <v>HUAWEI</v>
          </cell>
          <cell r="H1938" t="str">
            <v>MOOV</v>
          </cell>
          <cell r="I1938" t="str">
            <v>GBINZO 1</v>
          </cell>
          <cell r="J1938" t="str">
            <v>NIELLÉ</v>
          </cell>
          <cell r="K1938" t="str">
            <v>OUANGOLODOUGOU</v>
          </cell>
          <cell r="L1938" t="str">
            <v>TCHOLOGO</v>
          </cell>
          <cell r="M1938" t="str">
            <v>KORHOGO</v>
          </cell>
          <cell r="N1938" t="str">
            <v>UPCOUNTRY</v>
          </cell>
        </row>
        <row r="1939">
          <cell r="B1939" t="str">
            <v>IM317</v>
          </cell>
          <cell r="C1939" t="str">
            <v>JULES_VERNE_LAURIER15</v>
          </cell>
          <cell r="D1939" t="str">
            <v>-3.919037</v>
          </cell>
          <cell r="E1939" t="str">
            <v>5.377703</v>
          </cell>
          <cell r="F1939" t="str">
            <v>2G/3G/4G</v>
          </cell>
          <cell r="G1939" t="str">
            <v>ERICSSON</v>
          </cell>
          <cell r="H1939" t="str">
            <v>MOOV</v>
          </cell>
          <cell r="I1939" t="str">
            <v>BINGERVILLE</v>
          </cell>
          <cell r="J1939" t="str">
            <v>BINGERVILLE</v>
          </cell>
          <cell r="K1939" t="str">
            <v>ABIDJAN</v>
          </cell>
          <cell r="L1939" t="str">
            <v>ABIDJAN</v>
          </cell>
          <cell r="M1939" t="str">
            <v>COCODY LATRILLE</v>
          </cell>
          <cell r="N1939" t="str">
            <v>ABIDJAN</v>
          </cell>
        </row>
        <row r="1940">
          <cell r="B1940" t="str">
            <v>IM237</v>
          </cell>
          <cell r="C1940" t="str">
            <v>AKOUEDO_MBADON</v>
          </cell>
          <cell r="D1940" t="str">
            <v>-3.931619</v>
          </cell>
          <cell r="E1940" t="str">
            <v>5.348012</v>
          </cell>
          <cell r="F1940" t="str">
            <v>2G/3G/4G</v>
          </cell>
          <cell r="G1940" t="str">
            <v>ERICSSON</v>
          </cell>
          <cell r="H1940" t="str">
            <v>MOOV</v>
          </cell>
          <cell r="I1940" t="str">
            <v>COCODY</v>
          </cell>
          <cell r="J1940" t="str">
            <v>ABIDJAN</v>
          </cell>
          <cell r="K1940" t="str">
            <v>ABIDJAN</v>
          </cell>
          <cell r="L1940" t="str">
            <v>ABIDJAN</v>
          </cell>
          <cell r="M1940" t="str">
            <v>COCODY CENTRE</v>
          </cell>
          <cell r="N1940" t="str">
            <v>ABIDJAN</v>
          </cell>
        </row>
        <row r="1941">
          <cell r="B1941" t="str">
            <v>IM147</v>
          </cell>
          <cell r="C1941" t="str">
            <v>YOMIDJI</v>
          </cell>
          <cell r="D1941" t="str">
            <v>-4.534695</v>
          </cell>
          <cell r="E1941" t="str">
            <v>5.540483</v>
          </cell>
          <cell r="F1941" t="str">
            <v>2G/3G/4G</v>
          </cell>
          <cell r="G1941" t="str">
            <v>ERICSSON</v>
          </cell>
          <cell r="H1941" t="str">
            <v>MOOV</v>
          </cell>
          <cell r="I1941" t="str">
            <v>YOMIDJI</v>
          </cell>
          <cell r="J1941" t="str">
            <v>LOPOU</v>
          </cell>
          <cell r="K1941" t="str">
            <v>DABOU</v>
          </cell>
          <cell r="L1941" t="str">
            <v>GRANDS-PONTS</v>
          </cell>
          <cell r="M1941" t="str">
            <v>YOPOUGON FICGAYO</v>
          </cell>
          <cell r="N1941" t="str">
            <v>UPCOUNTRY</v>
          </cell>
        </row>
        <row r="1942">
          <cell r="B1942" t="str">
            <v>IM169</v>
          </cell>
          <cell r="C1942" t="str">
            <v>BADIE</v>
          </cell>
          <cell r="D1942" t="str">
            <v>-5.647594</v>
          </cell>
          <cell r="E1942" t="str">
            <v>6.187435</v>
          </cell>
          <cell r="F1942" t="str">
            <v>2G/3G/4G</v>
          </cell>
          <cell r="G1942" t="str">
            <v>HUAWEI</v>
          </cell>
          <cell r="H1942" t="str">
            <v>MOOV</v>
          </cell>
          <cell r="I1942" t="str">
            <v>BADIE</v>
          </cell>
          <cell r="J1942" t="str">
            <v>DIEGONEFLA</v>
          </cell>
          <cell r="K1942" t="str">
            <v>OUME</v>
          </cell>
          <cell r="L1942" t="str">
            <v>GOH</v>
          </cell>
          <cell r="M1942" t="str">
            <v>GAGNOA</v>
          </cell>
          <cell r="N1942" t="str">
            <v>UPCOUNTRY</v>
          </cell>
        </row>
        <row r="1943">
          <cell r="B1943" t="str">
            <v>IM025</v>
          </cell>
          <cell r="C1943" t="str">
            <v>DAL_ORLY_EXT</v>
          </cell>
          <cell r="D1943" t="str">
            <v>-6.467348</v>
          </cell>
          <cell r="E1943" t="str">
            <v>6.854966</v>
          </cell>
          <cell r="F1943" t="str">
            <v>2G/3G/4G</v>
          </cell>
          <cell r="G1943" t="str">
            <v>HUAWEI</v>
          </cell>
          <cell r="H1943" t="str">
            <v>MOOV</v>
          </cell>
          <cell r="I1943" t="str">
            <v>DALOA</v>
          </cell>
          <cell r="J1943" t="str">
            <v>DALOA</v>
          </cell>
          <cell r="K1943" t="str">
            <v>DALOA</v>
          </cell>
          <cell r="L1943" t="str">
            <v>HAUT-SASSANDRA</v>
          </cell>
          <cell r="M1943" t="str">
            <v>DALOA</v>
          </cell>
          <cell r="N1943" t="str">
            <v>UPCOUNTRY</v>
          </cell>
        </row>
        <row r="1944">
          <cell r="B1944" t="str">
            <v>IM022</v>
          </cell>
          <cell r="C1944" t="str">
            <v>ANYAMA_ABATTOIR</v>
          </cell>
          <cell r="D1944" t="str">
            <v>-4.061325</v>
          </cell>
          <cell r="E1944" t="str">
            <v>5.521910</v>
          </cell>
          <cell r="F1944" t="str">
            <v>2G/3G/4G</v>
          </cell>
          <cell r="G1944" t="str">
            <v>ERICSSON</v>
          </cell>
          <cell r="H1944" t="str">
            <v>MOOV</v>
          </cell>
          <cell r="I1944" t="str">
            <v>ANYAMA</v>
          </cell>
          <cell r="J1944" t="str">
            <v>ANYAMA</v>
          </cell>
          <cell r="K1944" t="str">
            <v>ABIDJAN</v>
          </cell>
          <cell r="L1944" t="str">
            <v>ABIDJAN</v>
          </cell>
          <cell r="M1944" t="str">
            <v>ABOBO</v>
          </cell>
          <cell r="N1944" t="str">
            <v>ABIDJAN</v>
          </cell>
        </row>
        <row r="1945">
          <cell r="B1945" t="str">
            <v>IM056</v>
          </cell>
          <cell r="C1945" t="str">
            <v>BASSAM_ALK</v>
          </cell>
          <cell r="D1945" t="str">
            <v>-3.782568</v>
          </cell>
          <cell r="E1945" t="str">
            <v>5.225861</v>
          </cell>
          <cell r="F1945" t="str">
            <v>2G/3G/4G</v>
          </cell>
          <cell r="G1945" t="str">
            <v>HUAWEI</v>
          </cell>
          <cell r="H1945" t="str">
            <v>MOOV</v>
          </cell>
          <cell r="I1945" t="str">
            <v>GRAND-BASSAM</v>
          </cell>
          <cell r="J1945" t="str">
            <v>GRAND-BASSAM</v>
          </cell>
          <cell r="K1945" t="str">
            <v>GRAND-BASSAM</v>
          </cell>
          <cell r="L1945" t="str">
            <v>SUD-COMOE</v>
          </cell>
          <cell r="M1945" t="str">
            <v>MARCORY</v>
          </cell>
          <cell r="N1945" t="str">
            <v>UPCOUNTRY</v>
          </cell>
        </row>
        <row r="1946">
          <cell r="B1946" t="str">
            <v>IM240</v>
          </cell>
          <cell r="C1946" t="str">
            <v>DABAKALA_IDT</v>
          </cell>
          <cell r="D1946" t="str">
            <v>-4.442182</v>
          </cell>
          <cell r="E1946" t="str">
            <v>8.369301</v>
          </cell>
          <cell r="F1946" t="str">
            <v>2G/3G/4G</v>
          </cell>
          <cell r="G1946" t="str">
            <v>HUAWEI</v>
          </cell>
          <cell r="H1946" t="str">
            <v>IDT</v>
          </cell>
          <cell r="I1946" t="str">
            <v>DABAKALA</v>
          </cell>
          <cell r="J1946" t="str">
            <v>DABAKALA</v>
          </cell>
          <cell r="K1946" t="str">
            <v>DABAKALA</v>
          </cell>
          <cell r="L1946" t="str">
            <v>HAMBOL</v>
          </cell>
          <cell r="M1946" t="str">
            <v>BOUAKE</v>
          </cell>
          <cell r="N1946" t="str">
            <v>UPCOUNTRY</v>
          </cell>
        </row>
        <row r="1947">
          <cell r="B1947" t="str">
            <v>ET864</v>
          </cell>
          <cell r="C1947" t="str">
            <v>GBEHIGBLY</v>
          </cell>
          <cell r="D1947" t="str">
            <v>-7.056890</v>
          </cell>
          <cell r="E1947" t="str">
            <v>7.255158</v>
          </cell>
          <cell r="F1947" t="str">
            <v>2G/3G/4G</v>
          </cell>
          <cell r="G1947" t="str">
            <v>HUAWEI</v>
          </cell>
          <cell r="H1947" t="str">
            <v>MOOV</v>
          </cell>
          <cell r="I1947" t="str">
            <v>GBEHIGBLY</v>
          </cell>
          <cell r="J1947" t="str">
            <v>DANIA</v>
          </cell>
          <cell r="K1947" t="str">
            <v>VAVOUA</v>
          </cell>
          <cell r="L1947" t="str">
            <v>HAUT-SASSANDRA</v>
          </cell>
          <cell r="M1947" t="str">
            <v>DALOA</v>
          </cell>
          <cell r="N1947" t="str">
            <v>UPCOUNTRY</v>
          </cell>
        </row>
        <row r="1948">
          <cell r="B1948" t="str">
            <v>IM189</v>
          </cell>
          <cell r="C1948" t="str">
            <v>SAN</v>
          </cell>
          <cell r="D1948" t="str">
            <v>-6.438435</v>
          </cell>
          <cell r="E1948" t="str">
            <v>10.389731</v>
          </cell>
          <cell r="F1948" t="str">
            <v>2G/3G/4G</v>
          </cell>
          <cell r="G1948" t="str">
            <v>HUAWEI</v>
          </cell>
          <cell r="H1948" t="str">
            <v>MOOV</v>
          </cell>
          <cell r="I1948" t="str">
            <v>SAN</v>
          </cell>
          <cell r="J1948" t="str">
            <v>TENGRELA</v>
          </cell>
          <cell r="K1948" t="str">
            <v>TENGRELA</v>
          </cell>
          <cell r="L1948" t="str">
            <v>BAGOUE</v>
          </cell>
          <cell r="M1948" t="str">
            <v>KORHOGO</v>
          </cell>
          <cell r="N1948" t="str">
            <v>UPCOUNTRY</v>
          </cell>
        </row>
        <row r="1949">
          <cell r="B1949" t="str">
            <v>IM030</v>
          </cell>
          <cell r="C1949" t="str">
            <v>KATIOLA_LONANKAHA</v>
          </cell>
          <cell r="D1949" t="str">
            <v>-5.111380</v>
          </cell>
          <cell r="E1949" t="str">
            <v>8.121120</v>
          </cell>
          <cell r="F1949" t="str">
            <v>2G/3G/4G</v>
          </cell>
          <cell r="G1949" t="str">
            <v>HUAWEI</v>
          </cell>
          <cell r="H1949" t="str">
            <v>MOOV</v>
          </cell>
          <cell r="I1949" t="str">
            <v>KATIOLA</v>
          </cell>
          <cell r="J1949" t="str">
            <v>KATIOLA</v>
          </cell>
          <cell r="K1949" t="str">
            <v>KATIOLA</v>
          </cell>
          <cell r="L1949" t="str">
            <v>HAMBOL</v>
          </cell>
          <cell r="M1949" t="str">
            <v>BOUAKE</v>
          </cell>
          <cell r="N1949" t="str">
            <v>UPCOUNTRY</v>
          </cell>
        </row>
        <row r="1950">
          <cell r="B1950" t="str">
            <v>IM133</v>
          </cell>
          <cell r="C1950" t="str">
            <v>SINGOUINE</v>
          </cell>
          <cell r="D1950" t="str">
            <v>-7.882048</v>
          </cell>
          <cell r="E1950" t="str">
            <v>7.160521</v>
          </cell>
          <cell r="F1950" t="str">
            <v>2G/3G/4G</v>
          </cell>
          <cell r="G1950" t="str">
            <v>HUAWEI</v>
          </cell>
          <cell r="H1950" t="str">
            <v>MOOV</v>
          </cell>
          <cell r="I1950" t="str">
            <v>SINGOUINE</v>
          </cell>
          <cell r="J1950" t="str">
            <v>MAHAPLEU</v>
          </cell>
          <cell r="K1950" t="str">
            <v>DANANÉ</v>
          </cell>
          <cell r="L1950" t="str">
            <v>TONKPI</v>
          </cell>
          <cell r="M1950" t="str">
            <v>MAN</v>
          </cell>
          <cell r="N1950" t="str">
            <v>UPCOUNTRY</v>
          </cell>
        </row>
        <row r="1951">
          <cell r="B1951" t="str">
            <v>ET925</v>
          </cell>
          <cell r="C1951" t="str">
            <v>SOKOURALA</v>
          </cell>
          <cell r="D1951" t="str">
            <v>-7.759401</v>
          </cell>
          <cell r="E1951" t="str">
            <v>7.843645</v>
          </cell>
          <cell r="F1951" t="str">
            <v>2G/3G/4G</v>
          </cell>
          <cell r="G1951" t="str">
            <v>HUAWEI</v>
          </cell>
          <cell r="H1951" t="str">
            <v>MOOV</v>
          </cell>
          <cell r="I1951" t="str">
            <v>SOKOURALA</v>
          </cell>
          <cell r="J1951" t="str">
            <v>BIANKOUMA</v>
          </cell>
          <cell r="K1951" t="str">
            <v>BIANKOUMA</v>
          </cell>
          <cell r="L1951" t="str">
            <v>TONKPI</v>
          </cell>
          <cell r="M1951" t="str">
            <v>MAN</v>
          </cell>
          <cell r="N1951" t="str">
            <v>UPCOUNTRY</v>
          </cell>
        </row>
        <row r="1952">
          <cell r="B1952" t="str">
            <v>ET968</v>
          </cell>
          <cell r="C1952" t="str">
            <v>ANANI_2</v>
          </cell>
          <cell r="D1952" t="str">
            <v>-3.873133</v>
          </cell>
          <cell r="E1952" t="str">
            <v>5.243301</v>
          </cell>
          <cell r="F1952" t="str">
            <v>2G/3G/4G</v>
          </cell>
          <cell r="G1952" t="str">
            <v>HUAWEI</v>
          </cell>
          <cell r="H1952" t="str">
            <v>MOOV</v>
          </cell>
          <cell r="I1952" t="str">
            <v>PORT-BOUET</v>
          </cell>
          <cell r="J1952" t="str">
            <v>ABIDJAN</v>
          </cell>
          <cell r="K1952" t="str">
            <v>ABIDJAN</v>
          </cell>
          <cell r="L1952" t="str">
            <v>ABIDJAN</v>
          </cell>
          <cell r="M1952" t="str">
            <v>MARCORY</v>
          </cell>
          <cell r="N1952" t="str">
            <v>ABIDJAN</v>
          </cell>
        </row>
        <row r="1953">
          <cell r="B1953" t="str">
            <v>IM276</v>
          </cell>
          <cell r="C1953" t="str">
            <v>DJELISSO_DIAWALA</v>
          </cell>
          <cell r="D1953" t="str">
            <v>-5.390850</v>
          </cell>
          <cell r="E1953" t="str">
            <v>10.196033</v>
          </cell>
          <cell r="F1953" t="str">
            <v>2G/3G/4G</v>
          </cell>
          <cell r="G1953" t="str">
            <v>HUAWEI</v>
          </cell>
          <cell r="H1953" t="str">
            <v>MOOV</v>
          </cell>
          <cell r="I1953" t="str">
            <v>DJELISSO</v>
          </cell>
          <cell r="J1953" t="str">
            <v>DIAWALA</v>
          </cell>
          <cell r="K1953" t="str">
            <v>OUANGOLODOUGOU</v>
          </cell>
          <cell r="L1953" t="str">
            <v>TCHOLOGO</v>
          </cell>
          <cell r="M1953" t="str">
            <v>KORHOGO</v>
          </cell>
          <cell r="N1953" t="str">
            <v>UPCOUNTRY</v>
          </cell>
        </row>
        <row r="1954">
          <cell r="B1954" t="str">
            <v>IM053</v>
          </cell>
          <cell r="C1954" t="str">
            <v>DUEKOUE_ZOUADRI</v>
          </cell>
          <cell r="D1954" t="str">
            <v>-7.369155</v>
          </cell>
          <cell r="E1954" t="str">
            <v>6.716321</v>
          </cell>
          <cell r="F1954" t="str">
            <v>2G/3G/4G</v>
          </cell>
          <cell r="G1954" t="str">
            <v>HUAWEI</v>
          </cell>
          <cell r="H1954" t="str">
            <v>MOOV</v>
          </cell>
          <cell r="I1954" t="str">
            <v>DUEKOUE</v>
          </cell>
          <cell r="J1954" t="str">
            <v>DUEKOUE</v>
          </cell>
          <cell r="K1954" t="str">
            <v>DUEKOUE</v>
          </cell>
          <cell r="L1954" t="str">
            <v>GUEMON</v>
          </cell>
          <cell r="M1954" t="str">
            <v>MAN</v>
          </cell>
          <cell r="N1954" t="str">
            <v>UPCOUNTRY</v>
          </cell>
        </row>
        <row r="1955">
          <cell r="B1955" t="str">
            <v>IM059</v>
          </cell>
          <cell r="C1955" t="str">
            <v>ISSIA_KIPRE GOGOUA</v>
          </cell>
          <cell r="D1955" t="str">
            <v>-6.593336</v>
          </cell>
          <cell r="E1955" t="str">
            <v>6.506388</v>
          </cell>
          <cell r="F1955" t="str">
            <v>2G/3G/4G</v>
          </cell>
          <cell r="G1955" t="str">
            <v>HUAWEI</v>
          </cell>
          <cell r="H1955" t="str">
            <v>MOOV</v>
          </cell>
          <cell r="I1955" t="str">
            <v>ISSIA</v>
          </cell>
          <cell r="J1955" t="str">
            <v>ISSIA</v>
          </cell>
          <cell r="K1955" t="str">
            <v>ISSIA</v>
          </cell>
          <cell r="L1955" t="str">
            <v>HAUT-SASSANDRA</v>
          </cell>
          <cell r="M1955" t="str">
            <v>DALOA</v>
          </cell>
          <cell r="N1955" t="str">
            <v>UPCOUNTRY</v>
          </cell>
        </row>
        <row r="1956">
          <cell r="B1956" t="str">
            <v>IM098</v>
          </cell>
          <cell r="C1956" t="str">
            <v>YOHOUDA</v>
          </cell>
          <cell r="D1956" t="str">
            <v>-5.550844</v>
          </cell>
          <cell r="E1956" t="str">
            <v>6.490786</v>
          </cell>
          <cell r="F1956" t="str">
            <v>2G/3G/4G</v>
          </cell>
          <cell r="G1956" t="str">
            <v>HUAWEI</v>
          </cell>
          <cell r="H1956" t="str">
            <v>MOOV</v>
          </cell>
          <cell r="I1956" t="str">
            <v>YOHOUDA</v>
          </cell>
          <cell r="J1956" t="str">
            <v>OUME</v>
          </cell>
          <cell r="K1956" t="str">
            <v>OUME</v>
          </cell>
          <cell r="L1956" t="str">
            <v>GOH</v>
          </cell>
          <cell r="M1956" t="str">
            <v>GAGNOA</v>
          </cell>
          <cell r="N1956" t="str">
            <v>UPCOUNTRY</v>
          </cell>
        </row>
        <row r="1957">
          <cell r="B1957" t="str">
            <v>ET718</v>
          </cell>
          <cell r="C1957" t="str">
            <v>ZEALE</v>
          </cell>
          <cell r="D1957" t="str">
            <v>-8.163080</v>
          </cell>
          <cell r="E1957" t="str">
            <v>6.988910</v>
          </cell>
          <cell r="F1957" t="str">
            <v>2G/3G/4G</v>
          </cell>
          <cell r="G1957" t="str">
            <v>HUAWEI</v>
          </cell>
          <cell r="H1957" t="str">
            <v>MOOV</v>
          </cell>
          <cell r="I1957" t="str">
            <v>ZEALE</v>
          </cell>
          <cell r="J1957" t="str">
            <v>TÉAPLEU</v>
          </cell>
          <cell r="K1957" t="str">
            <v>ZOUAN-HOUNIEN</v>
          </cell>
          <cell r="L1957" t="str">
            <v>TONKPI</v>
          </cell>
          <cell r="M1957" t="str">
            <v>MAN</v>
          </cell>
          <cell r="N1957" t="str">
            <v>UPCOUNTRY</v>
          </cell>
        </row>
        <row r="1958">
          <cell r="B1958" t="str">
            <v>IM051</v>
          </cell>
          <cell r="C1958" t="str">
            <v>BKE_RTE_SATAMA</v>
          </cell>
          <cell r="D1958" t="str">
            <v>-4.974750</v>
          </cell>
          <cell r="E1958" t="str">
            <v>7.735570</v>
          </cell>
          <cell r="F1958" t="str">
            <v>2G/3G/4G</v>
          </cell>
          <cell r="G1958" t="str">
            <v>HUAWEI</v>
          </cell>
          <cell r="H1958" t="str">
            <v>MOOV</v>
          </cell>
          <cell r="I1958" t="str">
            <v>BOUAKE</v>
          </cell>
          <cell r="J1958" t="str">
            <v>BOUAKE</v>
          </cell>
          <cell r="K1958" t="str">
            <v>BOUAKE</v>
          </cell>
          <cell r="L1958" t="str">
            <v>GBEKE</v>
          </cell>
          <cell r="M1958" t="str">
            <v>BOUAKE</v>
          </cell>
          <cell r="N1958" t="str">
            <v>UPCOUNTRY</v>
          </cell>
        </row>
        <row r="1959">
          <cell r="B1959" t="str">
            <v>IM283</v>
          </cell>
          <cell r="C1959" t="str">
            <v>BKE_KENNEDY_EXT</v>
          </cell>
          <cell r="D1959" t="str">
            <v>-4.997938</v>
          </cell>
          <cell r="E1959" t="str">
            <v>7.680803</v>
          </cell>
          <cell r="F1959" t="str">
            <v>2G/3G/4G</v>
          </cell>
          <cell r="G1959" t="str">
            <v>HUAWEI</v>
          </cell>
          <cell r="H1959" t="str">
            <v>MOOV</v>
          </cell>
          <cell r="I1959" t="str">
            <v>BOUAKE</v>
          </cell>
          <cell r="J1959" t="str">
            <v>BOUAKE</v>
          </cell>
          <cell r="K1959" t="str">
            <v>BOUAKE</v>
          </cell>
          <cell r="L1959" t="str">
            <v>GBEKE</v>
          </cell>
          <cell r="M1959" t="str">
            <v>BOUAKE</v>
          </cell>
          <cell r="N1959" t="str">
            <v>UPCOUNTRY</v>
          </cell>
        </row>
        <row r="1960">
          <cell r="B1960" t="str">
            <v>IM050</v>
          </cell>
          <cell r="C1960" t="str">
            <v>BKE_BELLE_COTE</v>
          </cell>
          <cell r="D1960" t="str">
            <v>-5.042540</v>
          </cell>
          <cell r="E1960" t="str">
            <v>7.657130</v>
          </cell>
          <cell r="F1960" t="str">
            <v>2G/3G/4G</v>
          </cell>
          <cell r="G1960" t="str">
            <v>HUAWEI</v>
          </cell>
          <cell r="H1960" t="str">
            <v>MOOV</v>
          </cell>
          <cell r="I1960" t="str">
            <v>BOUAKE</v>
          </cell>
          <cell r="J1960" t="str">
            <v>BOUAKE</v>
          </cell>
          <cell r="K1960" t="str">
            <v>BOUAKE</v>
          </cell>
          <cell r="L1960" t="str">
            <v>GBEKE</v>
          </cell>
          <cell r="M1960" t="str">
            <v>BOUAKE</v>
          </cell>
          <cell r="N1960" t="str">
            <v>UPCOUNTRY</v>
          </cell>
        </row>
        <row r="1961">
          <cell r="B1961" t="str">
            <v>IM027</v>
          </cell>
          <cell r="C1961" t="str">
            <v>FERKE_FINANGNIN</v>
          </cell>
          <cell r="D1961" t="str">
            <v>-5.205850</v>
          </cell>
          <cell r="E1961" t="str">
            <v>9.604500</v>
          </cell>
          <cell r="F1961" t="str">
            <v>2G/3G/4G</v>
          </cell>
          <cell r="G1961" t="str">
            <v>HUAWEI</v>
          </cell>
          <cell r="H1961" t="str">
            <v>MOOV</v>
          </cell>
          <cell r="I1961" t="str">
            <v>FERKESSEDOUGOU</v>
          </cell>
          <cell r="J1961" t="str">
            <v>FERKESSEDOUGOU</v>
          </cell>
          <cell r="K1961" t="str">
            <v>FERKESSEDOUGOU</v>
          </cell>
          <cell r="L1961" t="str">
            <v>TCHOLOGO</v>
          </cell>
          <cell r="M1961" t="str">
            <v>KORHOGO</v>
          </cell>
          <cell r="N1961" t="str">
            <v>UPCOUNTRY</v>
          </cell>
        </row>
        <row r="1962">
          <cell r="B1962" t="str">
            <v>ET697</v>
          </cell>
          <cell r="C1962" t="str">
            <v>YORODOUGOU</v>
          </cell>
          <cell r="D1962" t="str">
            <v>-7.873460</v>
          </cell>
          <cell r="E1962" t="str">
            <v>7.790245</v>
          </cell>
          <cell r="F1962" t="str">
            <v>2G/3G/4G</v>
          </cell>
          <cell r="G1962" t="str">
            <v>HUAWEI</v>
          </cell>
          <cell r="H1962" t="str">
            <v>MOOV</v>
          </cell>
          <cell r="I1962" t="str">
            <v>YORODOUGOU</v>
          </cell>
          <cell r="J1962" t="str">
            <v>YORODOUGOU</v>
          </cell>
          <cell r="K1962" t="str">
            <v>SIPILOU</v>
          </cell>
          <cell r="L1962" t="str">
            <v>TONKPI</v>
          </cell>
          <cell r="M1962" t="str">
            <v>MAN</v>
          </cell>
          <cell r="N1962" t="str">
            <v>UPCOUNTRY</v>
          </cell>
        </row>
        <row r="1963">
          <cell r="B1963" t="str">
            <v>IM120</v>
          </cell>
          <cell r="C1963" t="str">
            <v>GBOGOLO</v>
          </cell>
          <cell r="D1963" t="str">
            <v>-6.443621</v>
          </cell>
          <cell r="E1963" t="str">
            <v>7.793943</v>
          </cell>
          <cell r="F1963" t="str">
            <v>2G/3G/4G</v>
          </cell>
          <cell r="G1963" t="str">
            <v>HUAWEI</v>
          </cell>
          <cell r="H1963" t="str">
            <v>IHS</v>
          </cell>
          <cell r="I1963" t="str">
            <v>GBOGOLO</v>
          </cell>
          <cell r="J1963" t="str">
            <v>MASSALA</v>
          </cell>
          <cell r="K1963" t="str">
            <v>SÉGUÉLA</v>
          </cell>
          <cell r="L1963" t="str">
            <v>WORODOUGOU</v>
          </cell>
          <cell r="M1963" t="str">
            <v>DALOA</v>
          </cell>
          <cell r="N1963" t="str">
            <v>UPCOUNTRY</v>
          </cell>
        </row>
        <row r="1964">
          <cell r="B1964" t="str">
            <v>IM077</v>
          </cell>
          <cell r="C1964" t="str">
            <v>BRIHI</v>
          </cell>
          <cell r="D1964" t="str">
            <v>-5.919097</v>
          </cell>
          <cell r="E1964" t="str">
            <v>6.452337</v>
          </cell>
          <cell r="F1964" t="str">
            <v>2G/3G/4G</v>
          </cell>
          <cell r="G1964" t="str">
            <v>HUAWEI</v>
          </cell>
          <cell r="H1964" t="str">
            <v>IHS</v>
          </cell>
          <cell r="I1964" t="str">
            <v>BRIHI</v>
          </cell>
          <cell r="J1964" t="str">
            <v>BAYOTA</v>
          </cell>
          <cell r="K1964" t="str">
            <v>GAGNOA</v>
          </cell>
          <cell r="L1964" t="str">
            <v>GOH</v>
          </cell>
          <cell r="M1964" t="str">
            <v>GAGNOA</v>
          </cell>
          <cell r="N1964" t="str">
            <v>UPCOUNTRY</v>
          </cell>
        </row>
        <row r="1965">
          <cell r="B1965" t="str">
            <v>IM281</v>
          </cell>
          <cell r="C1965" t="str">
            <v>ODIENNE_HERMANKONO</v>
          </cell>
          <cell r="D1965" t="str">
            <v>-7.555173</v>
          </cell>
          <cell r="E1965" t="str">
            <v>9.522054</v>
          </cell>
          <cell r="F1965" t="str">
            <v>2G/3G/4G</v>
          </cell>
          <cell r="G1965" t="str">
            <v>HUAWEI</v>
          </cell>
          <cell r="H1965" t="str">
            <v>MOOV</v>
          </cell>
          <cell r="I1965" t="str">
            <v>ODIENNE</v>
          </cell>
          <cell r="J1965" t="str">
            <v>ODIENNE</v>
          </cell>
          <cell r="K1965" t="str">
            <v>ODIENNE</v>
          </cell>
          <cell r="L1965" t="str">
            <v>KABADOUGOU</v>
          </cell>
          <cell r="M1965" t="str">
            <v>MAN</v>
          </cell>
          <cell r="N1965" t="str">
            <v>UPCOUNTRY</v>
          </cell>
        </row>
        <row r="1966">
          <cell r="B1966" t="str">
            <v>IM044</v>
          </cell>
          <cell r="C1966" t="str">
            <v>SP_VILLAGE_CAN</v>
          </cell>
          <cell r="D1966" t="str">
            <v>-6.715630</v>
          </cell>
          <cell r="E1966" t="str">
            <v>4.758584</v>
          </cell>
          <cell r="F1966" t="str">
            <v>2G/3G/4G</v>
          </cell>
          <cell r="G1966" t="str">
            <v>ERICSSON</v>
          </cell>
          <cell r="H1966" t="str">
            <v>MTN</v>
          </cell>
          <cell r="I1966" t="str">
            <v>SAN-PEDRO</v>
          </cell>
          <cell r="J1966" t="str">
            <v>SAN-PEDRO</v>
          </cell>
          <cell r="K1966" t="str">
            <v>SAN-PEDRO</v>
          </cell>
          <cell r="L1966" t="str">
            <v>SAN-PEDRO</v>
          </cell>
          <cell r="M1966" t="str">
            <v>SAN-PEDRO</v>
          </cell>
          <cell r="N1966" t="str">
            <v>UPCOUNTRY</v>
          </cell>
        </row>
        <row r="1967">
          <cell r="B1967" t="str">
            <v>IM173</v>
          </cell>
          <cell r="C1967" t="str">
            <v>AGBO_RESIDENTIEL</v>
          </cell>
          <cell r="D1967" t="str">
            <v>-4.189580</v>
          </cell>
          <cell r="E1967" t="str">
            <v>5.911970</v>
          </cell>
          <cell r="F1967" t="str">
            <v>2G/3G/4G</v>
          </cell>
          <cell r="G1967" t="str">
            <v>ERICSSON</v>
          </cell>
          <cell r="H1967" t="str">
            <v>MOOV</v>
          </cell>
          <cell r="I1967" t="str">
            <v>AGBOVILLE</v>
          </cell>
          <cell r="J1967" t="str">
            <v>AGBOVILLE</v>
          </cell>
          <cell r="K1967" t="str">
            <v>AGBOVILLE</v>
          </cell>
          <cell r="L1967" t="str">
            <v>AGNEBY-TIASSA</v>
          </cell>
          <cell r="M1967" t="str">
            <v>ABOBO</v>
          </cell>
          <cell r="N1967" t="str">
            <v>UPCOUNTRY</v>
          </cell>
        </row>
        <row r="1968">
          <cell r="B1968" t="str">
            <v>IM280</v>
          </cell>
          <cell r="C1968" t="str">
            <v>ANGRE_CNPS</v>
          </cell>
          <cell r="D1968" t="str">
            <v>-3.973517</v>
          </cell>
          <cell r="E1968" t="str">
            <v>5.381509</v>
          </cell>
          <cell r="F1968" t="str">
            <v>2G/3G/4G</v>
          </cell>
          <cell r="G1968" t="str">
            <v>ERICSSON</v>
          </cell>
          <cell r="H1968" t="str">
            <v>MOOV</v>
          </cell>
          <cell r="I1968" t="str">
            <v>COCODY</v>
          </cell>
          <cell r="J1968" t="str">
            <v>ABIDJAN</v>
          </cell>
          <cell r="K1968" t="str">
            <v>ABIDJAN</v>
          </cell>
          <cell r="L1968" t="str">
            <v>ABIDJAN</v>
          </cell>
          <cell r="M1968" t="str">
            <v>COCODY LATRILLE</v>
          </cell>
          <cell r="N1968" t="str">
            <v>ABIDJAN</v>
          </cell>
        </row>
        <row r="1969">
          <cell r="B1969" t="str">
            <v>IM297</v>
          </cell>
          <cell r="C1969" t="str">
            <v>BAIE_COCODY_GOLF</v>
          </cell>
          <cell r="D1969" t="str">
            <v>-3.964480</v>
          </cell>
          <cell r="E1969" t="str">
            <v>5.331890</v>
          </cell>
          <cell r="F1969" t="str">
            <v>2G/3G/4G/5G</v>
          </cell>
          <cell r="G1969" t="str">
            <v>ERICSSON</v>
          </cell>
          <cell r="H1969" t="str">
            <v>MTN</v>
          </cell>
          <cell r="I1969" t="str">
            <v>COCODY</v>
          </cell>
          <cell r="J1969" t="str">
            <v>ABIDJAN</v>
          </cell>
          <cell r="K1969" t="str">
            <v>ABIDJAN</v>
          </cell>
          <cell r="L1969" t="str">
            <v>ABIDJAN</v>
          </cell>
          <cell r="M1969" t="str">
            <v>COCODY CENTRE</v>
          </cell>
          <cell r="N1969" t="str">
            <v>ABIDJAN</v>
          </cell>
        </row>
        <row r="1970">
          <cell r="B1970" t="str">
            <v>IM209</v>
          </cell>
          <cell r="C1970" t="str">
            <v>NOE_VILLAGE</v>
          </cell>
          <cell r="D1970" t="str">
            <v>-2.786347</v>
          </cell>
          <cell r="E1970" t="str">
            <v>5.295103</v>
          </cell>
          <cell r="F1970" t="str">
            <v>2G/3G/4G</v>
          </cell>
          <cell r="G1970" t="str">
            <v>ERICSSON</v>
          </cell>
          <cell r="H1970" t="str">
            <v>MTN</v>
          </cell>
          <cell r="I1970" t="str">
            <v>NOE</v>
          </cell>
          <cell r="J1970" t="str">
            <v>NOE</v>
          </cell>
          <cell r="K1970" t="str">
            <v>TIAPOUM</v>
          </cell>
          <cell r="L1970" t="str">
            <v>SUD-COMOE</v>
          </cell>
          <cell r="M1970" t="str">
            <v>MARCORY</v>
          </cell>
          <cell r="N1970" t="str">
            <v>UPCOUNTRY</v>
          </cell>
        </row>
        <row r="1971">
          <cell r="B1971" t="str">
            <v>IM006</v>
          </cell>
          <cell r="C1971" t="str">
            <v>DIOULABOUGOU</v>
          </cell>
          <cell r="D1971" t="str">
            <v>-3.246245</v>
          </cell>
          <cell r="E1971" t="str">
            <v>5.815552</v>
          </cell>
          <cell r="F1971" t="str">
            <v>2G/3G/4G</v>
          </cell>
          <cell r="G1971" t="str">
            <v>ERICSSON</v>
          </cell>
          <cell r="H1971" t="str">
            <v>MOOV</v>
          </cell>
          <cell r="I1971" t="str">
            <v>DIOULABOUGOU</v>
          </cell>
          <cell r="J1971" t="str">
            <v>YAOU</v>
          </cell>
          <cell r="K1971" t="str">
            <v>ABOISSO</v>
          </cell>
          <cell r="L1971" t="str">
            <v>SUD-COMOE</v>
          </cell>
          <cell r="M1971" t="str">
            <v>MARCORY</v>
          </cell>
          <cell r="N1971" t="str">
            <v>UPCOUNTRY</v>
          </cell>
        </row>
        <row r="1972">
          <cell r="B1972" t="str">
            <v>IM320</v>
          </cell>
          <cell r="C1972" t="str">
            <v>KOUM_CITE_CAMPEMENT</v>
          </cell>
          <cell r="D1972" t="str">
            <v>-3.935416</v>
          </cell>
          <cell r="E1972" t="str">
            <v>5.310752</v>
          </cell>
          <cell r="F1972" t="str">
            <v>2G/3G/4G</v>
          </cell>
          <cell r="G1972" t="str">
            <v>ERICSSON</v>
          </cell>
          <cell r="H1972" t="str">
            <v>IHS</v>
          </cell>
          <cell r="I1972" t="str">
            <v>KOUMASSI</v>
          </cell>
          <cell r="J1972" t="str">
            <v>ABIDJAN</v>
          </cell>
          <cell r="K1972" t="str">
            <v>ABIDJAN</v>
          </cell>
          <cell r="L1972" t="str">
            <v>ABIDJAN</v>
          </cell>
          <cell r="M1972" t="str">
            <v>MARCORY</v>
          </cell>
          <cell r="N1972" t="str">
            <v>ABIDJAN</v>
          </cell>
        </row>
        <row r="1973">
          <cell r="B1973" t="str">
            <v>IM318</v>
          </cell>
          <cell r="C1973" t="str">
            <v>KOUM_SOWETO_OCI</v>
          </cell>
          <cell r="D1973" t="str">
            <v>-3.948045</v>
          </cell>
          <cell r="E1973" t="str">
            <v>5.281657</v>
          </cell>
          <cell r="F1973" t="str">
            <v>2G/3G/4G</v>
          </cell>
          <cell r="G1973" t="str">
            <v>ERICSSON</v>
          </cell>
          <cell r="H1973" t="str">
            <v>OCI</v>
          </cell>
          <cell r="I1973" t="str">
            <v>KOUMASSI</v>
          </cell>
          <cell r="J1973" t="str">
            <v>ABIDJAN</v>
          </cell>
          <cell r="K1973" t="str">
            <v>ABIDJAN</v>
          </cell>
          <cell r="L1973" t="str">
            <v>ABIDJAN</v>
          </cell>
          <cell r="M1973" t="str">
            <v>MARCORY</v>
          </cell>
          <cell r="N1973" t="str">
            <v>ABIDJAN</v>
          </cell>
        </row>
        <row r="1974">
          <cell r="B1974" t="str">
            <v>IM330</v>
          </cell>
          <cell r="C1974" t="str">
            <v xml:space="preserve">DJOROGOBITE_CITE_KIMI </v>
          </cell>
          <cell r="D1974" t="str">
            <v>-3.957938</v>
          </cell>
          <cell r="E1974" t="str">
            <v>5.392733</v>
          </cell>
          <cell r="F1974" t="str">
            <v>2G/3G/4G</v>
          </cell>
          <cell r="G1974" t="str">
            <v>ERICSSON</v>
          </cell>
          <cell r="H1974" t="str">
            <v>OCI</v>
          </cell>
          <cell r="I1974" t="str">
            <v>COCODY</v>
          </cell>
          <cell r="J1974" t="str">
            <v>ABIDJAN</v>
          </cell>
          <cell r="K1974" t="str">
            <v>ABIDJAN</v>
          </cell>
          <cell r="L1974" t="str">
            <v>ABIDJAN</v>
          </cell>
          <cell r="M1974" t="str">
            <v>COCODY LATRILLE</v>
          </cell>
          <cell r="N1974" t="str">
            <v>ABIDJAN</v>
          </cell>
        </row>
        <row r="1975">
          <cell r="B1975" t="str">
            <v>IM239</v>
          </cell>
          <cell r="C1975" t="str">
            <v>DIVO_KENNEDY</v>
          </cell>
          <cell r="D1975" t="str">
            <v>-5.364680</v>
          </cell>
          <cell r="E1975" t="str">
            <v>5.808307</v>
          </cell>
          <cell r="F1975" t="str">
            <v>2G/3G/4G</v>
          </cell>
          <cell r="G1975" t="str">
            <v>ERICSSON</v>
          </cell>
          <cell r="H1975" t="str">
            <v>MOOV</v>
          </cell>
          <cell r="I1975" t="str">
            <v>DIVO</v>
          </cell>
          <cell r="J1975" t="str">
            <v>DIVO</v>
          </cell>
          <cell r="K1975" t="str">
            <v>DIVO</v>
          </cell>
          <cell r="L1975" t="str">
            <v>LOH-DJIBOUA</v>
          </cell>
          <cell r="M1975" t="str">
            <v>DIVO</v>
          </cell>
          <cell r="N1975" t="str">
            <v>UPCOUNTRY</v>
          </cell>
        </row>
        <row r="1976">
          <cell r="B1976" t="str">
            <v>IM226</v>
          </cell>
          <cell r="C1976" t="str">
            <v>ABOBO_PALMERAIE</v>
          </cell>
          <cell r="D1976" t="str">
            <v>-3.979970</v>
          </cell>
          <cell r="E1976" t="str">
            <v>5.431000</v>
          </cell>
          <cell r="F1976" t="str">
            <v>2G/3G/4G</v>
          </cell>
          <cell r="G1976" t="str">
            <v>ERICSSON</v>
          </cell>
          <cell r="H1976" t="str">
            <v>MOOV</v>
          </cell>
          <cell r="I1976" t="str">
            <v>ABOBO</v>
          </cell>
          <cell r="J1976" t="str">
            <v>ABIDJAN</v>
          </cell>
          <cell r="K1976" t="str">
            <v>ABIDJAN</v>
          </cell>
          <cell r="L1976" t="str">
            <v>ABIDJAN</v>
          </cell>
          <cell r="M1976" t="str">
            <v>ABOBO</v>
          </cell>
          <cell r="N1976" t="str">
            <v>ABIDJAN</v>
          </cell>
        </row>
        <row r="1977">
          <cell r="B1977" t="str">
            <v>IM322</v>
          </cell>
          <cell r="C1977" t="str">
            <v>YOP_ATTIE</v>
          </cell>
          <cell r="D1977" t="str">
            <v>-4.077309</v>
          </cell>
          <cell r="E1977" t="str">
            <v>5.353546</v>
          </cell>
          <cell r="F1977" t="str">
            <v>2G/3G/4G</v>
          </cell>
          <cell r="G1977" t="str">
            <v>ERICSSON</v>
          </cell>
          <cell r="H1977" t="str">
            <v>MOOV</v>
          </cell>
          <cell r="I1977" t="str">
            <v>YOPOUGON</v>
          </cell>
          <cell r="J1977" t="str">
            <v>ABIDJAN</v>
          </cell>
          <cell r="K1977" t="str">
            <v>ABIDJAN</v>
          </cell>
          <cell r="L1977" t="str">
            <v>ABIDJAN</v>
          </cell>
          <cell r="M1977" t="str">
            <v>YOPOUGON FICGAYO</v>
          </cell>
          <cell r="N1977" t="str">
            <v>ABIDJAN</v>
          </cell>
        </row>
        <row r="1978">
          <cell r="B1978" t="str">
            <v>IM325</v>
          </cell>
          <cell r="C1978" t="str">
            <v>YOP_AZITO_HT</v>
          </cell>
          <cell r="D1978" t="str">
            <v>-4.083172</v>
          </cell>
          <cell r="E1978" t="str">
            <v>5.310425</v>
          </cell>
          <cell r="F1978" t="str">
            <v>2G/3G/4G</v>
          </cell>
          <cell r="G1978" t="str">
            <v>ERICSSON</v>
          </cell>
          <cell r="H1978" t="str">
            <v>MOOV</v>
          </cell>
          <cell r="I1978" t="str">
            <v>YOPOUGON</v>
          </cell>
          <cell r="J1978" t="str">
            <v>ABIDJAN</v>
          </cell>
          <cell r="K1978" t="str">
            <v>ABIDJAN</v>
          </cell>
          <cell r="L1978" t="str">
            <v>ABIDJAN</v>
          </cell>
          <cell r="M1978" t="str">
            <v>YOPOUGON FICGAYO</v>
          </cell>
          <cell r="N1978" t="str">
            <v>ABIDJAN</v>
          </cell>
        </row>
        <row r="1979">
          <cell r="B1979" t="str">
            <v>IM326</v>
          </cell>
          <cell r="C1979" t="str">
            <v>YOP_ACADEMIE_DIOP</v>
          </cell>
          <cell r="D1979" t="str">
            <v>-4.112024</v>
          </cell>
          <cell r="E1979" t="str">
            <v>5.313542</v>
          </cell>
          <cell r="F1979" t="str">
            <v>2G/3G/4G</v>
          </cell>
          <cell r="G1979" t="str">
            <v>ERICSSON</v>
          </cell>
          <cell r="H1979" t="str">
            <v>MOOV</v>
          </cell>
          <cell r="I1979" t="str">
            <v>YOPOUGON</v>
          </cell>
          <cell r="J1979" t="str">
            <v>ABIDJAN</v>
          </cell>
          <cell r="K1979" t="str">
            <v>ABIDJAN</v>
          </cell>
          <cell r="L1979" t="str">
            <v>ABIDJAN</v>
          </cell>
          <cell r="M1979" t="str">
            <v>YOPOUGON FICGAYO</v>
          </cell>
          <cell r="N1979" t="str">
            <v>ABIDJAN</v>
          </cell>
        </row>
        <row r="1980">
          <cell r="B1980" t="str">
            <v>IM327</v>
          </cell>
          <cell r="C1980" t="str">
            <v>LOKOUA_VILLAGE</v>
          </cell>
          <cell r="D1980" t="str">
            <v>-4.102721</v>
          </cell>
          <cell r="E1980" t="str">
            <v>5.310064</v>
          </cell>
          <cell r="F1980" t="str">
            <v>2G/3G/4G</v>
          </cell>
          <cell r="G1980" t="str">
            <v>ERICSSON</v>
          </cell>
          <cell r="H1980" t="str">
            <v>MOOV</v>
          </cell>
          <cell r="I1980" t="str">
            <v>YOPOUGON</v>
          </cell>
          <cell r="J1980" t="str">
            <v>ABIDJAN</v>
          </cell>
          <cell r="K1980" t="str">
            <v>ABIDJAN</v>
          </cell>
          <cell r="L1980" t="str">
            <v>ABIDJAN</v>
          </cell>
          <cell r="M1980" t="str">
            <v>YOPOUGON FICGAYO</v>
          </cell>
          <cell r="N1980" t="str">
            <v>ABIDJAN</v>
          </cell>
        </row>
        <row r="1981">
          <cell r="B1981" t="str">
            <v>IM328</v>
          </cell>
          <cell r="C1981" t="str">
            <v>YOP_17ème_ARRDT</v>
          </cell>
          <cell r="D1981" t="str">
            <v>-4.099057</v>
          </cell>
          <cell r="E1981" t="str">
            <v>5.320591</v>
          </cell>
          <cell r="F1981" t="str">
            <v>2G/3G/4G</v>
          </cell>
          <cell r="G1981" t="str">
            <v>ERICSSON</v>
          </cell>
          <cell r="H1981" t="str">
            <v>MOOV</v>
          </cell>
          <cell r="I1981" t="str">
            <v>YOPOUGON</v>
          </cell>
          <cell r="J1981" t="str">
            <v>ABIDJAN</v>
          </cell>
          <cell r="K1981" t="str">
            <v>ABIDJAN</v>
          </cell>
          <cell r="L1981" t="str">
            <v>ABIDJAN</v>
          </cell>
          <cell r="M1981" t="str">
            <v>YOPOUGON FICGAYO</v>
          </cell>
          <cell r="N1981" t="str">
            <v>ABIDJAN</v>
          </cell>
        </row>
        <row r="1982">
          <cell r="B1982" t="str">
            <v>ET938</v>
          </cell>
          <cell r="C1982" t="str">
            <v>WILLY_CINEMA_EGALITE</v>
          </cell>
          <cell r="D1982" t="str">
            <v>-4.024109</v>
          </cell>
          <cell r="E1982" t="str">
            <v>5.364432</v>
          </cell>
          <cell r="F1982" t="str">
            <v>2G/3G/4G</v>
          </cell>
          <cell r="G1982" t="str">
            <v>ERICSSON</v>
          </cell>
          <cell r="H1982" t="str">
            <v>IHS</v>
          </cell>
          <cell r="I1982" t="str">
            <v>ADJAME</v>
          </cell>
          <cell r="J1982" t="str">
            <v>ABIDJAN</v>
          </cell>
          <cell r="K1982" t="str">
            <v>ABIDJAN</v>
          </cell>
          <cell r="L1982" t="str">
            <v>ABIDJAN</v>
          </cell>
          <cell r="M1982" t="str">
            <v>PLATEAU</v>
          </cell>
          <cell r="N1982" t="str">
            <v>ABIDJAN</v>
          </cell>
        </row>
        <row r="1983">
          <cell r="B1983" t="str">
            <v>IM035</v>
          </cell>
          <cell r="C1983" t="str">
            <v>SP_LJF</v>
          </cell>
          <cell r="D1983" t="str">
            <v>-6.681441</v>
          </cell>
          <cell r="E1983" t="str">
            <v>4.743260</v>
          </cell>
          <cell r="F1983" t="str">
            <v>2G/3G/4G</v>
          </cell>
          <cell r="G1983" t="str">
            <v>ERICSSON</v>
          </cell>
          <cell r="H1983" t="str">
            <v>MOOV</v>
          </cell>
          <cell r="I1983" t="str">
            <v>SAN-PEDRO</v>
          </cell>
          <cell r="J1983" t="str">
            <v>SAN-PEDRO</v>
          </cell>
          <cell r="K1983" t="str">
            <v>SAN-PEDRO</v>
          </cell>
          <cell r="L1983" t="str">
            <v>SAN-PEDRO</v>
          </cell>
          <cell r="M1983" t="str">
            <v>SAN-PEDRO</v>
          </cell>
          <cell r="N1983" t="str">
            <v>UPCOUNTRY</v>
          </cell>
        </row>
        <row r="1984">
          <cell r="B1984" t="str">
            <v>IM254</v>
          </cell>
          <cell r="C1984" t="str">
            <v>SONGON_AGBAN</v>
          </cell>
          <cell r="D1984" t="str">
            <v>-4.250362</v>
          </cell>
          <cell r="E1984" t="str">
            <v>5.344643</v>
          </cell>
          <cell r="F1984" t="str">
            <v>2G/3G/4G</v>
          </cell>
          <cell r="G1984" t="str">
            <v>ERICSSON</v>
          </cell>
          <cell r="H1984" t="str">
            <v>MOOV</v>
          </cell>
          <cell r="I1984" t="str">
            <v>SONGON</v>
          </cell>
          <cell r="J1984" t="str">
            <v>SONGON</v>
          </cell>
          <cell r="K1984" t="str">
            <v>ABIDJAN</v>
          </cell>
          <cell r="L1984" t="str">
            <v>ABIDJAN</v>
          </cell>
          <cell r="M1984" t="str">
            <v>YOPOUGON FICGAYO</v>
          </cell>
          <cell r="N1984" t="str">
            <v>ABIDJAN</v>
          </cell>
        </row>
        <row r="1985">
          <cell r="B1985" t="str">
            <v>IM334</v>
          </cell>
          <cell r="C1985" t="str">
            <v>LOGAHA_RURAL</v>
          </cell>
          <cell r="D1985" t="str">
            <v>-5.604359</v>
          </cell>
          <cell r="E1985" t="str">
            <v>9.189467</v>
          </cell>
          <cell r="F1985" t="str">
            <v>2G/3G/4G</v>
          </cell>
          <cell r="G1985" t="str">
            <v>HUAWEI</v>
          </cell>
          <cell r="H1985" t="str">
            <v>MOOV</v>
          </cell>
          <cell r="I1985" t="str">
            <v>LOGAHA</v>
          </cell>
          <cell r="J1985" t="str">
            <v>NAPIEOLEDOUGOU</v>
          </cell>
          <cell r="K1985" t="str">
            <v>KORHOGO</v>
          </cell>
          <cell r="L1985" t="str">
            <v>PORO</v>
          </cell>
          <cell r="M1985" t="str">
            <v>KORHOGO</v>
          </cell>
          <cell r="N1985" t="str">
            <v>UPCOUNTRY</v>
          </cell>
        </row>
        <row r="1986">
          <cell r="B1986" t="str">
            <v>IM204</v>
          </cell>
          <cell r="C1986" t="str">
            <v>ADJAHUI_BAIE</v>
          </cell>
          <cell r="D1986" t="str">
            <v>-3.940323</v>
          </cell>
          <cell r="E1986" t="str">
            <v>5.274177</v>
          </cell>
          <cell r="F1986" t="str">
            <v>2G/3G/4G</v>
          </cell>
          <cell r="G1986" t="str">
            <v>HUAWEI</v>
          </cell>
          <cell r="H1986" t="str">
            <v>OCI</v>
          </cell>
          <cell r="I1986" t="str">
            <v>PORT-BOUET</v>
          </cell>
          <cell r="J1986" t="str">
            <v>ABIDJAN</v>
          </cell>
          <cell r="K1986" t="str">
            <v>ABIDJAN</v>
          </cell>
          <cell r="L1986" t="str">
            <v>ABIDJAN</v>
          </cell>
          <cell r="M1986" t="str">
            <v>MARCORY</v>
          </cell>
          <cell r="N1986" t="str">
            <v>ABIDJAN</v>
          </cell>
        </row>
        <row r="1987">
          <cell r="B1987" t="str">
            <v>IM057</v>
          </cell>
          <cell r="C1987" t="str">
            <v>ODIENNE_RESIDENTIEL</v>
          </cell>
          <cell r="D1987" t="str">
            <v>-7.549598</v>
          </cell>
          <cell r="E1987" t="str">
            <v>9.512532</v>
          </cell>
          <cell r="F1987" t="str">
            <v>2G/3G/4G</v>
          </cell>
          <cell r="G1987" t="str">
            <v>HUAWEI</v>
          </cell>
          <cell r="H1987" t="str">
            <v>MOOV</v>
          </cell>
          <cell r="I1987" t="str">
            <v>ODIENNE</v>
          </cell>
          <cell r="J1987" t="str">
            <v>ODIENNE</v>
          </cell>
          <cell r="K1987" t="str">
            <v>ODIENNE</v>
          </cell>
          <cell r="L1987" t="str">
            <v>KABADOUGOU</v>
          </cell>
          <cell r="M1987" t="str">
            <v>MAN</v>
          </cell>
          <cell r="N1987" t="str">
            <v>UPCOUNTRY</v>
          </cell>
        </row>
        <row r="1988">
          <cell r="B1988" t="str">
            <v>IM196</v>
          </cell>
          <cell r="C1988" t="str">
            <v>IPOUAGUI_RURAL</v>
          </cell>
          <cell r="D1988" t="str">
            <v>-6.835137</v>
          </cell>
          <cell r="E1988" t="str">
            <v>5.518714</v>
          </cell>
          <cell r="F1988" t="str">
            <v>2G/3G/4G</v>
          </cell>
          <cell r="G1988" t="str">
            <v>HUAWEI</v>
          </cell>
          <cell r="H1988" t="str">
            <v>MOOV</v>
          </cell>
          <cell r="I1988" t="str">
            <v>IPOUAGUI</v>
          </cell>
          <cell r="J1988" t="str">
            <v>OUPOYO</v>
          </cell>
          <cell r="K1988" t="str">
            <v>MEAGUI</v>
          </cell>
          <cell r="L1988" t="str">
            <v>NAWA</v>
          </cell>
          <cell r="M1988" t="str">
            <v>SOUBRE</v>
          </cell>
          <cell r="N1988" t="str">
            <v>UPCOUNTRY</v>
          </cell>
        </row>
        <row r="1989">
          <cell r="B1989" t="str">
            <v>IM198</v>
          </cell>
          <cell r="C1989" t="str">
            <v>KOLONZA_RURAL</v>
          </cell>
          <cell r="D1989" t="str">
            <v>-6.405359</v>
          </cell>
          <cell r="E1989" t="str">
            <v>10.652173</v>
          </cell>
          <cell r="F1989" t="str">
            <v>2G/3G/4G</v>
          </cell>
          <cell r="G1989" t="str">
            <v>HUAWEI</v>
          </cell>
          <cell r="H1989" t="str">
            <v>MOOV</v>
          </cell>
          <cell r="I1989" t="str">
            <v>KOLONZA</v>
          </cell>
          <cell r="J1989" t="str">
            <v>PAPARA</v>
          </cell>
          <cell r="K1989" t="str">
            <v>TENGRELA</v>
          </cell>
          <cell r="L1989" t="str">
            <v>BAGOUE</v>
          </cell>
          <cell r="M1989" t="str">
            <v>KORHOGO</v>
          </cell>
          <cell r="N1989" t="str">
            <v>UPCOUNTRY</v>
          </cell>
        </row>
        <row r="1990">
          <cell r="B1990" t="str">
            <v>IM361</v>
          </cell>
          <cell r="C1990" t="str">
            <v>GOUENFLA_RURAL</v>
          </cell>
          <cell r="D1990" t="str">
            <v>-5.989228</v>
          </cell>
          <cell r="E1990" t="str">
            <v>7.412907</v>
          </cell>
          <cell r="F1990" t="str">
            <v>2G/3G/4G</v>
          </cell>
          <cell r="G1990" t="str">
            <v>HUAWEI</v>
          </cell>
          <cell r="H1990" t="str">
            <v>MOOV</v>
          </cell>
          <cell r="I1990" t="str">
            <v>GOUENFLA</v>
          </cell>
          <cell r="J1990" t="str">
            <v>MAMINIGUI</v>
          </cell>
          <cell r="K1990" t="str">
            <v>ZUENOULA</v>
          </cell>
          <cell r="L1990" t="str">
            <v>MARAHOUE</v>
          </cell>
          <cell r="M1990" t="str">
            <v>YAMOUSSOUKRO</v>
          </cell>
          <cell r="N1990" t="str">
            <v>UPCOUNTRY</v>
          </cell>
        </row>
        <row r="1991">
          <cell r="B1991" t="str">
            <v>IM339</v>
          </cell>
          <cell r="C1991" t="str">
            <v>PIVONHON_RURAL</v>
          </cell>
          <cell r="D1991" t="str">
            <v>-6.033890</v>
          </cell>
          <cell r="E1991" t="str">
            <v>9.454030</v>
          </cell>
          <cell r="F1991" t="str">
            <v>2G/3G/4G</v>
          </cell>
          <cell r="G1991" t="str">
            <v>HUAWEI</v>
          </cell>
          <cell r="H1991" t="str">
            <v>MOOV</v>
          </cell>
          <cell r="I1991" t="str">
            <v>PIVONHON</v>
          </cell>
          <cell r="J1991" t="str">
            <v>NIOFOIN</v>
          </cell>
          <cell r="K1991" t="str">
            <v>KORHOGO</v>
          </cell>
          <cell r="L1991" t="str">
            <v>PORO</v>
          </cell>
          <cell r="M1991" t="str">
            <v>KORHOGO</v>
          </cell>
          <cell r="N1991" t="str">
            <v>UPCOUNTRY</v>
          </cell>
        </row>
        <row r="1992">
          <cell r="B1992" t="str">
            <v>IM340</v>
          </cell>
          <cell r="C1992" t="str">
            <v>SERIKOROLA_RURAL</v>
          </cell>
          <cell r="D1992" t="str">
            <v>-4.787937</v>
          </cell>
          <cell r="E1992" t="str">
            <v>9.280829</v>
          </cell>
          <cell r="F1992" t="str">
            <v>2G/3G/4G</v>
          </cell>
          <cell r="G1992" t="str">
            <v>HUAWEI</v>
          </cell>
          <cell r="H1992" t="str">
            <v>MOOV</v>
          </cell>
          <cell r="I1992" t="str">
            <v>SERIKOROLA</v>
          </cell>
          <cell r="J1992" t="str">
            <v>NAFANA</v>
          </cell>
          <cell r="K1992" t="str">
            <v>KONG</v>
          </cell>
          <cell r="L1992" t="str">
            <v>TCHOLOGO</v>
          </cell>
          <cell r="M1992" t="str">
            <v>KORHOGO</v>
          </cell>
          <cell r="N1992" t="str">
            <v>UPCOUNTRY</v>
          </cell>
        </row>
        <row r="1993">
          <cell r="B1993" t="str">
            <v>IM341</v>
          </cell>
          <cell r="C1993" t="str">
            <v>TAHOUELEKAHA_RURAL</v>
          </cell>
          <cell r="D1993" t="str">
            <v>-5.510442</v>
          </cell>
          <cell r="E1993" t="str">
            <v>9.392427</v>
          </cell>
          <cell r="F1993" t="str">
            <v>2G/3G/4G</v>
          </cell>
          <cell r="G1993" t="str">
            <v>HUAWEI</v>
          </cell>
          <cell r="H1993" t="str">
            <v>MOOV</v>
          </cell>
          <cell r="I1993" t="str">
            <v>TAHOUELEKAHA</v>
          </cell>
          <cell r="J1993" t="str">
            <v>KARAKORO</v>
          </cell>
          <cell r="K1993" t="str">
            <v>KORHOGO</v>
          </cell>
          <cell r="L1993" t="str">
            <v>PORO</v>
          </cell>
          <cell r="M1993" t="str">
            <v>KORHOGO</v>
          </cell>
          <cell r="N1993" t="str">
            <v>UPCOUNTRY</v>
          </cell>
        </row>
        <row r="1994">
          <cell r="B1994" t="str">
            <v>IM347</v>
          </cell>
          <cell r="C1994" t="str">
            <v>SANGADJOKAHA_RURAL</v>
          </cell>
          <cell r="D1994" t="str">
            <v>-5.670382</v>
          </cell>
          <cell r="E1994" t="str">
            <v>8.67052</v>
          </cell>
          <cell r="F1994" t="str">
            <v>2G/3G/4G</v>
          </cell>
          <cell r="G1994" t="str">
            <v>HUAWEI</v>
          </cell>
          <cell r="H1994" t="str">
            <v>MOOV</v>
          </cell>
          <cell r="I1994" t="str">
            <v>SANGADJOKAHA</v>
          </cell>
          <cell r="J1994" t="str">
            <v>TORTIYA</v>
          </cell>
          <cell r="K1994" t="str">
            <v>NIAKARAMADOUGOU</v>
          </cell>
          <cell r="L1994" t="str">
            <v>HAMBOL</v>
          </cell>
          <cell r="M1994" t="str">
            <v>KORHOGO</v>
          </cell>
          <cell r="N1994" t="str">
            <v>UPCOUNTRY</v>
          </cell>
        </row>
        <row r="1995">
          <cell r="B1995" t="str">
            <v>IM348</v>
          </cell>
          <cell r="C1995" t="str">
            <v>SOUNGOUKAHA_RURAL</v>
          </cell>
          <cell r="D1995" t="str">
            <v>-5.487089</v>
          </cell>
          <cell r="E1995" t="str">
            <v>9.603918</v>
          </cell>
          <cell r="F1995" t="str">
            <v>2G/3G/4G</v>
          </cell>
          <cell r="G1995" t="str">
            <v>HUAWEI</v>
          </cell>
          <cell r="H1995" t="str">
            <v>MOOV</v>
          </cell>
          <cell r="I1995" t="str">
            <v>SOUNGOUKAHA</v>
          </cell>
          <cell r="J1995" t="str">
            <v>LATAHA</v>
          </cell>
          <cell r="K1995" t="str">
            <v>KORHOGO</v>
          </cell>
          <cell r="L1995" t="str">
            <v>PORO</v>
          </cell>
          <cell r="M1995" t="str">
            <v>KORHOGO</v>
          </cell>
          <cell r="N1995" t="str">
            <v>UPCOUNTRY</v>
          </cell>
        </row>
        <row r="1996">
          <cell r="B1996" t="str">
            <v>IM353</v>
          </cell>
          <cell r="C1996" t="str">
            <v>NANGONIEKAHA_RURAL</v>
          </cell>
          <cell r="D1996" t="str">
            <v>-5.23455</v>
          </cell>
          <cell r="E1996" t="str">
            <v>8.777507</v>
          </cell>
          <cell r="F1996" t="str">
            <v>2G/3G/4G</v>
          </cell>
          <cell r="G1996" t="str">
            <v>HUAWEI</v>
          </cell>
          <cell r="H1996" t="str">
            <v>MOOV</v>
          </cell>
          <cell r="I1996" t="str">
            <v>NANGONIEKAHA</v>
          </cell>
          <cell r="J1996" t="str">
            <v>ARIKOKAHA</v>
          </cell>
          <cell r="K1996" t="str">
            <v>NIAKARAMADOUGOU</v>
          </cell>
          <cell r="L1996" t="str">
            <v>HAMBOL</v>
          </cell>
          <cell r="M1996" t="str">
            <v>KORHOGO</v>
          </cell>
          <cell r="N1996" t="str">
            <v>UPCOUNTRY</v>
          </cell>
        </row>
        <row r="1997">
          <cell r="B1997" t="str">
            <v>IM184</v>
          </cell>
          <cell r="C1997" t="str">
            <v>KPADAGNOA_RURAL</v>
          </cell>
          <cell r="D1997" t="str">
            <v>-5.903740</v>
          </cell>
          <cell r="E1997" t="str">
            <v>5.577160</v>
          </cell>
          <cell r="F1997" t="str">
            <v>2G/3G/4G</v>
          </cell>
          <cell r="G1997" t="str">
            <v>HUAWEI</v>
          </cell>
          <cell r="H1997" t="str">
            <v>MOOV</v>
          </cell>
          <cell r="I1997" t="str">
            <v>KPADAGNOA</v>
          </cell>
          <cell r="J1997" t="str">
            <v>NIAMBÉZARIA</v>
          </cell>
          <cell r="K1997" t="str">
            <v>LAKOTA</v>
          </cell>
          <cell r="L1997" t="str">
            <v>LOH-DJIBOUA</v>
          </cell>
          <cell r="M1997" t="str">
            <v>DIVO</v>
          </cell>
          <cell r="N1997" t="str">
            <v>UPCOUNTRY</v>
          </cell>
        </row>
        <row r="1998">
          <cell r="B1998" t="str">
            <v>IM337</v>
          </cell>
          <cell r="C1998" t="str">
            <v>TORKAHA_RURAL</v>
          </cell>
          <cell r="D1998" t="str">
            <v>-5.690000</v>
          </cell>
          <cell r="E1998" t="str">
            <v>9.390000</v>
          </cell>
          <cell r="F1998" t="str">
            <v>2G/3G/4G</v>
          </cell>
          <cell r="G1998" t="str">
            <v>HUAWEI</v>
          </cell>
          <cell r="H1998" t="str">
            <v>MOOV</v>
          </cell>
          <cell r="I1998" t="str">
            <v>TORKAHA</v>
          </cell>
          <cell r="J1998" t="str">
            <v>TIORONIARADOUGOU</v>
          </cell>
          <cell r="K1998" t="str">
            <v>KORHOGO</v>
          </cell>
          <cell r="L1998" t="str">
            <v>PORO</v>
          </cell>
          <cell r="M1998" t="str">
            <v>KORHOGO</v>
          </cell>
          <cell r="N1998" t="str">
            <v>UPCOUNTRY</v>
          </cell>
        </row>
        <row r="1999">
          <cell r="B1999" t="str">
            <v>IM181</v>
          </cell>
          <cell r="C1999" t="str">
            <v>BOHOUSSOUKRO_RURAL</v>
          </cell>
          <cell r="D1999" t="str">
            <v>-7.142550</v>
          </cell>
          <cell r="E1999" t="str">
            <v>6.831230</v>
          </cell>
          <cell r="F1999" t="str">
            <v>2G/3G/4G</v>
          </cell>
          <cell r="G1999" t="str">
            <v>HUAWEI</v>
          </cell>
          <cell r="H1999" t="str">
            <v>MOOV</v>
          </cell>
          <cell r="I1999" t="str">
            <v>BOHOUSSOUKRO</v>
          </cell>
          <cell r="J1999" t="str">
            <v>BAGOHOUO</v>
          </cell>
          <cell r="K1999" t="str">
            <v>DUEKOUE</v>
          </cell>
          <cell r="L1999" t="str">
            <v>GUEMON</v>
          </cell>
          <cell r="M1999" t="str">
            <v>MAN</v>
          </cell>
          <cell r="N1999" t="str">
            <v>UPCOUNTRY</v>
          </cell>
        </row>
        <row r="2000">
          <cell r="B2000" t="str">
            <v>IM185</v>
          </cell>
          <cell r="C2000" t="str">
            <v>FODIOLOKAHA_RURAL</v>
          </cell>
          <cell r="D2000" t="str">
            <v>-5.360360</v>
          </cell>
          <cell r="E2000" t="str">
            <v>9.486130</v>
          </cell>
          <cell r="F2000" t="str">
            <v>2G/3G/4G</v>
          </cell>
          <cell r="G2000" t="str">
            <v>HUAWEI</v>
          </cell>
          <cell r="H2000" t="str">
            <v>MOOV</v>
          </cell>
          <cell r="I2000" t="str">
            <v>FONDONOKAHA</v>
          </cell>
          <cell r="J2000" t="str">
            <v>DIAWALA</v>
          </cell>
          <cell r="K2000" t="str">
            <v>OUANGOLODOUGOU</v>
          </cell>
          <cell r="L2000" t="str">
            <v>TCHOLOGO</v>
          </cell>
          <cell r="M2000" t="str">
            <v>KORHOGO</v>
          </cell>
          <cell r="N2000" t="str">
            <v>UPCOUNTRY</v>
          </cell>
        </row>
        <row r="2001">
          <cell r="B2001" t="str">
            <v>IM344</v>
          </cell>
          <cell r="C2001" t="str">
            <v>NGUISSIDOUGOU_RURAL</v>
          </cell>
          <cell r="D2001" t="str">
            <v>-6.150000</v>
          </cell>
          <cell r="E2001" t="str">
            <v>8.710000</v>
          </cell>
          <cell r="F2001" t="str">
            <v>2G/3G/4G</v>
          </cell>
          <cell r="G2001" t="str">
            <v>HUAWEI</v>
          </cell>
          <cell r="H2001" t="str">
            <v>MOOV</v>
          </cell>
          <cell r="I2001" t="str">
            <v>NGUISSIDOUGOU</v>
          </cell>
          <cell r="J2001" t="str">
            <v>DIANRA-VILLAGE</v>
          </cell>
          <cell r="K2001" t="str">
            <v>DIANRA</v>
          </cell>
          <cell r="L2001" t="str">
            <v>BERE</v>
          </cell>
          <cell r="M2001" t="str">
            <v>BOUAKE</v>
          </cell>
          <cell r="N2001" t="str">
            <v>UPCOUNTRY</v>
          </cell>
        </row>
        <row r="2002">
          <cell r="B2002" t="str">
            <v>IM351</v>
          </cell>
          <cell r="C2002" t="str">
            <v>SOMOKORO_RURAL</v>
          </cell>
          <cell r="D2002" t="str">
            <v>-6.002621</v>
          </cell>
          <cell r="E2002" t="str">
            <v>8.484232</v>
          </cell>
          <cell r="F2002" t="str">
            <v>2G/3G/4G</v>
          </cell>
          <cell r="G2002" t="str">
            <v>HUAWEI</v>
          </cell>
          <cell r="H2002" t="str">
            <v>MOOV</v>
          </cell>
          <cell r="I2002" t="str">
            <v>SOMOKORO</v>
          </cell>
          <cell r="J2002" t="str">
            <v>SARHALA</v>
          </cell>
          <cell r="K2002" t="str">
            <v>MANKONO</v>
          </cell>
          <cell r="L2002" t="str">
            <v>BERE</v>
          </cell>
          <cell r="M2002" t="str">
            <v>BOUAKE</v>
          </cell>
          <cell r="N2002" t="str">
            <v>UPCOUNTRY</v>
          </cell>
        </row>
        <row r="2003">
          <cell r="B2003" t="str">
            <v>IM358</v>
          </cell>
          <cell r="C2003" t="str">
            <v>KOGNONKAHA_RURAL</v>
          </cell>
          <cell r="D2003" t="str">
            <v>-6.120000</v>
          </cell>
          <cell r="E2003" t="str">
            <v>8.970000</v>
          </cell>
          <cell r="F2003" t="str">
            <v>2G/3G/4G</v>
          </cell>
          <cell r="G2003" t="str">
            <v>HUAWEI</v>
          </cell>
          <cell r="H2003" t="str">
            <v>MOOV</v>
          </cell>
          <cell r="I2003" t="str">
            <v>KOGNONKAHA</v>
          </cell>
          <cell r="J2003" t="str">
            <v>KANOROBA</v>
          </cell>
          <cell r="K2003" t="str">
            <v>KORHOGO</v>
          </cell>
          <cell r="L2003" t="str">
            <v>PORO</v>
          </cell>
          <cell r="M2003" t="str">
            <v>KORHOGO</v>
          </cell>
          <cell r="N2003" t="str">
            <v>UPCOUNTRY</v>
          </cell>
        </row>
        <row r="2004">
          <cell r="B2004" t="str">
            <v>IM052</v>
          </cell>
          <cell r="C2004" t="str">
            <v>AGNIBILEKROU_ALBAYANE</v>
          </cell>
          <cell r="D2004" t="str">
            <v>-3.202656</v>
          </cell>
          <cell r="E2004" t="str">
            <v>7.153980</v>
          </cell>
          <cell r="F2004" t="str">
            <v>2G/3G/4G</v>
          </cell>
          <cell r="G2004" t="str">
            <v>ERICSSON</v>
          </cell>
          <cell r="H2004" t="str">
            <v>MOOV</v>
          </cell>
          <cell r="I2004" t="str">
            <v>AGNIBILEKROU</v>
          </cell>
          <cell r="J2004" t="str">
            <v>AGNIBILEKROU</v>
          </cell>
          <cell r="K2004" t="str">
            <v>AGNIBILEKROU</v>
          </cell>
          <cell r="L2004" t="str">
            <v>INDENIE-DJUABLIN</v>
          </cell>
          <cell r="M2004" t="str">
            <v>ABENGOUROU</v>
          </cell>
          <cell r="N2004" t="str">
            <v>UPCOUNTRY</v>
          </cell>
        </row>
        <row r="2005">
          <cell r="B2005" t="str">
            <v>IM236</v>
          </cell>
          <cell r="C2005" t="str">
            <v>TANDA_COLLEGE_ELITE</v>
          </cell>
          <cell r="D2005" t="str">
            <v>-3.157050</v>
          </cell>
          <cell r="E2005" t="str">
            <v>7.800879</v>
          </cell>
          <cell r="F2005" t="str">
            <v>2G/3G/4G</v>
          </cell>
          <cell r="G2005" t="str">
            <v>ERICSSON</v>
          </cell>
          <cell r="H2005" t="str">
            <v>MOOV</v>
          </cell>
          <cell r="I2005" t="str">
            <v>TANDA</v>
          </cell>
          <cell r="J2005" t="str">
            <v>TANDA</v>
          </cell>
          <cell r="K2005" t="str">
            <v>TANDA</v>
          </cell>
          <cell r="L2005" t="str">
            <v>GONTOUGO</v>
          </cell>
          <cell r="M2005" t="str">
            <v>ABENGOUROU</v>
          </cell>
          <cell r="N2005" t="str">
            <v>UPCOUNTRY</v>
          </cell>
        </row>
        <row r="2006">
          <cell r="B2006" t="str">
            <v>ET682</v>
          </cell>
          <cell r="C2006" t="str">
            <v>SANTA</v>
          </cell>
          <cell r="D2006" t="str">
            <v>-7.860189</v>
          </cell>
          <cell r="E2006" t="str">
            <v>7.657197</v>
          </cell>
          <cell r="F2006" t="str">
            <v>2G/3G/4G</v>
          </cell>
          <cell r="G2006" t="str">
            <v>HUAWEI</v>
          </cell>
          <cell r="H2006" t="str">
            <v>OCI</v>
          </cell>
          <cell r="I2006" t="str">
            <v>SANTA</v>
          </cell>
          <cell r="J2006" t="str">
            <v>SANTA</v>
          </cell>
          <cell r="K2006" t="str">
            <v>BIANKOUMA</v>
          </cell>
          <cell r="L2006" t="str">
            <v>TONKPI</v>
          </cell>
          <cell r="M2006" t="str">
            <v>MAN</v>
          </cell>
          <cell r="N2006" t="str">
            <v>UPCOUNTRY</v>
          </cell>
        </row>
        <row r="2007">
          <cell r="B2007" t="str">
            <v>IM178</v>
          </cell>
          <cell r="C2007" t="str">
            <v>LALOGO</v>
          </cell>
          <cell r="D2007" t="str">
            <v>-6.352111</v>
          </cell>
          <cell r="E2007" t="str">
            <v>8.831778</v>
          </cell>
          <cell r="F2007" t="str">
            <v>2G/3G/4G</v>
          </cell>
          <cell r="G2007" t="str">
            <v>HUAWEI</v>
          </cell>
          <cell r="H2007" t="str">
            <v>MOOV</v>
          </cell>
          <cell r="I2007" t="str">
            <v>LALOGO</v>
          </cell>
          <cell r="J2007" t="str">
            <v>DIANRA</v>
          </cell>
          <cell r="K2007" t="str">
            <v>DIANRA</v>
          </cell>
          <cell r="L2007" t="str">
            <v>BERE</v>
          </cell>
          <cell r="M2007" t="str">
            <v>KORHOGO</v>
          </cell>
          <cell r="N2007" t="str">
            <v>UPCOUNTRY</v>
          </cell>
        </row>
        <row r="2008">
          <cell r="B2008" t="str">
            <v>ET924</v>
          </cell>
          <cell r="C2008" t="str">
            <v>YEPLEU</v>
          </cell>
          <cell r="D2008" t="str">
            <v>-7.813263</v>
          </cell>
          <cell r="E2008" t="str">
            <v>7.708368</v>
          </cell>
          <cell r="F2008" t="str">
            <v>2G/3G/4G</v>
          </cell>
          <cell r="G2008" t="str">
            <v>HUAWEI</v>
          </cell>
          <cell r="H2008" t="str">
            <v>OCI</v>
          </cell>
          <cell r="I2008" t="str">
            <v>YEPLEU</v>
          </cell>
          <cell r="J2008" t="str">
            <v>YORODOUGOU</v>
          </cell>
          <cell r="K2008" t="str">
            <v>SIPILOU</v>
          </cell>
          <cell r="L2008" t="str">
            <v>TONKPI</v>
          </cell>
          <cell r="M2008" t="str">
            <v>MAN</v>
          </cell>
          <cell r="N2008" t="str">
            <v>UPCOUNTRY</v>
          </cell>
        </row>
        <row r="2009">
          <cell r="B2009" t="str">
            <v>IM174</v>
          </cell>
          <cell r="C2009" t="str">
            <v>SOUBRE_DIOULABOUGOU</v>
          </cell>
          <cell r="D2009" t="str">
            <v>-6.625567</v>
          </cell>
          <cell r="E2009" t="str">
            <v>5.728280</v>
          </cell>
          <cell r="F2009" t="str">
            <v>2G/3G/4G</v>
          </cell>
          <cell r="G2009" t="str">
            <v>HUAWEI</v>
          </cell>
          <cell r="H2009" t="str">
            <v>MOOV</v>
          </cell>
          <cell r="I2009" t="str">
            <v>SOUBRE</v>
          </cell>
          <cell r="J2009" t="str">
            <v>SOUBRE</v>
          </cell>
          <cell r="K2009" t="str">
            <v>SOUBRE</v>
          </cell>
          <cell r="L2009" t="str">
            <v>NAWA</v>
          </cell>
          <cell r="M2009" t="str">
            <v>SOUBRE</v>
          </cell>
          <cell r="N2009" t="str">
            <v>UPCOUNTRY</v>
          </cell>
        </row>
        <row r="2010">
          <cell r="B2010" t="str">
            <v>IM183</v>
          </cell>
          <cell r="C2010" t="str">
            <v>AHOUTOUAGUI_RURAL</v>
          </cell>
          <cell r="D2010" t="str">
            <v>-6.446129</v>
          </cell>
          <cell r="E2010" t="str">
            <v>5.365188</v>
          </cell>
          <cell r="F2010" t="str">
            <v>2G/3G/4G</v>
          </cell>
          <cell r="G2010" t="str">
            <v>HUAWEI</v>
          </cell>
          <cell r="H2010" t="str">
            <v>MOOV</v>
          </cell>
          <cell r="I2010" t="str">
            <v>AHOUTOUAGUI</v>
          </cell>
          <cell r="J2010" t="str">
            <v>MÉAGUI</v>
          </cell>
          <cell r="K2010" t="str">
            <v>MEAGUI</v>
          </cell>
          <cell r="L2010" t="str">
            <v>NAWA</v>
          </cell>
          <cell r="M2010" t="str">
            <v>SOUBRE</v>
          </cell>
          <cell r="N2010" t="str">
            <v>UPCOUNTRY</v>
          </cell>
        </row>
        <row r="2011">
          <cell r="B2011" t="str">
            <v>IM333</v>
          </cell>
          <cell r="C2011" t="str">
            <v>KAVAGOUMA_RURAL</v>
          </cell>
          <cell r="D2011" t="str">
            <v>-6.103825</v>
          </cell>
          <cell r="E2011" t="str">
            <v>7.85228</v>
          </cell>
          <cell r="F2011" t="str">
            <v>2G/3G/4G</v>
          </cell>
          <cell r="G2011" t="str">
            <v>HUAWEI</v>
          </cell>
          <cell r="H2011" t="str">
            <v>MOOV</v>
          </cell>
          <cell r="I2011" t="str">
            <v>KAVAGOUMA</v>
          </cell>
          <cell r="J2011" t="str">
            <v>KONGASSO</v>
          </cell>
          <cell r="K2011" t="str">
            <v>KOUNAHIRI</v>
          </cell>
          <cell r="L2011" t="str">
            <v>BERE</v>
          </cell>
          <cell r="M2011" t="str">
            <v>BOUAKE</v>
          </cell>
          <cell r="N2011" t="str">
            <v>UPCOUNTRY</v>
          </cell>
        </row>
        <row r="2012">
          <cell r="B2012" t="str">
            <v>IM357</v>
          </cell>
          <cell r="C2012" t="str">
            <v>SOULEYMANEKAHA_RURAL</v>
          </cell>
          <cell r="D2012" t="str">
            <v>-4.827416</v>
          </cell>
          <cell r="E2012" t="str">
            <v>8.25022</v>
          </cell>
          <cell r="F2012" t="str">
            <v>2G/3G/4G</v>
          </cell>
          <cell r="G2012" t="str">
            <v>HUAWEI</v>
          </cell>
          <cell r="H2012" t="str">
            <v>MOOV</v>
          </cell>
          <cell r="I2012" t="str">
            <v>SOULEYMANEKAHA</v>
          </cell>
          <cell r="J2012" t="str">
            <v>BONIÉRÉDOUGOU</v>
          </cell>
          <cell r="K2012" t="str">
            <v>DABAKALA</v>
          </cell>
          <cell r="L2012" t="str">
            <v>HAMBOL</v>
          </cell>
          <cell r="M2012" t="str">
            <v>BOUAKE</v>
          </cell>
          <cell r="N2012" t="str">
            <v>UPCOUNTRY</v>
          </cell>
        </row>
        <row r="2013">
          <cell r="B2013" t="str">
            <v>IM387</v>
          </cell>
          <cell r="C2013" t="str">
            <v>ZELESSO_RURAL</v>
          </cell>
          <cell r="D2013" t="str">
            <v>-6.494813</v>
          </cell>
          <cell r="E2013" t="str">
            <v>10.506349</v>
          </cell>
          <cell r="F2013" t="str">
            <v>2G/3G/4G</v>
          </cell>
          <cell r="G2013" t="str">
            <v>HUAWEI</v>
          </cell>
          <cell r="H2013" t="str">
            <v>MOOV</v>
          </cell>
          <cell r="I2013" t="str">
            <v>ZELESSO</v>
          </cell>
          <cell r="J2013" t="str">
            <v>TENGRELA</v>
          </cell>
          <cell r="K2013" t="str">
            <v>TENGRELA</v>
          </cell>
          <cell r="L2013" t="str">
            <v>BAGOUE</v>
          </cell>
          <cell r="M2013" t="str">
            <v>KORHOGO</v>
          </cell>
          <cell r="N2013" t="str">
            <v>UPCOUNTRY</v>
          </cell>
        </row>
        <row r="2014">
          <cell r="B2014" t="str">
            <v>IM284</v>
          </cell>
          <cell r="C2014" t="str">
            <v>KOUM_NEW_AJAVON</v>
          </cell>
          <cell r="D2014" t="str">
            <v>-3.958320</v>
          </cell>
          <cell r="E2014" t="str">
            <v>5.289570</v>
          </cell>
          <cell r="F2014" t="str">
            <v>2G/3G/4G</v>
          </cell>
          <cell r="G2014" t="str">
            <v>ERICSSON</v>
          </cell>
          <cell r="H2014" t="str">
            <v>MOOV</v>
          </cell>
          <cell r="I2014" t="str">
            <v>KOUMASSI</v>
          </cell>
          <cell r="J2014" t="str">
            <v>ABIDJAN</v>
          </cell>
          <cell r="K2014" t="str">
            <v>ABIDJAN</v>
          </cell>
          <cell r="L2014" t="str">
            <v>ABIDJAN</v>
          </cell>
          <cell r="M2014" t="str">
            <v>MARCORY</v>
          </cell>
          <cell r="N2014" t="str">
            <v>ABIDJAN</v>
          </cell>
        </row>
        <row r="2015">
          <cell r="B2015" t="str">
            <v>IM349</v>
          </cell>
          <cell r="C2015" t="str">
            <v>KOBADALLAH_RURAL</v>
          </cell>
          <cell r="D2015" t="str">
            <v>-5.909548</v>
          </cell>
          <cell r="E2015" t="str">
            <v>8.253669</v>
          </cell>
          <cell r="F2015" t="str">
            <v>2G/3G/4G</v>
          </cell>
          <cell r="G2015" t="str">
            <v>HUAWEI</v>
          </cell>
          <cell r="H2015" t="str">
            <v>MOOV</v>
          </cell>
          <cell r="I2015" t="str">
            <v>KOBADALLAH</v>
          </cell>
          <cell r="J2015" t="str">
            <v>TIENINGBOUE</v>
          </cell>
          <cell r="K2015" t="str">
            <v>MANKONO</v>
          </cell>
          <cell r="L2015" t="str">
            <v>BERE</v>
          </cell>
          <cell r="M2015" t="str">
            <v>BOUAKE</v>
          </cell>
          <cell r="N2015" t="str">
            <v>UPCOUNTRY</v>
          </cell>
        </row>
        <row r="2016">
          <cell r="B2016" t="str">
            <v>IM336</v>
          </cell>
          <cell r="C2016" t="str">
            <v>NGOLOKAHA_RURAL</v>
          </cell>
          <cell r="D2016" t="str">
            <v>-6.054288</v>
          </cell>
          <cell r="E2016" t="str">
            <v>10.090214</v>
          </cell>
          <cell r="F2016" t="str">
            <v>2G/3G/4G</v>
          </cell>
          <cell r="G2016" t="str">
            <v>HUAWEI</v>
          </cell>
          <cell r="H2016" t="str">
            <v>MOOV</v>
          </cell>
          <cell r="I2016" t="str">
            <v>NGOLOKAHA</v>
          </cell>
          <cell r="J2016" t="str">
            <v>KATOGO</v>
          </cell>
          <cell r="K2016" t="str">
            <v>M'BENGUE</v>
          </cell>
          <cell r="L2016" t="str">
            <v>PORO</v>
          </cell>
          <cell r="M2016" t="str">
            <v>KORHOGO</v>
          </cell>
          <cell r="N2016" t="str">
            <v>UPCOUNTRY</v>
          </cell>
        </row>
        <row r="2017">
          <cell r="B2017" t="str">
            <v>IM271</v>
          </cell>
          <cell r="C2017" t="str">
            <v>YOBOUEBO</v>
          </cell>
          <cell r="D2017" t="str">
            <v>-4.768853</v>
          </cell>
          <cell r="E2017" t="str">
            <v>6.570355</v>
          </cell>
          <cell r="F2017" t="str">
            <v>2G/3G/4G</v>
          </cell>
          <cell r="G2017" t="str">
            <v>HUAWEI</v>
          </cell>
          <cell r="H2017" t="str">
            <v>MOOV</v>
          </cell>
          <cell r="I2017" t="str">
            <v>YOBOUEBO</v>
          </cell>
          <cell r="J2017" t="str">
            <v>TOUMODI</v>
          </cell>
          <cell r="K2017" t="str">
            <v>TOUMODI</v>
          </cell>
          <cell r="L2017" t="str">
            <v>BELIER</v>
          </cell>
          <cell r="M2017" t="str">
            <v>YAMOUSSOUKRO</v>
          </cell>
          <cell r="N2017" t="str">
            <v>UPCOUNTRY</v>
          </cell>
        </row>
        <row r="2018">
          <cell r="B2018" t="str">
            <v>ET698</v>
          </cell>
          <cell r="C2018" t="str">
            <v>DOUASSO</v>
          </cell>
          <cell r="D2018" t="str">
            <v>-7.672107</v>
          </cell>
          <cell r="E2018" t="str">
            <v>7.913794</v>
          </cell>
          <cell r="F2018" t="str">
            <v>2G/3G/4G</v>
          </cell>
          <cell r="G2018" t="str">
            <v>HUAWEI</v>
          </cell>
          <cell r="H2018" t="str">
            <v>MOOV</v>
          </cell>
          <cell r="I2018" t="str">
            <v>DOUASSO</v>
          </cell>
          <cell r="J2018" t="str">
            <v>SIANHALA</v>
          </cell>
          <cell r="K2018" t="str">
            <v>KOUTO</v>
          </cell>
          <cell r="L2018" t="str">
            <v>BAGOUE</v>
          </cell>
          <cell r="M2018" t="str">
            <v>MAN</v>
          </cell>
          <cell r="N2018" t="str">
            <v>UPCOUNTRY</v>
          </cell>
        </row>
        <row r="2019">
          <cell r="B2019" t="str">
            <v>IM269</v>
          </cell>
          <cell r="C2019" t="str">
            <v>LAHOGORA</v>
          </cell>
          <cell r="D2019" t="str">
            <v>-4.752872</v>
          </cell>
          <cell r="E2019" t="str">
            <v>8.474487</v>
          </cell>
          <cell r="F2019" t="str">
            <v>2G/3G/4G</v>
          </cell>
          <cell r="G2019" t="str">
            <v>HUAWEI</v>
          </cell>
          <cell r="H2019" t="str">
            <v>MOOV</v>
          </cell>
          <cell r="I2019" t="str">
            <v>LAHOGORA</v>
          </cell>
          <cell r="J2019" t="str">
            <v>NIÉMÉNÉ</v>
          </cell>
          <cell r="K2019" t="str">
            <v>DABAKALA</v>
          </cell>
          <cell r="L2019" t="str">
            <v>HAMBOL</v>
          </cell>
          <cell r="M2019" t="str">
            <v>BOUAKE</v>
          </cell>
          <cell r="N2019" t="str">
            <v>UPCOUNTRY</v>
          </cell>
        </row>
        <row r="2020">
          <cell r="B2020" t="str">
            <v>IM031</v>
          </cell>
          <cell r="C2020" t="str">
            <v>KOR_NAGNININFOUM</v>
          </cell>
          <cell r="D2020" t="str">
            <v>-5.658070</v>
          </cell>
          <cell r="E2020" t="str">
            <v>9.508080</v>
          </cell>
          <cell r="F2020" t="str">
            <v>2G/3G/4G</v>
          </cell>
          <cell r="G2020" t="str">
            <v>HUAWEI</v>
          </cell>
          <cell r="H2020" t="str">
            <v>MOOV</v>
          </cell>
          <cell r="I2020" t="str">
            <v>KORHOGO</v>
          </cell>
          <cell r="J2020" t="str">
            <v>KORHOGO</v>
          </cell>
          <cell r="K2020" t="str">
            <v>KORHOGO</v>
          </cell>
          <cell r="L2020" t="str">
            <v>PORO</v>
          </cell>
          <cell r="M2020" t="str">
            <v>KORHOGO</v>
          </cell>
          <cell r="N2020" t="str">
            <v>UPCOUNTRY</v>
          </cell>
        </row>
        <row r="2021">
          <cell r="B2021" t="str">
            <v>IM355</v>
          </cell>
          <cell r="C2021" t="str">
            <v>ZOUMASSADOUGOU_RURAL</v>
          </cell>
          <cell r="D2021" t="str">
            <v>-7.507461</v>
          </cell>
          <cell r="E2021" t="str">
            <v>8.655107</v>
          </cell>
          <cell r="F2021" t="str">
            <v>2G/3G/4G</v>
          </cell>
          <cell r="G2021" t="str">
            <v>HUAWEI</v>
          </cell>
          <cell r="H2021" t="str">
            <v>MOOV</v>
          </cell>
          <cell r="I2021" t="str">
            <v>ZOUMASSADOUGOU</v>
          </cell>
          <cell r="J2021" t="str">
            <v>BOROTOU</v>
          </cell>
          <cell r="K2021" t="str">
            <v>KORO</v>
          </cell>
          <cell r="L2021" t="str">
            <v>BAFING</v>
          </cell>
          <cell r="M2021" t="str">
            <v>MAN</v>
          </cell>
          <cell r="N2021" t="str">
            <v>UPCOUNTRY</v>
          </cell>
        </row>
        <row r="2022">
          <cell r="B2022" t="str">
            <v>IM359</v>
          </cell>
          <cell r="C2022" t="str">
            <v>SEGUEDJAN_RURAL</v>
          </cell>
          <cell r="D2022" t="str">
            <v>-7.05899</v>
          </cell>
          <cell r="E2022" t="str">
            <v>8.86411</v>
          </cell>
          <cell r="F2022" t="str">
            <v>2G/3G/4G</v>
          </cell>
          <cell r="G2022" t="str">
            <v>HUAWEI</v>
          </cell>
          <cell r="H2022" t="str">
            <v>MOOV</v>
          </cell>
          <cell r="I2022" t="str">
            <v>SEGUEDJAN</v>
          </cell>
          <cell r="J2022" t="str">
            <v>DJIBROSSO</v>
          </cell>
          <cell r="K2022" t="str">
            <v>KANI</v>
          </cell>
          <cell r="L2022" t="str">
            <v>WORODOUGOU</v>
          </cell>
          <cell r="M2022" t="str">
            <v>DALOA</v>
          </cell>
          <cell r="N2022" t="str">
            <v>UPCOUNTRY</v>
          </cell>
        </row>
        <row r="2023">
          <cell r="B2023" t="str">
            <v>IM223</v>
          </cell>
          <cell r="C2023" t="str">
            <v>YOP_KOWEIT_NESTLE</v>
          </cell>
          <cell r="D2023" t="str">
            <v>-4.055945</v>
          </cell>
          <cell r="E2023" t="str">
            <v>5.315576</v>
          </cell>
          <cell r="F2023" t="str">
            <v>2G/3G/4G</v>
          </cell>
          <cell r="G2023" t="str">
            <v>ERICSSON</v>
          </cell>
          <cell r="H2023" t="str">
            <v>MOOV</v>
          </cell>
          <cell r="I2023" t="str">
            <v>YOPOUGON</v>
          </cell>
          <cell r="J2023" t="str">
            <v>ABIDJAN</v>
          </cell>
          <cell r="K2023" t="str">
            <v>ABIDJAN</v>
          </cell>
          <cell r="L2023" t="str">
            <v>ABIDJAN</v>
          </cell>
          <cell r="M2023" t="str">
            <v>YOPOUGON SABLE</v>
          </cell>
          <cell r="N2023" t="str">
            <v>ABIDJAN</v>
          </cell>
        </row>
        <row r="2024">
          <cell r="B2024" t="str">
            <v>IM013</v>
          </cell>
          <cell r="C2024" t="str">
            <v>MARC_SICOGI</v>
          </cell>
          <cell r="D2024" t="str">
            <v>-3.974950</v>
          </cell>
          <cell r="E2024" t="str">
            <v>5.298617</v>
          </cell>
          <cell r="F2024" t="str">
            <v>2G/3G/4G</v>
          </cell>
          <cell r="G2024" t="str">
            <v>ERICSSON</v>
          </cell>
          <cell r="H2024" t="str">
            <v>MOOV</v>
          </cell>
          <cell r="I2024" t="str">
            <v>MARCORY</v>
          </cell>
          <cell r="J2024" t="str">
            <v>ABIDJAN</v>
          </cell>
          <cell r="K2024" t="str">
            <v>ABIDJAN</v>
          </cell>
          <cell r="L2024" t="str">
            <v>ABIDJAN</v>
          </cell>
          <cell r="M2024" t="str">
            <v>MARCORY</v>
          </cell>
          <cell r="N2024" t="str">
            <v>ABIDJAN</v>
          </cell>
        </row>
        <row r="2025">
          <cell r="B2025" t="str">
            <v>IM219</v>
          </cell>
          <cell r="C2025" t="str">
            <v>YOP_GARE_LAGUNAIRE</v>
          </cell>
          <cell r="D2025" t="str">
            <v>-4.038069</v>
          </cell>
          <cell r="E2025" t="str">
            <v>5.308642</v>
          </cell>
          <cell r="F2025" t="str">
            <v>2G/3G/4G</v>
          </cell>
          <cell r="G2025" t="str">
            <v>ERICSSON</v>
          </cell>
          <cell r="H2025" t="str">
            <v>MOOV</v>
          </cell>
          <cell r="I2025" t="str">
            <v>YOPOUGON</v>
          </cell>
          <cell r="J2025" t="str">
            <v>ABIDJAN</v>
          </cell>
          <cell r="K2025" t="str">
            <v>ABIDJAN</v>
          </cell>
          <cell r="L2025" t="str">
            <v>ABIDJAN</v>
          </cell>
          <cell r="M2025" t="str">
            <v>YOPOUGON SABLE</v>
          </cell>
          <cell r="N2025" t="str">
            <v>ABIDJAN</v>
          </cell>
        </row>
        <row r="2026">
          <cell r="B2026" t="str">
            <v>IM311</v>
          </cell>
          <cell r="C2026" t="str">
            <v>AZAGUIE_BLIDA</v>
          </cell>
          <cell r="D2026" t="str">
            <v>-4.093426</v>
          </cell>
          <cell r="E2026" t="str">
            <v>5.527018</v>
          </cell>
          <cell r="F2026" t="str">
            <v>2G/3G/4G</v>
          </cell>
          <cell r="G2026" t="str">
            <v>ERICSSON</v>
          </cell>
          <cell r="H2026" t="str">
            <v>IHS</v>
          </cell>
          <cell r="I2026" t="str">
            <v>AZAGUIE</v>
          </cell>
          <cell r="J2026" t="str">
            <v>AZAGUIE</v>
          </cell>
          <cell r="K2026" t="str">
            <v>AGBOVILLE</v>
          </cell>
          <cell r="L2026" t="str">
            <v>AGNEBY-TIASSA</v>
          </cell>
          <cell r="M2026" t="str">
            <v>ABOBO</v>
          </cell>
          <cell r="N2026" t="str">
            <v>UPCOUNTRY</v>
          </cell>
        </row>
        <row r="2027">
          <cell r="B2027" t="str">
            <v>IM063</v>
          </cell>
          <cell r="C2027" t="str">
            <v>SINFRA_BONIKRO</v>
          </cell>
          <cell r="D2027" t="str">
            <v>-5.921144</v>
          </cell>
          <cell r="E2027" t="str">
            <v>6.600637</v>
          </cell>
          <cell r="F2027" t="str">
            <v>2G/3G/4G</v>
          </cell>
          <cell r="G2027" t="str">
            <v>HUAWEI</v>
          </cell>
          <cell r="H2027" t="str">
            <v>MOOV</v>
          </cell>
          <cell r="I2027" t="str">
            <v>SINFRA</v>
          </cell>
          <cell r="J2027" t="str">
            <v>SINFRA</v>
          </cell>
          <cell r="K2027" t="str">
            <v>SINFRA</v>
          </cell>
          <cell r="L2027" t="str">
            <v>MARAHOUE</v>
          </cell>
          <cell r="M2027" t="str">
            <v>GAGNOA</v>
          </cell>
          <cell r="N2027" t="str">
            <v>UPCOUNTRY</v>
          </cell>
        </row>
        <row r="2028">
          <cell r="B2028" t="str">
            <v>IM389</v>
          </cell>
          <cell r="C2028" t="str">
            <v>BOUKEBO_RURAL</v>
          </cell>
          <cell r="D2028" t="str">
            <v>-5.326576</v>
          </cell>
          <cell r="E2028" t="str">
            <v>7.755605</v>
          </cell>
          <cell r="F2028" t="str">
            <v>2G/3G/4G</v>
          </cell>
          <cell r="G2028" t="str">
            <v>HUAWEI</v>
          </cell>
          <cell r="H2028" t="str">
            <v>MOOV</v>
          </cell>
          <cell r="I2028" t="str">
            <v>BOUKEBO</v>
          </cell>
          <cell r="J2028" t="str">
            <v>LANGUIBONOU</v>
          </cell>
          <cell r="K2028" t="str">
            <v>BOTRO</v>
          </cell>
          <cell r="L2028" t="str">
            <v>GBEKE</v>
          </cell>
          <cell r="M2028" t="str">
            <v>BOUAKE</v>
          </cell>
          <cell r="N2028" t="str">
            <v>UPCOUNTRY</v>
          </cell>
        </row>
        <row r="2029">
          <cell r="B2029" t="str">
            <v>IM176</v>
          </cell>
          <cell r="C2029" t="str">
            <v>FIMBIASSO</v>
          </cell>
          <cell r="D2029" t="str">
            <v>-6.535805</v>
          </cell>
          <cell r="E2029" t="str">
            <v>10.306703</v>
          </cell>
          <cell r="F2029" t="str">
            <v>2G/3G/4G</v>
          </cell>
          <cell r="G2029" t="str">
            <v>HUAWEI</v>
          </cell>
          <cell r="H2029" t="str">
            <v>MOOV</v>
          </cell>
          <cell r="I2029" t="str">
            <v>FIMBIASSO</v>
          </cell>
          <cell r="J2029" t="str">
            <v>TENGRELA</v>
          </cell>
          <cell r="K2029" t="str">
            <v>TENGRELA</v>
          </cell>
          <cell r="L2029" t="str">
            <v>BAGOUE</v>
          </cell>
          <cell r="M2029" t="str">
            <v>KORHOGO</v>
          </cell>
          <cell r="N2029" t="str">
            <v>UPCOUNTRY</v>
          </cell>
        </row>
        <row r="2030">
          <cell r="B2030" t="str">
            <v>IM197</v>
          </cell>
          <cell r="C2030" t="str">
            <v>MAHALE</v>
          </cell>
          <cell r="D2030" t="str">
            <v>-6.570922</v>
          </cell>
          <cell r="E2030" t="str">
            <v>10.130298</v>
          </cell>
          <cell r="F2030" t="str">
            <v>2G/3G/4G</v>
          </cell>
          <cell r="G2030" t="str">
            <v>HUAWEI</v>
          </cell>
          <cell r="H2030" t="str">
            <v>MOOV</v>
          </cell>
          <cell r="I2030" t="str">
            <v>MAHALE</v>
          </cell>
          <cell r="J2030" t="str">
            <v>GBON</v>
          </cell>
          <cell r="K2030" t="str">
            <v>KOUTO</v>
          </cell>
          <cell r="L2030" t="str">
            <v>BAGOUE</v>
          </cell>
          <cell r="M2030" t="str">
            <v>KORHOGO</v>
          </cell>
          <cell r="N2030" t="str">
            <v>UPCOUNTRY</v>
          </cell>
        </row>
        <row r="2031">
          <cell r="B2031" t="str">
            <v>IM261</v>
          </cell>
          <cell r="C2031" t="str">
            <v>GOGOHOURI</v>
          </cell>
          <cell r="D2031" t="str">
            <v>-5.687705</v>
          </cell>
          <cell r="E2031" t="str">
            <v>6.108769</v>
          </cell>
          <cell r="F2031" t="str">
            <v>2G/3G/4G</v>
          </cell>
          <cell r="G2031" t="str">
            <v>ERICSSON</v>
          </cell>
          <cell r="H2031" t="str">
            <v>MOOV</v>
          </cell>
          <cell r="I2031" t="str">
            <v>GOGOHOURI</v>
          </cell>
          <cell r="J2031" t="str">
            <v>ZIKISSO</v>
          </cell>
          <cell r="K2031" t="str">
            <v>LAKOTA</v>
          </cell>
          <cell r="L2031" t="str">
            <v>LOH-DJIBOUA</v>
          </cell>
          <cell r="M2031" t="str">
            <v>DIVO</v>
          </cell>
          <cell r="N2031" t="str">
            <v>UPCOUNTRY</v>
          </cell>
        </row>
        <row r="2032">
          <cell r="B2032" t="str">
            <v>IM054</v>
          </cell>
          <cell r="C2032" t="str">
            <v>GAGNOA_GNOSSO</v>
          </cell>
          <cell r="D2032" t="str">
            <v>-5.917419</v>
          </cell>
          <cell r="E2032" t="str">
            <v>6.109431</v>
          </cell>
          <cell r="F2032" t="str">
            <v>2G/3G/4G</v>
          </cell>
          <cell r="G2032" t="str">
            <v>HUAWEI</v>
          </cell>
          <cell r="H2032" t="str">
            <v>MOOV</v>
          </cell>
          <cell r="I2032" t="str">
            <v>GAGNOA</v>
          </cell>
          <cell r="J2032" t="str">
            <v>GAGNOA</v>
          </cell>
          <cell r="K2032" t="str">
            <v>GAGNOA</v>
          </cell>
          <cell r="L2032" t="str">
            <v>GOH</v>
          </cell>
          <cell r="M2032" t="str">
            <v>GAGNOA</v>
          </cell>
          <cell r="N2032" t="str">
            <v>UPCOUNTRY</v>
          </cell>
        </row>
        <row r="2033">
          <cell r="B2033" t="str">
            <v>ET687</v>
          </cell>
          <cell r="C2033" t="str">
            <v>DIEDROU</v>
          </cell>
          <cell r="D2033" t="str">
            <v>-7.778138</v>
          </cell>
          <cell r="E2033" t="str">
            <v>6.991266</v>
          </cell>
          <cell r="F2033" t="str">
            <v>2G/3G/4G</v>
          </cell>
          <cell r="G2033" t="str">
            <v>HUAWEI</v>
          </cell>
          <cell r="H2033" t="str">
            <v>MOOV</v>
          </cell>
          <cell r="I2033" t="str">
            <v>DIEDROU</v>
          </cell>
          <cell r="J2033" t="str">
            <v>ZOU</v>
          </cell>
          <cell r="K2033" t="str">
            <v>BANGOLO</v>
          </cell>
          <cell r="L2033" t="str">
            <v>GUEMON</v>
          </cell>
          <cell r="M2033" t="str">
            <v>MAN</v>
          </cell>
          <cell r="N2033" t="str">
            <v>UPCOUNTRY</v>
          </cell>
        </row>
        <row r="2034">
          <cell r="B2034" t="str">
            <v>IM375</v>
          </cell>
          <cell r="C2034" t="str">
            <v>AKOUEDO _PALMERAIE</v>
          </cell>
          <cell r="D2034" t="str">
            <v>-3.934533</v>
          </cell>
          <cell r="E2034" t="str">
            <v>5.387785</v>
          </cell>
          <cell r="F2034" t="str">
            <v>2G/3G/4G</v>
          </cell>
          <cell r="G2034" t="str">
            <v>ERICSSON</v>
          </cell>
          <cell r="H2034" t="str">
            <v>MOOV</v>
          </cell>
          <cell r="I2034" t="str">
            <v>COCODY</v>
          </cell>
          <cell r="J2034" t="str">
            <v>ABIDJAN</v>
          </cell>
          <cell r="K2034" t="str">
            <v>ABIDJAN</v>
          </cell>
          <cell r="L2034" t="str">
            <v>ABIDJAN</v>
          </cell>
          <cell r="M2034" t="str">
            <v>COCODY CENTRE</v>
          </cell>
          <cell r="N2034" t="str">
            <v>ABIDJAN</v>
          </cell>
        </row>
        <row r="2035">
          <cell r="B2035" t="str">
            <v>IM360</v>
          </cell>
          <cell r="C2035" t="str">
            <v>KAZIOMON_RURAL</v>
          </cell>
          <cell r="D2035" t="str">
            <v>-6.116064</v>
          </cell>
          <cell r="E2035" t="str">
            <v>8.944505</v>
          </cell>
          <cell r="F2035" t="str">
            <v>2G/3G/4G</v>
          </cell>
          <cell r="G2035" t="str">
            <v>HUAWEI</v>
          </cell>
          <cell r="H2035" t="str">
            <v>MOOV</v>
          </cell>
          <cell r="I2035" t="str">
            <v>KAZIOMON</v>
          </cell>
          <cell r="J2035" t="str">
            <v>KANOROBA</v>
          </cell>
          <cell r="K2035" t="str">
            <v>KORHOGO</v>
          </cell>
          <cell r="L2035" t="str">
            <v>PORO</v>
          </cell>
          <cell r="M2035" t="str">
            <v>KORHOGO</v>
          </cell>
          <cell r="N2035" t="str">
            <v>UPCOUNTRY</v>
          </cell>
        </row>
        <row r="2036">
          <cell r="B2036" t="str">
            <v>IM366</v>
          </cell>
          <cell r="C2036" t="str">
            <v>BATOGO_RURAL</v>
          </cell>
          <cell r="D2036" t="str">
            <v>-6.700497</v>
          </cell>
          <cell r="E2036" t="str">
            <v>8.757365</v>
          </cell>
          <cell r="F2036" t="str">
            <v>2G/3G/4G</v>
          </cell>
          <cell r="G2036" t="str">
            <v>HUAWEI</v>
          </cell>
          <cell r="H2036" t="str">
            <v>MOOV</v>
          </cell>
          <cell r="I2036" t="str">
            <v>BATOGO</v>
          </cell>
          <cell r="J2036" t="str">
            <v>FADJADOUGOU</v>
          </cell>
          <cell r="K2036" t="str">
            <v>KANI</v>
          </cell>
          <cell r="L2036" t="str">
            <v>WORODOUGOU</v>
          </cell>
          <cell r="M2036" t="str">
            <v>DALOA</v>
          </cell>
          <cell r="N2036" t="str">
            <v>UPCOUNTRY</v>
          </cell>
        </row>
        <row r="2037">
          <cell r="B2037" t="str">
            <v>IM386</v>
          </cell>
          <cell r="C2037" t="str">
            <v>NIORNIGUE 1_RURAL</v>
          </cell>
          <cell r="D2037" t="str">
            <v>-5.222577</v>
          </cell>
          <cell r="E2037" t="str">
            <v>9.990133</v>
          </cell>
          <cell r="F2037" t="str">
            <v>2G/3G/4G</v>
          </cell>
          <cell r="G2037" t="str">
            <v>HUAWEI</v>
          </cell>
          <cell r="H2037" t="str">
            <v>MOOV</v>
          </cell>
          <cell r="I2037" t="str">
            <v>NIORNIGUE 1</v>
          </cell>
          <cell r="J2037" t="str">
            <v>OUANGOLODOUGOU</v>
          </cell>
          <cell r="K2037" t="str">
            <v>OUANGOLODOUGOU</v>
          </cell>
          <cell r="L2037" t="str">
            <v>TCHOLOGO</v>
          </cell>
          <cell r="M2037" t="str">
            <v>KORHOGO</v>
          </cell>
          <cell r="N2037" t="str">
            <v>UPCOUNTRY</v>
          </cell>
        </row>
        <row r="2038">
          <cell r="B2038" t="str">
            <v>IM190</v>
          </cell>
          <cell r="C2038" t="str">
            <v>SIDANA_RURAL</v>
          </cell>
          <cell r="D2038" t="str">
            <v>-4.748782</v>
          </cell>
          <cell r="E2038" t="str">
            <v>9.103692</v>
          </cell>
          <cell r="F2038" t="str">
            <v>2G/3G/4G</v>
          </cell>
          <cell r="G2038" t="str">
            <v>HUAWEI</v>
          </cell>
          <cell r="H2038" t="str">
            <v>MOOV</v>
          </cell>
          <cell r="I2038" t="str">
            <v>SIDANA</v>
          </cell>
          <cell r="J2038" t="str">
            <v>NAFANA</v>
          </cell>
          <cell r="K2038" t="str">
            <v>KONG</v>
          </cell>
          <cell r="L2038" t="str">
            <v>TCHOLOGO</v>
          </cell>
          <cell r="M2038" t="str">
            <v>KORHOGO</v>
          </cell>
          <cell r="N2038" t="str">
            <v>UPCOUNTRY</v>
          </cell>
        </row>
        <row r="2039">
          <cell r="B2039" t="str">
            <v>IM391</v>
          </cell>
          <cell r="C2039" t="str">
            <v>SEPIKAHA_RURAL</v>
          </cell>
          <cell r="D2039" t="str">
            <v>-5.041815</v>
          </cell>
          <cell r="E2039" t="str">
            <v>8.91266</v>
          </cell>
          <cell r="F2039" t="str">
            <v>2G/3G/4G</v>
          </cell>
          <cell r="G2039" t="str">
            <v>HUAWEI</v>
          </cell>
          <cell r="H2039" t="str">
            <v>MOOV</v>
          </cell>
          <cell r="I2039" t="str">
            <v>SEPIKAHA</v>
          </cell>
          <cell r="J2039" t="str">
            <v>NIEDEKAHA</v>
          </cell>
          <cell r="K2039" t="str">
            <v>NIAKARAMADOUGOU</v>
          </cell>
          <cell r="L2039" t="str">
            <v>HAMBOL</v>
          </cell>
          <cell r="M2039" t="str">
            <v>KORHOGO</v>
          </cell>
          <cell r="N2039" t="str">
            <v>UPCOUNTRY</v>
          </cell>
        </row>
        <row r="2040">
          <cell r="B2040" t="str">
            <v>IM397</v>
          </cell>
          <cell r="C2040" t="str">
            <v>ABIGUI_RURAL</v>
          </cell>
          <cell r="D2040" t="str">
            <v>-4.832194</v>
          </cell>
          <cell r="E2040" t="str">
            <v>6.698389</v>
          </cell>
          <cell r="F2040" t="str">
            <v>2G/3G/4G</v>
          </cell>
          <cell r="G2040" t="str">
            <v>HUAWEI</v>
          </cell>
          <cell r="H2040" t="str">
            <v>MOOV</v>
          </cell>
          <cell r="I2040" t="str">
            <v>ABIGUI</v>
          </cell>
          <cell r="J2040" t="str">
            <v>ABIGUI</v>
          </cell>
          <cell r="K2040" t="str">
            <v>DIMBOKRO</v>
          </cell>
          <cell r="L2040" t="str">
            <v>N'ZI</v>
          </cell>
          <cell r="M2040" t="str">
            <v>YAMOUSSOUKRO</v>
          </cell>
          <cell r="N2040" t="str">
            <v>UPCOUNTRY</v>
          </cell>
        </row>
        <row r="2041">
          <cell r="B2041" t="str">
            <v>IM399</v>
          </cell>
          <cell r="C2041" t="str">
            <v>KONAN-KOKOREKRO_RURAL</v>
          </cell>
          <cell r="D2041" t="str">
            <v>-5.070134</v>
          </cell>
          <cell r="E2041" t="str">
            <v>6.700169</v>
          </cell>
          <cell r="F2041" t="str">
            <v>2G/3G/4G</v>
          </cell>
          <cell r="G2041" t="str">
            <v>HUAWEI</v>
          </cell>
          <cell r="H2041" t="str">
            <v>MOOV</v>
          </cell>
          <cell r="I2041" t="str">
            <v>KONAN KOKOREKRO</v>
          </cell>
          <cell r="J2041" t="str">
            <v>ANGONDA</v>
          </cell>
          <cell r="K2041" t="str">
            <v>TOUMODI</v>
          </cell>
          <cell r="L2041" t="str">
            <v>BELIER</v>
          </cell>
          <cell r="M2041" t="str">
            <v>YAMOUSSOUKRO</v>
          </cell>
          <cell r="N2041" t="str">
            <v>UPCOUNTRY</v>
          </cell>
        </row>
        <row r="2042">
          <cell r="B2042" t="str">
            <v>IM033</v>
          </cell>
          <cell r="C2042" t="str">
            <v>MAN_CAFOP</v>
          </cell>
          <cell r="D2042" t="str">
            <v>-7.556490</v>
          </cell>
          <cell r="E2042" t="str">
            <v>7.395767</v>
          </cell>
          <cell r="F2042" t="str">
            <v>2G/3G/4G</v>
          </cell>
          <cell r="G2042" t="str">
            <v>HUAWEI</v>
          </cell>
          <cell r="H2042" t="str">
            <v>MOOV</v>
          </cell>
          <cell r="I2042" t="str">
            <v>MAN</v>
          </cell>
          <cell r="J2042" t="str">
            <v>MAN</v>
          </cell>
          <cell r="K2042" t="str">
            <v>MAN</v>
          </cell>
          <cell r="L2042" t="str">
            <v>TONKPI</v>
          </cell>
          <cell r="M2042" t="str">
            <v>MAN</v>
          </cell>
          <cell r="N2042" t="str">
            <v>UPCOUNTRY</v>
          </cell>
        </row>
        <row r="2043">
          <cell r="B2043" t="str">
            <v>IM193</v>
          </cell>
          <cell r="C2043" t="str">
            <v>ZIGOFLA_RURAL</v>
          </cell>
          <cell r="D2043" t="str">
            <v>-5.967759</v>
          </cell>
          <cell r="E2043" t="str">
            <v>7.555442</v>
          </cell>
          <cell r="F2043" t="str">
            <v>2G/3G/4G</v>
          </cell>
          <cell r="G2043" t="str">
            <v>HUAWEI</v>
          </cell>
          <cell r="H2043" t="str">
            <v>MOOV</v>
          </cell>
          <cell r="I2043" t="str">
            <v>ZIGOFLA</v>
          </cell>
          <cell r="J2043" t="str">
            <v>ZUENOULA</v>
          </cell>
          <cell r="K2043" t="str">
            <v>ZUENOULA</v>
          </cell>
          <cell r="L2043" t="str">
            <v>MARAHOUE</v>
          </cell>
          <cell r="M2043" t="str">
            <v>YAMOUSSOUKRO</v>
          </cell>
          <cell r="N2043" t="str">
            <v>UPCOUNTRY</v>
          </cell>
        </row>
        <row r="2044">
          <cell r="B2044" t="str">
            <v>IM415</v>
          </cell>
          <cell r="C2044" t="str">
            <v>ODIAHE_RURAL</v>
          </cell>
          <cell r="D2044" t="str">
            <v>-5.375197</v>
          </cell>
          <cell r="E2044" t="str">
            <v>7.468485</v>
          </cell>
          <cell r="F2044" t="str">
            <v>2G/3G/4G</v>
          </cell>
          <cell r="G2044" t="str">
            <v>HUAWEI</v>
          </cell>
          <cell r="H2044" t="str">
            <v>MOOV</v>
          </cell>
          <cell r="I2044" t="str">
            <v>ODIAHE</v>
          </cell>
          <cell r="J2044" t="str">
            <v>SAKASSOU</v>
          </cell>
          <cell r="K2044" t="str">
            <v>SAKASSOU</v>
          </cell>
          <cell r="L2044" t="str">
            <v>GBEKE</v>
          </cell>
          <cell r="M2044" t="str">
            <v>BOUAKE</v>
          </cell>
          <cell r="N2044" t="str">
            <v>UPCOUNTRY</v>
          </cell>
        </row>
        <row r="2045">
          <cell r="B2045" t="str">
            <v>IM385</v>
          </cell>
          <cell r="C2045" t="str">
            <v>KOKAHA_RURAL</v>
          </cell>
          <cell r="D2045" t="str">
            <v>-5.737275</v>
          </cell>
          <cell r="E2045" t="str">
            <v>9.636797</v>
          </cell>
          <cell r="F2045" t="str">
            <v>2G/3G/4G</v>
          </cell>
          <cell r="G2045" t="str">
            <v>HUAWEI</v>
          </cell>
          <cell r="H2045" t="str">
            <v>MOOV</v>
          </cell>
          <cell r="I2045" t="str">
            <v>KOKAHA</v>
          </cell>
          <cell r="J2045" t="str">
            <v>NAPIEOLEDOUGOU</v>
          </cell>
          <cell r="K2045" t="str">
            <v>KORHOGO</v>
          </cell>
          <cell r="L2045" t="str">
            <v>PORO</v>
          </cell>
          <cell r="M2045" t="str">
            <v>KORHOGO</v>
          </cell>
          <cell r="N2045" t="str">
            <v>UPCOUNTRY</v>
          </cell>
        </row>
        <row r="2046">
          <cell r="B2046" t="str">
            <v>IM367</v>
          </cell>
          <cell r="C2046" t="str">
            <v>TCHIGBELA_RURAL</v>
          </cell>
          <cell r="D2046" t="str">
            <v>-7.689122</v>
          </cell>
          <cell r="E2046" t="str">
            <v>9.143277</v>
          </cell>
          <cell r="F2046" t="str">
            <v>2G/3G/4G</v>
          </cell>
          <cell r="G2046" t="str">
            <v>HUAWEI</v>
          </cell>
          <cell r="H2046" t="str">
            <v>MOOV</v>
          </cell>
          <cell r="I2046" t="str">
            <v>TCHIGBELA</v>
          </cell>
          <cell r="J2046" t="str">
            <v>BAKO</v>
          </cell>
          <cell r="K2046" t="str">
            <v>ODIENNE</v>
          </cell>
          <cell r="L2046" t="str">
            <v>KABADOUGOU</v>
          </cell>
          <cell r="M2046" t="str">
            <v>MAN</v>
          </cell>
          <cell r="N2046" t="str">
            <v>UPCOUNTRY</v>
          </cell>
        </row>
        <row r="2047">
          <cell r="B2047" t="str">
            <v>IM060</v>
          </cell>
          <cell r="C2047" t="str">
            <v>KOUTO_MARCOUSIS</v>
          </cell>
          <cell r="D2047" t="str">
            <v>-6.396830</v>
          </cell>
          <cell r="E2047" t="str">
            <v>9.890440</v>
          </cell>
          <cell r="F2047" t="str">
            <v>2G/3G/4G</v>
          </cell>
          <cell r="G2047" t="str">
            <v>HUAWEI</v>
          </cell>
          <cell r="H2047" t="str">
            <v>MOOV</v>
          </cell>
          <cell r="I2047" t="str">
            <v>KOUTO</v>
          </cell>
          <cell r="J2047" t="str">
            <v>KOUTO</v>
          </cell>
          <cell r="K2047" t="str">
            <v>KOUTO</v>
          </cell>
          <cell r="L2047" t="str">
            <v>BAGOUE</v>
          </cell>
          <cell r="M2047" t="str">
            <v>KORHOGO</v>
          </cell>
          <cell r="N2047" t="str">
            <v>UPCOUNTRY</v>
          </cell>
        </row>
        <row r="2048">
          <cell r="B2048" t="str">
            <v>IM264</v>
          </cell>
          <cell r="C2048" t="str">
            <v>KOKOLILIE</v>
          </cell>
          <cell r="D2048" t="str">
            <v>-5.785505</v>
          </cell>
          <cell r="E2048" t="str">
            <v>5.581482</v>
          </cell>
          <cell r="F2048" t="str">
            <v>2G/3G/4G</v>
          </cell>
          <cell r="G2048" t="str">
            <v>ERICSSON</v>
          </cell>
          <cell r="H2048" t="str">
            <v>MOOV</v>
          </cell>
          <cell r="I2048" t="str">
            <v>KOKOLILIE</v>
          </cell>
          <cell r="J2048" t="str">
            <v>NIAMBÉZARIA</v>
          </cell>
          <cell r="K2048" t="str">
            <v>LAKOTA</v>
          </cell>
          <cell r="L2048" t="str">
            <v>LOH-DJIBOUA</v>
          </cell>
          <cell r="M2048" t="str">
            <v>DIVO</v>
          </cell>
          <cell r="N2048" t="str">
            <v>UPCOUNTRY</v>
          </cell>
        </row>
        <row r="2049">
          <cell r="B2049" t="str">
            <v>IM040</v>
          </cell>
          <cell r="C2049" t="str">
            <v>ABENG_ADOUKOFFIKRO</v>
          </cell>
          <cell r="D2049" t="str">
            <v>-3.458928</v>
          </cell>
          <cell r="E2049" t="str">
            <v>6.697108</v>
          </cell>
          <cell r="F2049" t="str">
            <v>2G/3G/4G</v>
          </cell>
          <cell r="G2049" t="str">
            <v>ERICSSON</v>
          </cell>
          <cell r="H2049" t="str">
            <v>MOOV</v>
          </cell>
          <cell r="I2049" t="str">
            <v>ABENGOUROU</v>
          </cell>
          <cell r="J2049" t="str">
            <v>ABENGOUROU</v>
          </cell>
          <cell r="K2049" t="str">
            <v>ABENGOUROU</v>
          </cell>
          <cell r="L2049" t="str">
            <v>INDENIE-DJUABLIN</v>
          </cell>
          <cell r="M2049" t="str">
            <v>ABENGOUROU</v>
          </cell>
          <cell r="N2049" t="str">
            <v>UPCOUNTRY</v>
          </cell>
        </row>
        <row r="2050">
          <cell r="B2050" t="str">
            <v>IM262</v>
          </cell>
          <cell r="C2050" t="str">
            <v>GBALLEU</v>
          </cell>
          <cell r="D2050" t="str">
            <v>-8.262258</v>
          </cell>
          <cell r="E2050" t="str">
            <v>7.194357</v>
          </cell>
          <cell r="F2050" t="str">
            <v>2G/3G/4G</v>
          </cell>
          <cell r="G2050" t="str">
            <v>HUAWEI</v>
          </cell>
          <cell r="H2050" t="str">
            <v>MOOV</v>
          </cell>
          <cell r="I2050" t="str">
            <v>GBALLEU</v>
          </cell>
          <cell r="J2050" t="str">
            <v>DANANE</v>
          </cell>
          <cell r="K2050" t="str">
            <v>DANANE</v>
          </cell>
          <cell r="L2050" t="str">
            <v>TONKPI</v>
          </cell>
          <cell r="M2050" t="str">
            <v>MAN</v>
          </cell>
          <cell r="N2050" t="str">
            <v>UPCOUNTRY</v>
          </cell>
        </row>
        <row r="2051">
          <cell r="B2051" t="str">
            <v>IM409</v>
          </cell>
          <cell r="C2051" t="str">
            <v>KEITADOUGOU_RURAL</v>
          </cell>
          <cell r="D2051" t="str">
            <v>-7.254055</v>
          </cell>
          <cell r="E2051" t="str">
            <v>6.405159</v>
          </cell>
          <cell r="F2051" t="str">
            <v>2G/3G/4G</v>
          </cell>
          <cell r="G2051" t="str">
            <v>HUAWEI</v>
          </cell>
          <cell r="H2051" t="str">
            <v>MOOV</v>
          </cell>
          <cell r="I2051" t="str">
            <v>KEITADOUGOU</v>
          </cell>
          <cell r="J2051" t="str">
            <v>GBAPLEU</v>
          </cell>
          <cell r="K2051" t="str">
            <v>DUEKOUE</v>
          </cell>
          <cell r="L2051" t="str">
            <v>GUEMON</v>
          </cell>
          <cell r="M2051" t="str">
            <v>MAN</v>
          </cell>
          <cell r="N2051" t="str">
            <v>UPCOUNTRY</v>
          </cell>
        </row>
        <row r="2052">
          <cell r="B2052" t="str">
            <v>IM194</v>
          </cell>
          <cell r="C2052" t="str">
            <v>ZEDE-KAN</v>
          </cell>
          <cell r="D2052" t="str">
            <v>-5.569196</v>
          </cell>
          <cell r="E2052" t="str">
            <v>7.631355</v>
          </cell>
          <cell r="F2052" t="str">
            <v>2G/3G/4G</v>
          </cell>
          <cell r="G2052" t="str">
            <v>HUAWEI</v>
          </cell>
          <cell r="H2052" t="str">
            <v>MOOV</v>
          </cell>
          <cell r="I2052" t="str">
            <v>ZEDE-KAN</v>
          </cell>
          <cell r="J2052" t="str">
            <v>BEOUMI</v>
          </cell>
          <cell r="K2052" t="str">
            <v>BEOUMI</v>
          </cell>
          <cell r="L2052" t="str">
            <v>GBEKE</v>
          </cell>
          <cell r="M2052" t="str">
            <v>BOUAKE</v>
          </cell>
          <cell r="N2052" t="str">
            <v>UPCOUNTRY</v>
          </cell>
        </row>
        <row r="2053">
          <cell r="B2053" t="str">
            <v>IM406</v>
          </cell>
          <cell r="C2053" t="str">
            <v>PLIKE-TOTOKRO_RURAL</v>
          </cell>
          <cell r="D2053" t="str">
            <v>-5.2022</v>
          </cell>
          <cell r="E2053" t="str">
            <v>7.933519</v>
          </cell>
          <cell r="F2053" t="str">
            <v>2G/3G/4G</v>
          </cell>
          <cell r="G2053" t="str">
            <v>HUAWEI</v>
          </cell>
          <cell r="H2053" t="str">
            <v>MOOV</v>
          </cell>
          <cell r="I2053" t="str">
            <v>PLIKE-TOTOKRO</v>
          </cell>
          <cell r="J2053" t="str">
            <v>KROFOINSOU</v>
          </cell>
          <cell r="K2053" t="str">
            <v>BOTRO</v>
          </cell>
          <cell r="L2053" t="str">
            <v>GBEKE</v>
          </cell>
          <cell r="M2053" t="str">
            <v>BOUAKE</v>
          </cell>
          <cell r="N2053" t="str">
            <v>UPCOUNTRY</v>
          </cell>
        </row>
        <row r="2054">
          <cell r="B2054" t="str">
            <v>IM186</v>
          </cell>
          <cell r="C2054" t="str">
            <v>WARGA</v>
          </cell>
          <cell r="D2054" t="str">
            <v>-5.580032</v>
          </cell>
          <cell r="E2054" t="str">
            <v>10.402077</v>
          </cell>
          <cell r="F2054" t="str">
            <v>2G/3G/4G</v>
          </cell>
          <cell r="G2054" t="str">
            <v>HUAWEI</v>
          </cell>
          <cell r="H2054" t="str">
            <v>MOOV</v>
          </cell>
          <cell r="I2054" t="str">
            <v>WARGA</v>
          </cell>
          <cell r="J2054" t="str">
            <v>TOUMOUKORO</v>
          </cell>
          <cell r="K2054" t="str">
            <v>OUANGOLODOUGOU</v>
          </cell>
          <cell r="L2054" t="str">
            <v>TCHOLOGO</v>
          </cell>
          <cell r="M2054" t="str">
            <v>KORHOGO</v>
          </cell>
          <cell r="N2054" t="str">
            <v>UPCOUNTRY</v>
          </cell>
        </row>
        <row r="2055">
          <cell r="B2055" t="str">
            <v>ET906</v>
          </cell>
          <cell r="C2055" t="str">
            <v>FEREDOUGOU</v>
          </cell>
          <cell r="D2055" t="str">
            <v>-7.735099</v>
          </cell>
          <cell r="E2055" t="str">
            <v>9.838271</v>
          </cell>
          <cell r="F2055" t="str">
            <v>2G/3G/4G</v>
          </cell>
          <cell r="G2055" t="str">
            <v>HUAWEI</v>
          </cell>
          <cell r="H2055" t="str">
            <v>MOOV</v>
          </cell>
          <cell r="I2055" t="str">
            <v>FEREDOUGOU</v>
          </cell>
          <cell r="J2055" t="str">
            <v>KIMBIRILA-SUD</v>
          </cell>
          <cell r="K2055" t="str">
            <v>SAMATIGUILA</v>
          </cell>
          <cell r="L2055" t="str">
            <v>KABADOUGOU</v>
          </cell>
          <cell r="M2055" t="str">
            <v>MAN</v>
          </cell>
          <cell r="N2055" t="str">
            <v>UPCOUNTRY</v>
          </cell>
        </row>
        <row r="2056">
          <cell r="B2056" t="str">
            <v>IM195</v>
          </cell>
          <cell r="C2056" t="str">
            <v>FENI</v>
          </cell>
          <cell r="D2056" t="str">
            <v>-6.575742</v>
          </cell>
          <cell r="E2056" t="str">
            <v>10.535569</v>
          </cell>
          <cell r="F2056" t="str">
            <v>2G/3G/4G</v>
          </cell>
          <cell r="G2056" t="str">
            <v>HUAWEI</v>
          </cell>
          <cell r="H2056" t="str">
            <v>MOOV</v>
          </cell>
          <cell r="I2056" t="str">
            <v>FENI</v>
          </cell>
          <cell r="J2056" t="str">
            <v>TENGRELA</v>
          </cell>
          <cell r="K2056" t="str">
            <v>TENGRELA</v>
          </cell>
          <cell r="L2056" t="str">
            <v>BAGOUE</v>
          </cell>
          <cell r="M2056" t="str">
            <v>KORHOGO</v>
          </cell>
          <cell r="N2056" t="str">
            <v>UPCOUNTRY</v>
          </cell>
        </row>
        <row r="2057">
          <cell r="B2057" t="str">
            <v>IM352</v>
          </cell>
          <cell r="C2057" t="str">
            <v>LONZO_RURAL</v>
          </cell>
          <cell r="D2057" t="str">
            <v>-5.387572</v>
          </cell>
          <cell r="E2057" t="str">
            <v>10.033802</v>
          </cell>
          <cell r="F2057" t="str">
            <v>2G/3G/4G</v>
          </cell>
          <cell r="G2057" t="str">
            <v>HUAWEI</v>
          </cell>
          <cell r="H2057" t="str">
            <v>MOOV</v>
          </cell>
          <cell r="I2057" t="str">
            <v>LONZO</v>
          </cell>
          <cell r="J2057" t="str">
            <v>DIAWALA</v>
          </cell>
          <cell r="K2057" t="str">
            <v>OUANGOLODOUGOU</v>
          </cell>
          <cell r="L2057" t="str">
            <v>TCHOLOGO</v>
          </cell>
          <cell r="M2057" t="str">
            <v>KORHOGO</v>
          </cell>
          <cell r="N2057" t="str">
            <v>UPCOUNTRY</v>
          </cell>
        </row>
        <row r="2058">
          <cell r="B2058" t="str">
            <v>IM407</v>
          </cell>
          <cell r="C2058" t="str">
            <v>OUAOUASSI_RURAL</v>
          </cell>
          <cell r="D2058" t="str">
            <v>-5.551389</v>
          </cell>
          <cell r="E2058" t="str">
            <v>7.712605</v>
          </cell>
          <cell r="F2058" t="str">
            <v>2G/3G/4G</v>
          </cell>
          <cell r="G2058" t="str">
            <v>HUAWEI</v>
          </cell>
          <cell r="H2058" t="str">
            <v>MOOV</v>
          </cell>
          <cell r="I2058" t="str">
            <v>OUAOUASSI</v>
          </cell>
          <cell r="J2058" t="str">
            <v>BEOUMI</v>
          </cell>
          <cell r="K2058" t="str">
            <v>BEOUMI</v>
          </cell>
          <cell r="L2058" t="str">
            <v>GBEKE</v>
          </cell>
          <cell r="M2058" t="str">
            <v>BOUAKE</v>
          </cell>
          <cell r="N2058" t="str">
            <v>UPCOUNTRY</v>
          </cell>
        </row>
        <row r="2059">
          <cell r="B2059" t="str">
            <v>IM338</v>
          </cell>
          <cell r="C2059" t="str">
            <v>AMANIKRO_RURAL</v>
          </cell>
          <cell r="D2059" t="str">
            <v>-4.057779</v>
          </cell>
          <cell r="E2059" t="str">
            <v>7.370714</v>
          </cell>
          <cell r="F2059" t="str">
            <v>2G/3G/4G</v>
          </cell>
          <cell r="G2059" t="str">
            <v>HUAWEI</v>
          </cell>
          <cell r="H2059" t="str">
            <v>MOOV</v>
          </cell>
          <cell r="I2059" t="str">
            <v>AMANIKRO</v>
          </cell>
          <cell r="J2059" t="str">
            <v>M'BAHIAKRO</v>
          </cell>
          <cell r="K2059" t="str">
            <v>M'BAHIAKRO</v>
          </cell>
          <cell r="L2059" t="str">
            <v>IFFOU</v>
          </cell>
          <cell r="M2059" t="str">
            <v>YAMOUSSOUKRO</v>
          </cell>
          <cell r="N2059" t="str">
            <v>UPCOUNTRY</v>
          </cell>
        </row>
        <row r="2060">
          <cell r="B2060" t="str">
            <v>IM331</v>
          </cell>
          <cell r="C2060" t="str">
            <v>DJATTOKRO_RURAL</v>
          </cell>
          <cell r="D2060" t="str">
            <v>-6.422665</v>
          </cell>
          <cell r="E2060" t="str">
            <v>6.571118</v>
          </cell>
          <cell r="F2060" t="str">
            <v>2G/3G/4G</v>
          </cell>
          <cell r="G2060" t="str">
            <v>HUAWEI</v>
          </cell>
          <cell r="H2060" t="str">
            <v>MOOV</v>
          </cell>
          <cell r="I2060" t="str">
            <v>DJATTOKRO</v>
          </cell>
          <cell r="J2060" t="str">
            <v>SAIOUA</v>
          </cell>
          <cell r="K2060" t="str">
            <v>ISSIA</v>
          </cell>
          <cell r="L2060" t="str">
            <v>HAUT-SASSANDRA</v>
          </cell>
          <cell r="M2060" t="str">
            <v>DALOA</v>
          </cell>
          <cell r="N2060" t="str">
            <v>UPCOUNTRY</v>
          </cell>
        </row>
        <row r="2061">
          <cell r="B2061" t="str">
            <v>IM394</v>
          </cell>
          <cell r="C2061" t="str">
            <v>BONGOFLA_RURAL</v>
          </cell>
          <cell r="D2061" t="str">
            <v>-5.786925</v>
          </cell>
          <cell r="E2061" t="str">
            <v>7.543835</v>
          </cell>
          <cell r="F2061" t="str">
            <v>2G/3G/4G</v>
          </cell>
          <cell r="G2061" t="str">
            <v>HUAWEI</v>
          </cell>
          <cell r="H2061" t="str">
            <v>MOOV</v>
          </cell>
          <cell r="I2061" t="str">
            <v>BONGOFLA</v>
          </cell>
          <cell r="J2061" t="str">
            <v>GOHITAFLA</v>
          </cell>
          <cell r="K2061" t="str">
            <v>ZUENOULA</v>
          </cell>
          <cell r="L2061" t="str">
            <v>MARAHOUE</v>
          </cell>
          <cell r="M2061" t="str">
            <v>YAMOUSSOUKRO</v>
          </cell>
          <cell r="N2061" t="str">
            <v>UPCOUNTRY</v>
          </cell>
        </row>
        <row r="2062">
          <cell r="B2062" t="str">
            <v>IM390</v>
          </cell>
          <cell r="C2062" t="str">
            <v>KROFOINSOU_RURAL</v>
          </cell>
          <cell r="D2062" t="str">
            <v>-5.242167</v>
          </cell>
          <cell r="E2062" t="str">
            <v>7.942533</v>
          </cell>
          <cell r="F2062" t="str">
            <v>2G/3G/4G</v>
          </cell>
          <cell r="G2062" t="str">
            <v>HUAWEI</v>
          </cell>
          <cell r="H2062" t="str">
            <v>MOOV</v>
          </cell>
          <cell r="I2062" t="str">
            <v>KROFOINSOU</v>
          </cell>
          <cell r="J2062" t="str">
            <v>KROFOINSOU</v>
          </cell>
          <cell r="K2062" t="str">
            <v>BOTRO</v>
          </cell>
          <cell r="L2062" t="str">
            <v>GBEKE</v>
          </cell>
          <cell r="M2062" t="str">
            <v>BOUAKE</v>
          </cell>
          <cell r="N2062" t="str">
            <v>UPCOUNTRY</v>
          </cell>
        </row>
        <row r="2063">
          <cell r="B2063" t="str">
            <v>ET891</v>
          </cell>
          <cell r="C2063" t="str">
            <v>DIACOHOU-SUD_RURAL</v>
          </cell>
          <cell r="D2063" t="str">
            <v>-5.870484</v>
          </cell>
          <cell r="E2063" t="str">
            <v>6.789849</v>
          </cell>
          <cell r="F2063" t="str">
            <v>2G/3G/4G</v>
          </cell>
          <cell r="G2063" t="str">
            <v>HUAWEI</v>
          </cell>
          <cell r="H2063" t="str">
            <v>MOOV</v>
          </cell>
          <cell r="I2063" t="str">
            <v>DIACOHOU-SUD</v>
          </cell>
          <cell r="J2063" t="str">
            <v>N'DOUFFOUKANKRO</v>
          </cell>
          <cell r="K2063" t="str">
            <v>BOUAFLE</v>
          </cell>
          <cell r="L2063" t="str">
            <v>MARAHOUE</v>
          </cell>
          <cell r="M2063" t="str">
            <v>YAMOUSSOUKRO</v>
          </cell>
          <cell r="N2063" t="str">
            <v>UPCOUNTRY</v>
          </cell>
        </row>
        <row r="2064">
          <cell r="B2064" t="str">
            <v>IM036</v>
          </cell>
          <cell r="C2064" t="str">
            <v>SEGUELA_RTE_BOLO</v>
          </cell>
          <cell r="D2064" t="str">
            <v>-6.690858</v>
          </cell>
          <cell r="E2064" t="str">
            <v>7.964715</v>
          </cell>
          <cell r="F2064" t="str">
            <v>2G/3G/4G</v>
          </cell>
          <cell r="G2064" t="str">
            <v>HUAWEI</v>
          </cell>
          <cell r="H2064" t="str">
            <v>MOOV</v>
          </cell>
          <cell r="I2064" t="str">
            <v>SEGUELA</v>
          </cell>
          <cell r="J2064" t="str">
            <v>SEGUELA</v>
          </cell>
          <cell r="K2064" t="str">
            <v>SEGUELA</v>
          </cell>
          <cell r="L2064" t="str">
            <v>WORODOUGOU</v>
          </cell>
          <cell r="M2064" t="str">
            <v>DALOA</v>
          </cell>
          <cell r="N2064" t="str">
            <v>UPCOUNTRY</v>
          </cell>
        </row>
        <row r="2065">
          <cell r="B2065" t="str">
            <v>IM043</v>
          </cell>
          <cell r="C2065" t="str">
            <v>SEGUELA_RTE_KANI</v>
          </cell>
          <cell r="D2065" t="str">
            <v>-6.657802</v>
          </cell>
          <cell r="E2065" t="str">
            <v>8.008053</v>
          </cell>
          <cell r="F2065" t="str">
            <v>2G/3G/4G</v>
          </cell>
          <cell r="G2065" t="str">
            <v>HUAWEI</v>
          </cell>
          <cell r="H2065" t="str">
            <v>MOOV</v>
          </cell>
          <cell r="I2065" t="str">
            <v>SEGUELA</v>
          </cell>
          <cell r="J2065" t="str">
            <v>SEGUELA</v>
          </cell>
          <cell r="K2065" t="str">
            <v>SEGUELA</v>
          </cell>
          <cell r="L2065" t="str">
            <v>WORODOUGOU</v>
          </cell>
          <cell r="M2065" t="str">
            <v>DALOA</v>
          </cell>
          <cell r="N2065" t="str">
            <v>UPCOUNTRY</v>
          </cell>
        </row>
        <row r="2066">
          <cell r="B2066" t="str">
            <v>IM402</v>
          </cell>
          <cell r="C2066" t="str">
            <v>DAHOPA-OUREPA_RURAL</v>
          </cell>
          <cell r="D2066" t="str">
            <v>-5.848408</v>
          </cell>
          <cell r="E2066" t="str">
            <v>6.156372</v>
          </cell>
          <cell r="F2066" t="str">
            <v>2G/3G/4G</v>
          </cell>
          <cell r="G2066" t="str">
            <v>HUAWEI</v>
          </cell>
          <cell r="H2066" t="str">
            <v>MOOV</v>
          </cell>
          <cell r="I2066" t="str">
            <v>DAHOPA-OUREPA</v>
          </cell>
          <cell r="J2066" t="str">
            <v>GAGNOA</v>
          </cell>
          <cell r="K2066" t="str">
            <v>GAGNOA</v>
          </cell>
          <cell r="L2066" t="str">
            <v>GOH</v>
          </cell>
          <cell r="M2066" t="str">
            <v>GAGNOA</v>
          </cell>
          <cell r="N2066" t="str">
            <v>UPCOUNTRY</v>
          </cell>
        </row>
        <row r="2067">
          <cell r="B2067" t="str">
            <v>IM085</v>
          </cell>
          <cell r="C2067" t="str">
            <v>GOUEHIZRA_RURAL</v>
          </cell>
          <cell r="D2067" t="str">
            <v>-6.252694</v>
          </cell>
          <cell r="E2067" t="str">
            <v>7.262951</v>
          </cell>
          <cell r="F2067" t="str">
            <v>2G/3G/4G</v>
          </cell>
          <cell r="G2067" t="str">
            <v>HUAWEI</v>
          </cell>
          <cell r="H2067" t="str">
            <v>MOOV</v>
          </cell>
          <cell r="I2067" t="str">
            <v>GOUEHIZRA</v>
          </cell>
          <cell r="J2067" t="str">
            <v>KANZRA</v>
          </cell>
          <cell r="K2067" t="str">
            <v>ZUENOULA</v>
          </cell>
          <cell r="L2067" t="str">
            <v>MARAHOUE</v>
          </cell>
          <cell r="M2067" t="str">
            <v>DALOA</v>
          </cell>
          <cell r="N2067" t="str">
            <v>UPCOUNTRY</v>
          </cell>
        </row>
        <row r="2068">
          <cell r="B2068" t="str">
            <v>IM202</v>
          </cell>
          <cell r="C2068" t="str">
            <v>SAKRE</v>
          </cell>
          <cell r="D2068" t="str">
            <v>-7.388538</v>
          </cell>
          <cell r="E2068" t="str">
            <v>5.681527</v>
          </cell>
          <cell r="F2068" t="str">
            <v>2G/3G/4G</v>
          </cell>
          <cell r="G2068" t="str">
            <v>HUAWEI</v>
          </cell>
          <cell r="H2068" t="str">
            <v>MOOV</v>
          </cell>
          <cell r="I2068" t="str">
            <v>SAKRE</v>
          </cell>
          <cell r="J2068" t="str">
            <v>TAI</v>
          </cell>
          <cell r="K2068" t="str">
            <v>TAI</v>
          </cell>
          <cell r="L2068" t="str">
            <v>CAVALLY</v>
          </cell>
          <cell r="M2068" t="str">
            <v>MAN</v>
          </cell>
          <cell r="N2068" t="str">
            <v>UPCOUNTRY</v>
          </cell>
        </row>
        <row r="2069">
          <cell r="B2069" t="str">
            <v>IM393</v>
          </cell>
          <cell r="C2069" t="str">
            <v>BAMBALOUMA_RURAL</v>
          </cell>
          <cell r="D2069" t="str">
            <v>-6.001531</v>
          </cell>
          <cell r="E2069" t="str">
            <v>7.851998</v>
          </cell>
          <cell r="F2069" t="str">
            <v>2G/3G/4G</v>
          </cell>
          <cell r="G2069" t="str">
            <v>HUAWEI</v>
          </cell>
          <cell r="H2069" t="str">
            <v>MOOV</v>
          </cell>
          <cell r="I2069" t="str">
            <v>BAMBALOUMA</v>
          </cell>
          <cell r="J2069" t="str">
            <v>KOUNAHIRI</v>
          </cell>
          <cell r="K2069" t="str">
            <v>KOUNAHIRI</v>
          </cell>
          <cell r="L2069" t="str">
            <v>BERE</v>
          </cell>
          <cell r="M2069" t="str">
            <v>BOUAKE</v>
          </cell>
          <cell r="N2069" t="str">
            <v>UPCOUNTRY</v>
          </cell>
        </row>
        <row r="2070">
          <cell r="B2070" t="str">
            <v>IM332</v>
          </cell>
          <cell r="C2070" t="str">
            <v>IKI_RURAL</v>
          </cell>
          <cell r="D2070" t="str">
            <v>-5.144816</v>
          </cell>
          <cell r="E2070" t="str">
            <v>7.636317</v>
          </cell>
          <cell r="F2070" t="str">
            <v>2G/3G/4G</v>
          </cell>
          <cell r="G2070" t="str">
            <v>HUAWEI</v>
          </cell>
          <cell r="H2070" t="str">
            <v>MOOV</v>
          </cell>
          <cell r="I2070" t="str">
            <v>IKI</v>
          </cell>
          <cell r="J2070" t="str">
            <v>BOUAKÉ</v>
          </cell>
          <cell r="K2070" t="str">
            <v>BOUAKE</v>
          </cell>
          <cell r="L2070" t="str">
            <v>GBEKE</v>
          </cell>
          <cell r="M2070" t="str">
            <v>BOUAKE</v>
          </cell>
          <cell r="N2070" t="str">
            <v>UPCOUNTRY</v>
          </cell>
        </row>
        <row r="2071">
          <cell r="B2071" t="str">
            <v>IM068</v>
          </cell>
          <cell r="C2071" t="str">
            <v>DABAKALA_MOBILE</v>
          </cell>
          <cell r="D2071" t="str">
            <v>-4.419310</v>
          </cell>
          <cell r="E2071" t="str">
            <v>8.369370</v>
          </cell>
          <cell r="F2071" t="str">
            <v>2G/3G/4G</v>
          </cell>
          <cell r="G2071" t="str">
            <v>HUAWEI</v>
          </cell>
          <cell r="H2071" t="str">
            <v>MOOV</v>
          </cell>
          <cell r="I2071" t="str">
            <v>DABAKALA</v>
          </cell>
          <cell r="J2071" t="str">
            <v>DABAKALA</v>
          </cell>
          <cell r="K2071" t="str">
            <v>DABAKALA</v>
          </cell>
          <cell r="L2071" t="str">
            <v>HAMBOL</v>
          </cell>
          <cell r="M2071" t="str">
            <v>BOUAKE</v>
          </cell>
          <cell r="N2071" t="str">
            <v>UPCOUNTRY</v>
          </cell>
        </row>
        <row r="2072">
          <cell r="B2072" t="str">
            <v>IM072</v>
          </cell>
          <cell r="C2072" t="str">
            <v>FOUMBOLO_RURAL</v>
          </cell>
          <cell r="D2072" t="str">
            <v>-4.650589</v>
          </cell>
          <cell r="E2072" t="str">
            <v>8.633589</v>
          </cell>
          <cell r="F2072" t="str">
            <v>2G/3G/4G</v>
          </cell>
          <cell r="G2072" t="str">
            <v>HUAWEI</v>
          </cell>
          <cell r="H2072" t="str">
            <v>MOOV</v>
          </cell>
          <cell r="I2072" t="str">
            <v>FOUMBOLO</v>
          </cell>
          <cell r="J2072" t="str">
            <v>FOUMBOLO</v>
          </cell>
          <cell r="K2072" t="str">
            <v>DABAKALA</v>
          </cell>
          <cell r="L2072" t="str">
            <v>HAMBOL</v>
          </cell>
          <cell r="M2072" t="str">
            <v>BOUAKE</v>
          </cell>
          <cell r="N2072" t="str">
            <v>UPCOUNTRY</v>
          </cell>
        </row>
        <row r="2073">
          <cell r="B2073" t="str">
            <v>IM073</v>
          </cell>
          <cell r="C2073" t="str">
            <v>NIEMENE_RURAL</v>
          </cell>
          <cell r="D2073" t="str">
            <v>-4.68723</v>
          </cell>
          <cell r="E2073" t="str">
            <v>8.44792</v>
          </cell>
          <cell r="F2073" t="str">
            <v>2G/3G/4G</v>
          </cell>
          <cell r="G2073" t="str">
            <v>HUAWEI</v>
          </cell>
          <cell r="H2073" t="str">
            <v>MOOV</v>
          </cell>
          <cell r="I2073" t="str">
            <v>NIEMENE</v>
          </cell>
          <cell r="J2073" t="str">
            <v>NIÉMÉNÉ</v>
          </cell>
          <cell r="K2073" t="str">
            <v>DABAKALA</v>
          </cell>
          <cell r="L2073" t="str">
            <v>HAMBOL</v>
          </cell>
          <cell r="M2073" t="str">
            <v>BOUAKE</v>
          </cell>
          <cell r="N2073" t="str">
            <v>UPCOUNTRY</v>
          </cell>
        </row>
        <row r="2074">
          <cell r="B2074" t="str">
            <v>IM398</v>
          </cell>
          <cell r="C2074" t="str">
            <v>ALLUIMINANKRO_RURAL</v>
          </cell>
          <cell r="D2074" t="str">
            <v>-5.072265</v>
          </cell>
          <cell r="E2074" t="str">
            <v>6.391045</v>
          </cell>
          <cell r="F2074" t="str">
            <v>2G/3G/4G</v>
          </cell>
          <cell r="G2074" t="str">
            <v>HUAWEI</v>
          </cell>
          <cell r="H2074" t="str">
            <v>MOOV</v>
          </cell>
          <cell r="I2074" t="str">
            <v>ALLUIMINANKRO</v>
          </cell>
          <cell r="J2074" t="str">
            <v>DJEKANOU</v>
          </cell>
          <cell r="K2074" t="str">
            <v>DJEKANOU</v>
          </cell>
          <cell r="L2074" t="str">
            <v>BELIER</v>
          </cell>
          <cell r="M2074" t="str">
            <v>YAMOUSSOUKRO</v>
          </cell>
          <cell r="N2074" t="str">
            <v>UPCOUNTRY</v>
          </cell>
        </row>
        <row r="2075">
          <cell r="B2075" t="str">
            <v>IM403</v>
          </cell>
          <cell r="C2075" t="str">
            <v>GOKRA_RURAL</v>
          </cell>
          <cell r="D2075" t="str">
            <v>-6.582577</v>
          </cell>
          <cell r="E2075" t="str">
            <v>6.680162</v>
          </cell>
          <cell r="F2075" t="str">
            <v>2G/3G/4G</v>
          </cell>
          <cell r="G2075" t="str">
            <v>HUAWEI</v>
          </cell>
          <cell r="H2075" t="str">
            <v>MOOV</v>
          </cell>
          <cell r="I2075" t="str">
            <v>GOKRA</v>
          </cell>
          <cell r="J2075" t="str">
            <v>GBOGUHE</v>
          </cell>
          <cell r="K2075" t="str">
            <v>DALOA</v>
          </cell>
          <cell r="L2075" t="str">
            <v>HAUT-SASSANDRA</v>
          </cell>
          <cell r="M2075" t="str">
            <v>DALOA</v>
          </cell>
          <cell r="N2075" t="str">
            <v>UPCOUNTRY</v>
          </cell>
        </row>
        <row r="2076">
          <cell r="B2076" t="str">
            <v>IM182</v>
          </cell>
          <cell r="C2076" t="str">
            <v>OUANDARAMAN-BAMBARASSO_RURAL</v>
          </cell>
          <cell r="D2076" t="str">
            <v>-4.398671</v>
          </cell>
          <cell r="E2076" t="str">
            <v>8.643152</v>
          </cell>
          <cell r="F2076" t="str">
            <v>2G/3G/4G</v>
          </cell>
          <cell r="G2076" t="str">
            <v>HUAWEI</v>
          </cell>
          <cell r="H2076" t="str">
            <v>MOOV</v>
          </cell>
          <cell r="I2076" t="str">
            <v>OUANDARAMAN BAMBARASSO</v>
          </cell>
          <cell r="J2076" t="str">
            <v>DABAKALA</v>
          </cell>
          <cell r="K2076" t="str">
            <v>DABAKALA</v>
          </cell>
          <cell r="L2076" t="str">
            <v>HAMBOL</v>
          </cell>
          <cell r="M2076" t="str">
            <v>BOUAKE</v>
          </cell>
          <cell r="N2076" t="str">
            <v>UPCOUNTRY</v>
          </cell>
        </row>
        <row r="2077">
          <cell r="B2077" t="str">
            <v>IM408</v>
          </cell>
          <cell r="C2077" t="str">
            <v>DIETIGUISSO_RURAL</v>
          </cell>
          <cell r="D2077" t="str">
            <v>-5.768061</v>
          </cell>
          <cell r="E2077" t="str">
            <v>8.379779</v>
          </cell>
          <cell r="F2077" t="str">
            <v>2G/3G/4G</v>
          </cell>
          <cell r="G2077" t="str">
            <v>HUAWEI</v>
          </cell>
          <cell r="H2077" t="str">
            <v>MOOV</v>
          </cell>
          <cell r="I2077" t="str">
            <v>DIETIGUISSO</v>
          </cell>
          <cell r="J2077" t="str">
            <v>BOUANDOUGOU</v>
          </cell>
          <cell r="K2077" t="str">
            <v>MANKONO</v>
          </cell>
          <cell r="L2077" t="str">
            <v>BERE</v>
          </cell>
          <cell r="M2077" t="str">
            <v>BOUAKE</v>
          </cell>
          <cell r="N2077" t="str">
            <v>UPCOUNTRY</v>
          </cell>
        </row>
        <row r="2078">
          <cell r="B2078" t="str">
            <v>IM388</v>
          </cell>
          <cell r="C2078" t="str">
            <v>AKADIAFOUE_RURAL</v>
          </cell>
          <cell r="D2078" t="str">
            <v>-5.523967</v>
          </cell>
          <cell r="E2078" t="str">
            <v>7.609175</v>
          </cell>
          <cell r="F2078" t="str">
            <v>2G/3G/4G</v>
          </cell>
          <cell r="G2078" t="str">
            <v>HUAWEI</v>
          </cell>
          <cell r="H2078" t="str">
            <v>MOOV</v>
          </cell>
          <cell r="I2078" t="str">
            <v>AKADIAFOUE</v>
          </cell>
          <cell r="J2078" t="str">
            <v>BÉOUMI</v>
          </cell>
          <cell r="K2078" t="str">
            <v>BÉOUMI</v>
          </cell>
          <cell r="L2078" t="str">
            <v>GBEKE</v>
          </cell>
          <cell r="M2078" t="str">
            <v>BOUAKE</v>
          </cell>
          <cell r="N2078" t="str">
            <v>UPCOUNTRY</v>
          </cell>
        </row>
        <row r="2079">
          <cell r="B2079" t="str">
            <v>IM023</v>
          </cell>
          <cell r="C2079" t="str">
            <v>BKE_RTE_KATIOLA</v>
          </cell>
          <cell r="D2079" t="str">
            <v>-5.042810</v>
          </cell>
          <cell r="E2079" t="str">
            <v>7.770690</v>
          </cell>
          <cell r="F2079" t="str">
            <v>2G/3G/4G</v>
          </cell>
          <cell r="G2079" t="str">
            <v>HUAWEI</v>
          </cell>
          <cell r="H2079" t="str">
            <v>MOOV</v>
          </cell>
          <cell r="I2079" t="str">
            <v>BOUAKE</v>
          </cell>
          <cell r="J2079" t="str">
            <v>BOUAKE</v>
          </cell>
          <cell r="K2079" t="str">
            <v>BOUAKE</v>
          </cell>
          <cell r="L2079" t="str">
            <v>GBEKE</v>
          </cell>
          <cell r="M2079" t="str">
            <v>BOUAKE</v>
          </cell>
          <cell r="N2079" t="str">
            <v>UPCOUNTRY</v>
          </cell>
        </row>
        <row r="2080">
          <cell r="B2080" t="str">
            <v>IM259</v>
          </cell>
          <cell r="C2080" t="str">
            <v>DESSENE</v>
          </cell>
          <cell r="D2080" t="str">
            <v>-7.641374</v>
          </cell>
          <cell r="E2080" t="str">
            <v>8.586859</v>
          </cell>
          <cell r="F2080" t="str">
            <v>2G/3G/4G</v>
          </cell>
          <cell r="G2080" t="str">
            <v>HUAWEI</v>
          </cell>
          <cell r="H2080" t="str">
            <v>MOOV</v>
          </cell>
          <cell r="I2080" t="str">
            <v>DESSENE</v>
          </cell>
          <cell r="J2080" t="str">
            <v>NIOKOSSO</v>
          </cell>
          <cell r="K2080" t="str">
            <v>KORO</v>
          </cell>
          <cell r="L2080" t="str">
            <v>BAFING</v>
          </cell>
          <cell r="M2080" t="str">
            <v>MAN</v>
          </cell>
          <cell r="N2080" t="str">
            <v>UPCOUNTRY</v>
          </cell>
        </row>
        <row r="2081">
          <cell r="B2081" t="str">
            <v>IM292</v>
          </cell>
          <cell r="C2081" t="str">
            <v>TOUBA-TRON</v>
          </cell>
          <cell r="D2081" t="str">
            <v>-7.389510</v>
          </cell>
          <cell r="E2081" t="str">
            <v>9.725974</v>
          </cell>
          <cell r="F2081" t="str">
            <v>2G/3G/4G</v>
          </cell>
          <cell r="G2081" t="str">
            <v>HUAWEI</v>
          </cell>
          <cell r="H2081" t="str">
            <v>MOOV</v>
          </cell>
          <cell r="I2081" t="str">
            <v>TOUBA-TRON</v>
          </cell>
          <cell r="J2081" t="str">
            <v>KANIASSO</v>
          </cell>
          <cell r="K2081" t="str">
            <v>KANIASSO</v>
          </cell>
          <cell r="L2081" t="str">
            <v>FOLON</v>
          </cell>
          <cell r="M2081" t="str">
            <v>MAN</v>
          </cell>
          <cell r="N2081" t="str">
            <v>UPCOUNTRY</v>
          </cell>
        </row>
        <row r="2082">
          <cell r="B2082" t="str">
            <v>IM270</v>
          </cell>
          <cell r="C2082" t="str">
            <v>TIENVOLOKAHA</v>
          </cell>
          <cell r="D2082" t="str">
            <v>-6.388710</v>
          </cell>
          <cell r="E2082" t="str">
            <v>8.763865</v>
          </cell>
          <cell r="F2082" t="str">
            <v>2G/3G/4G</v>
          </cell>
          <cell r="G2082" t="str">
            <v>HUAWEI</v>
          </cell>
          <cell r="H2082" t="str">
            <v>MOOV</v>
          </cell>
          <cell r="I2082" t="str">
            <v>TIENVOLOKAHA</v>
          </cell>
          <cell r="J2082" t="str">
            <v>DIANRA-VILLAGE</v>
          </cell>
          <cell r="K2082" t="str">
            <v>DIANRA</v>
          </cell>
          <cell r="L2082" t="str">
            <v>BERE</v>
          </cell>
          <cell r="M2082" t="str">
            <v>KORHOGO</v>
          </cell>
          <cell r="N2082" t="str">
            <v>UPCOUNTRY</v>
          </cell>
        </row>
        <row r="2083">
          <cell r="B2083" t="str">
            <v>IM170</v>
          </cell>
          <cell r="C2083" t="str">
            <v>TIEGBA_RURAL</v>
          </cell>
          <cell r="D2083" t="str">
            <v>-5.656558</v>
          </cell>
          <cell r="E2083" t="str">
            <v>6.231551</v>
          </cell>
          <cell r="F2083" t="str">
            <v>2G/3G/4G</v>
          </cell>
          <cell r="G2083" t="str">
            <v>HUAWEI</v>
          </cell>
          <cell r="H2083" t="str">
            <v>MOOV</v>
          </cell>
          <cell r="I2083" t="str">
            <v>TIEGBA</v>
          </cell>
          <cell r="J2083" t="str">
            <v>DIEGONEFLA</v>
          </cell>
          <cell r="K2083" t="str">
            <v>OUME</v>
          </cell>
          <cell r="L2083" t="str">
            <v>GOH</v>
          </cell>
          <cell r="M2083" t="str">
            <v>GAGNOA</v>
          </cell>
          <cell r="N2083" t="str">
            <v>UPCOUNTRY</v>
          </cell>
        </row>
        <row r="2084">
          <cell r="B2084" t="str">
            <v>IM382</v>
          </cell>
          <cell r="C2084" t="str">
            <v>GUIAMAPLEU_RURAL</v>
          </cell>
          <cell r="D2084" t="str">
            <v>-8.33306</v>
          </cell>
          <cell r="E2084" t="str">
            <v>6.656712</v>
          </cell>
          <cell r="F2084" t="str">
            <v>2G/3G/4G</v>
          </cell>
          <cell r="G2084" t="str">
            <v>HUAWEI</v>
          </cell>
          <cell r="H2084" t="str">
            <v>MOOV</v>
          </cell>
          <cell r="I2084" t="str">
            <v>GUIAMAPLEU</v>
          </cell>
          <cell r="J2084" t="str">
            <v>GOULALEU</v>
          </cell>
          <cell r="K2084" t="str">
            <v>ZOUAN-HOUNIEN</v>
          </cell>
          <cell r="L2084" t="str">
            <v>TONKPI</v>
          </cell>
          <cell r="M2084" t="str">
            <v>MAN</v>
          </cell>
          <cell r="N2084" t="str">
            <v>UPCOUNTRY</v>
          </cell>
        </row>
        <row r="2085">
          <cell r="B2085" t="str">
            <v>IM260</v>
          </cell>
          <cell r="C2085" t="str">
            <v>BANGALIDOUGOU</v>
          </cell>
          <cell r="D2085" t="str">
            <v>-6.040677</v>
          </cell>
          <cell r="E2085" t="str">
            <v>5.631001</v>
          </cell>
          <cell r="F2085" t="str">
            <v>2G/3G/4G</v>
          </cell>
          <cell r="G2085" t="str">
            <v>HUAWEI</v>
          </cell>
          <cell r="H2085" t="str">
            <v>MOOV</v>
          </cell>
          <cell r="I2085" t="str">
            <v>BANGALIDOUGOU</v>
          </cell>
          <cell r="J2085" t="str">
            <v>GUÉYO</v>
          </cell>
          <cell r="K2085" t="str">
            <v>GUÉYO</v>
          </cell>
          <cell r="L2085" t="str">
            <v>NAWA</v>
          </cell>
          <cell r="M2085" t="str">
            <v>SOUBRE</v>
          </cell>
          <cell r="N2085" t="str">
            <v>UPCOUNTRY</v>
          </cell>
        </row>
        <row r="2086">
          <cell r="B2086" t="str">
            <v>IM413</v>
          </cell>
          <cell r="C2086" t="str">
            <v>TINDIKAN-DIOULASSO_RURAL</v>
          </cell>
          <cell r="D2086" t="str">
            <v>-4.383344</v>
          </cell>
          <cell r="E2086" t="str">
            <v>8.336584</v>
          </cell>
          <cell r="F2086" t="str">
            <v>2G/3G/4G</v>
          </cell>
          <cell r="G2086" t="str">
            <v>HUAWEI</v>
          </cell>
          <cell r="H2086" t="str">
            <v>MOOV</v>
          </cell>
          <cell r="I2086" t="str">
            <v>TINDIKAN-DIOULASSO</v>
          </cell>
          <cell r="J2086" t="str">
            <v>DABAKALA</v>
          </cell>
          <cell r="K2086" t="str">
            <v>DABAKALA</v>
          </cell>
          <cell r="L2086" t="str">
            <v>HAMBOL</v>
          </cell>
          <cell r="M2086" t="str">
            <v>BOUAKE</v>
          </cell>
          <cell r="N2086" t="str">
            <v>UPCOUNTRY</v>
          </cell>
        </row>
        <row r="2087">
          <cell r="B2087" t="str">
            <v>IM414</v>
          </cell>
          <cell r="C2087" t="str">
            <v>KENGUEMOUGOUSSO_RURAL</v>
          </cell>
          <cell r="D2087" t="str">
            <v>-4.411297</v>
          </cell>
          <cell r="E2087" t="str">
            <v>8.31068</v>
          </cell>
          <cell r="F2087" t="str">
            <v>2G/3G/4G</v>
          </cell>
          <cell r="G2087" t="str">
            <v>HUAWEI</v>
          </cell>
          <cell r="H2087" t="str">
            <v>MOOV</v>
          </cell>
          <cell r="I2087" t="str">
            <v>KENGUEMOUGOUSSO</v>
          </cell>
          <cell r="J2087" t="str">
            <v>DABAKALA</v>
          </cell>
          <cell r="K2087" t="str">
            <v>DABAKALA</v>
          </cell>
          <cell r="L2087" t="str">
            <v>HAMBOL</v>
          </cell>
          <cell r="M2087" t="str">
            <v>BOUAKE</v>
          </cell>
          <cell r="N2087" t="str">
            <v>UPCOUNTRY</v>
          </cell>
        </row>
        <row r="2088">
          <cell r="B2088" t="str">
            <v>IM263</v>
          </cell>
          <cell r="C2088" t="str">
            <v>MARIKRO</v>
          </cell>
          <cell r="D2088" t="str">
            <v>-6.736930</v>
          </cell>
          <cell r="E2088" t="str">
            <v>4.718857</v>
          </cell>
          <cell r="F2088" t="str">
            <v>2G/3G/4G</v>
          </cell>
          <cell r="G2088" t="str">
            <v>ERICSSON</v>
          </cell>
          <cell r="H2088" t="str">
            <v>MOOV</v>
          </cell>
          <cell r="I2088" t="str">
            <v>MARIKRO</v>
          </cell>
          <cell r="J2088" t="str">
            <v>SAN-PEDRO</v>
          </cell>
          <cell r="K2088" t="str">
            <v>SAN-PEDRO</v>
          </cell>
          <cell r="L2088" t="str">
            <v>SAN-PEDRO</v>
          </cell>
          <cell r="M2088" t="str">
            <v>SAN-PEDRO</v>
          </cell>
          <cell r="N2088" t="str">
            <v>UPCOUNTRY</v>
          </cell>
        </row>
        <row r="2089">
          <cell r="B2089" t="str">
            <v>IM412</v>
          </cell>
          <cell r="C2089" t="str">
            <v>FARAKORO-BADA_RURAL</v>
          </cell>
          <cell r="D2089" t="str">
            <v>-5.901162</v>
          </cell>
          <cell r="E2089" t="str">
            <v>8.795133</v>
          </cell>
          <cell r="F2089" t="str">
            <v>2G/3G/4G</v>
          </cell>
          <cell r="G2089" t="str">
            <v>HUAWEI</v>
          </cell>
          <cell r="H2089" t="str">
            <v>MOOV</v>
          </cell>
          <cell r="I2089" t="str">
            <v>FARAKORO-BADA</v>
          </cell>
          <cell r="J2089" t="str">
            <v>BORON</v>
          </cell>
          <cell r="K2089" t="str">
            <v>DIKODOUGOU</v>
          </cell>
          <cell r="L2089" t="str">
            <v>PORO</v>
          </cell>
          <cell r="M2089" t="str">
            <v>KORHOGO</v>
          </cell>
          <cell r="N2089" t="str">
            <v>UPCOUNTRY</v>
          </cell>
        </row>
        <row r="2090">
          <cell r="B2090" t="str">
            <v>ET831</v>
          </cell>
          <cell r="C2090" t="str">
            <v>DEMA_RURAL</v>
          </cell>
          <cell r="D2090" t="str">
            <v>-6.482951</v>
          </cell>
          <cell r="E2090" t="str">
            <v>7.310799</v>
          </cell>
          <cell r="F2090" t="str">
            <v>2G/3G/4G</v>
          </cell>
          <cell r="G2090" t="str">
            <v>HUAWEI</v>
          </cell>
          <cell r="H2090" t="str">
            <v>MOOV</v>
          </cell>
          <cell r="I2090" t="str">
            <v>DEMA</v>
          </cell>
          <cell r="J2090" t="str">
            <v>VAVOUA</v>
          </cell>
          <cell r="K2090" t="str">
            <v>VAVOUA</v>
          </cell>
          <cell r="L2090" t="str">
            <v>HAUT-SASSANDRA</v>
          </cell>
          <cell r="M2090" t="str">
            <v>DALOA</v>
          </cell>
          <cell r="N2090" t="str">
            <v>UPCOUNTRY</v>
          </cell>
        </row>
        <row r="2091">
          <cell r="B2091" t="str">
            <v>IM247</v>
          </cell>
          <cell r="C2091" t="str">
            <v>BONDOUKOU_LEJF</v>
          </cell>
          <cell r="D2091" t="str">
            <v>-2.812914</v>
          </cell>
          <cell r="E2091" t="str">
            <v>8.067853</v>
          </cell>
          <cell r="F2091" t="str">
            <v>2G/3G/4G</v>
          </cell>
          <cell r="G2091" t="str">
            <v>ERICSSON</v>
          </cell>
          <cell r="H2091" t="str">
            <v>MOOV</v>
          </cell>
          <cell r="I2091" t="str">
            <v>BONDOUKOU</v>
          </cell>
          <cell r="J2091" t="str">
            <v>BONDOUKOU</v>
          </cell>
          <cell r="K2091" t="str">
            <v>BONDOUKOU</v>
          </cell>
          <cell r="L2091" t="str">
            <v>GONTOUGO</v>
          </cell>
          <cell r="M2091" t="str">
            <v>ABENGOUROU</v>
          </cell>
          <cell r="N2091" t="str">
            <v>UPCOUNTRY</v>
          </cell>
        </row>
        <row r="2092">
          <cell r="B2092" t="str">
            <v>IM401</v>
          </cell>
          <cell r="C2092" t="str">
            <v>BANTIFLA_RURAL</v>
          </cell>
          <cell r="D2092" t="str">
            <v>-6.111272</v>
          </cell>
          <cell r="E2092" t="str">
            <v>6.748096</v>
          </cell>
          <cell r="F2092" t="str">
            <v>2G/3G/4G</v>
          </cell>
          <cell r="G2092" t="str">
            <v>HUAWEI</v>
          </cell>
          <cell r="H2092" t="str">
            <v>MOOV</v>
          </cell>
          <cell r="I2092" t="str">
            <v>BANTIFLA</v>
          </cell>
          <cell r="J2092" t="str">
            <v>ZAGUIETA</v>
          </cell>
          <cell r="K2092" t="str">
            <v>BOUAFLE</v>
          </cell>
          <cell r="L2092" t="str">
            <v>MARAHOUE</v>
          </cell>
          <cell r="M2092" t="str">
            <v>DALOA</v>
          </cell>
          <cell r="N2092" t="str">
            <v>UPCOUNTRY</v>
          </cell>
        </row>
        <row r="2093">
          <cell r="B2093" t="str">
            <v>IM416</v>
          </cell>
          <cell r="C2093" t="str">
            <v>KONANMOUKRO_RURAL</v>
          </cell>
          <cell r="D2093" t="str">
            <v>-5.405887</v>
          </cell>
          <cell r="E2093" t="str">
            <v>7.504877</v>
          </cell>
          <cell r="F2093" t="str">
            <v>2G/3G/4G</v>
          </cell>
          <cell r="G2093" t="str">
            <v>HUAWEI</v>
          </cell>
          <cell r="H2093" t="str">
            <v>MOOV</v>
          </cell>
          <cell r="I2093" t="str">
            <v>KONANMOUKRO</v>
          </cell>
          <cell r="J2093" t="str">
            <v>SAKASSOU</v>
          </cell>
          <cell r="K2093" t="str">
            <v>SAKASSOU</v>
          </cell>
          <cell r="L2093" t="str">
            <v>GBEKE</v>
          </cell>
          <cell r="M2093" t="str">
            <v>BOUAKE</v>
          </cell>
          <cell r="N2093" t="str">
            <v>UPCOUNTRY</v>
          </cell>
        </row>
        <row r="2094">
          <cell r="B2094" t="str">
            <v>IM432</v>
          </cell>
          <cell r="C2094" t="str">
            <v>HALLANIKRO_RURAL</v>
          </cell>
          <cell r="D2094" t="str">
            <v>-5.63994</v>
          </cell>
          <cell r="E2094" t="str">
            <v>6.849295</v>
          </cell>
          <cell r="F2094" t="str">
            <v>2G/3G/4G</v>
          </cell>
          <cell r="G2094" t="str">
            <v>HUAWEI</v>
          </cell>
          <cell r="H2094" t="str">
            <v>MOOV</v>
          </cell>
          <cell r="I2094" t="str">
            <v>HALLANIKRO</v>
          </cell>
          <cell r="J2094" t="str">
            <v>BOUAFLE</v>
          </cell>
          <cell r="K2094" t="str">
            <v>BOUAFLE</v>
          </cell>
          <cell r="L2094" t="str">
            <v>MARAHOUE</v>
          </cell>
          <cell r="M2094" t="str">
            <v>YAMOUSSOUKRO</v>
          </cell>
          <cell r="N2094" t="str">
            <v>UPCOUNTRY</v>
          </cell>
        </row>
        <row r="2095">
          <cell r="B2095" t="str">
            <v>IM429</v>
          </cell>
          <cell r="C2095" t="str">
            <v>GADAGO_RURAL</v>
          </cell>
          <cell r="D2095" t="str">
            <v>-6.439285</v>
          </cell>
          <cell r="E2095" t="str">
            <v>6.151266</v>
          </cell>
          <cell r="F2095" t="str">
            <v>2G/3G/4G</v>
          </cell>
          <cell r="G2095" t="str">
            <v>HUAWEI</v>
          </cell>
          <cell r="H2095" t="str">
            <v>MOOV</v>
          </cell>
          <cell r="I2095" t="str">
            <v>GADAGO</v>
          </cell>
          <cell r="J2095" t="str">
            <v>GRAND-ZATTRY</v>
          </cell>
          <cell r="K2095" t="str">
            <v>SOUBRE</v>
          </cell>
          <cell r="L2095" t="str">
            <v>NAWA</v>
          </cell>
          <cell r="M2095" t="str">
            <v>SOUBRE</v>
          </cell>
          <cell r="N2095" t="str">
            <v>UPCOUNTRY</v>
          </cell>
        </row>
        <row r="2096">
          <cell r="B2096" t="str">
            <v>ET823</v>
          </cell>
          <cell r="C2096" t="str">
            <v>BEABLO</v>
          </cell>
          <cell r="D2096" t="str">
            <v>-7.336470</v>
          </cell>
          <cell r="E2096" t="str">
            <v>6.385410</v>
          </cell>
          <cell r="F2096" t="str">
            <v>2G/3G/4G</v>
          </cell>
          <cell r="G2096" t="str">
            <v>HUAWEI</v>
          </cell>
          <cell r="H2096" t="str">
            <v>MOOV</v>
          </cell>
          <cell r="I2096" t="str">
            <v>BEABLO</v>
          </cell>
          <cell r="J2096" t="str">
            <v>NIHAZON</v>
          </cell>
          <cell r="K2096" t="str">
            <v>GUIGLO</v>
          </cell>
          <cell r="L2096" t="str">
            <v>CAVALLY</v>
          </cell>
          <cell r="M2096" t="str">
            <v>MAN</v>
          </cell>
          <cell r="N2096" t="str">
            <v>UPCOUNTRY</v>
          </cell>
        </row>
        <row r="2097">
          <cell r="B2097" t="str">
            <v>IM423</v>
          </cell>
          <cell r="C2097" t="str">
            <v>BIELOU-CARREFOUR_RURAL</v>
          </cell>
          <cell r="D2097" t="str">
            <v>-6.19704</v>
          </cell>
          <cell r="E2097" t="str">
            <v>8.544852</v>
          </cell>
          <cell r="F2097" t="str">
            <v>2G/3G/4G</v>
          </cell>
          <cell r="G2097" t="str">
            <v>HUAWEI</v>
          </cell>
          <cell r="H2097" t="str">
            <v>MOOV</v>
          </cell>
          <cell r="I2097" t="str">
            <v>BIELOU-CARREFOUR</v>
          </cell>
          <cell r="J2097" t="str">
            <v>SARHALA</v>
          </cell>
          <cell r="K2097" t="str">
            <v>MANKONO</v>
          </cell>
          <cell r="L2097" t="str">
            <v>BERE</v>
          </cell>
          <cell r="M2097" t="str">
            <v>BOUAKE</v>
          </cell>
          <cell r="N2097" t="str">
            <v>UPCOUNTRY</v>
          </cell>
        </row>
        <row r="2098">
          <cell r="B2098" t="str">
            <v>IM395</v>
          </cell>
          <cell r="C2098" t="str">
            <v>AHOUNIENFOUTOU_RURAL</v>
          </cell>
          <cell r="D2098" t="str">
            <v>-4.37893</v>
          </cell>
          <cell r="E2098" t="str">
            <v>6.776254</v>
          </cell>
          <cell r="F2098" t="str">
            <v>2G/3G/4G</v>
          </cell>
          <cell r="G2098" t="str">
            <v>HUAWEI</v>
          </cell>
          <cell r="H2098" t="str">
            <v>MOOV</v>
          </cell>
          <cell r="I2098" t="str">
            <v>AHOUNIENFOUTOU</v>
          </cell>
          <cell r="J2098" t="str">
            <v>N'GUESSANKRO</v>
          </cell>
          <cell r="K2098" t="str">
            <v>BONGOUANOU</v>
          </cell>
          <cell r="L2098" t="str">
            <v>MORONOU</v>
          </cell>
          <cell r="M2098" t="str">
            <v>ABENGOUROU</v>
          </cell>
          <cell r="N2098" t="str">
            <v>UPCOUNTRY</v>
          </cell>
        </row>
        <row r="2099">
          <cell r="B2099" t="str">
            <v>IM384</v>
          </cell>
          <cell r="C2099" t="str">
            <v>YOLEU_RURAL</v>
          </cell>
          <cell r="D2099" t="str">
            <v>-8.181927</v>
          </cell>
          <cell r="E2099" t="str">
            <v>7.197347</v>
          </cell>
          <cell r="F2099" t="str">
            <v>2G/3G/4G</v>
          </cell>
          <cell r="G2099" t="str">
            <v>HUAWEI</v>
          </cell>
          <cell r="H2099" t="str">
            <v>MOOV</v>
          </cell>
          <cell r="I2099" t="str">
            <v>YOLEU</v>
          </cell>
          <cell r="J2099" t="str">
            <v>DANANÉ</v>
          </cell>
          <cell r="K2099" t="str">
            <v>DANANÉ</v>
          </cell>
          <cell r="L2099" t="str">
            <v>TONKPI</v>
          </cell>
          <cell r="M2099" t="str">
            <v>MAN</v>
          </cell>
          <cell r="N2099" t="str">
            <v>UPCOUNTRY</v>
          </cell>
        </row>
        <row r="2100">
          <cell r="B2100" t="str">
            <v>IM379</v>
          </cell>
          <cell r="C2100" t="str">
            <v>POKOUNDOUGOU_RURAL</v>
          </cell>
          <cell r="D2100" t="str">
            <v>-5.864941</v>
          </cell>
          <cell r="E2100" t="str">
            <v>8.278603</v>
          </cell>
          <cell r="F2100" t="str">
            <v>2G/3G/4G</v>
          </cell>
          <cell r="G2100" t="str">
            <v>HUAWEI</v>
          </cell>
          <cell r="H2100" t="str">
            <v>MOOV</v>
          </cell>
          <cell r="I2100" t="str">
            <v>POKOUNDOUGOU</v>
          </cell>
          <cell r="J2100" t="str">
            <v>TIENINGBOUE</v>
          </cell>
          <cell r="K2100" t="str">
            <v>MANKONO</v>
          </cell>
          <cell r="L2100" t="str">
            <v>BERE</v>
          </cell>
          <cell r="M2100" t="str">
            <v>BOUAKE</v>
          </cell>
          <cell r="N2100" t="str">
            <v>UPCOUNTRY</v>
          </cell>
        </row>
        <row r="2101">
          <cell r="B2101" t="str">
            <v>IM288</v>
          </cell>
          <cell r="C2101" t="str">
            <v>ZOUMANAVOGO</v>
          </cell>
          <cell r="D2101" t="str">
            <v>-5.199792</v>
          </cell>
          <cell r="E2101" t="str">
            <v>10.263796</v>
          </cell>
          <cell r="F2101" t="str">
            <v>2G/3G/4G</v>
          </cell>
          <cell r="G2101" t="str">
            <v>HUAWEI</v>
          </cell>
          <cell r="H2101" t="str">
            <v>MOOV</v>
          </cell>
          <cell r="I2101" t="str">
            <v>ZOUMANAVOGO</v>
          </cell>
          <cell r="J2101" t="str">
            <v>KAOUARA</v>
          </cell>
          <cell r="K2101" t="str">
            <v>OUANGOLODOUGOU</v>
          </cell>
          <cell r="L2101" t="str">
            <v>TCHOLOGO</v>
          </cell>
          <cell r="M2101" t="str">
            <v>KORHOGO</v>
          </cell>
          <cell r="N2101" t="str">
            <v>UPCOUNTRY</v>
          </cell>
        </row>
        <row r="2102">
          <cell r="B2102" t="str">
            <v>IM433</v>
          </cell>
          <cell r="C2102" t="str">
            <v>HANA_RURAL</v>
          </cell>
          <cell r="D2102" t="str">
            <v>-6.825228</v>
          </cell>
          <cell r="E2102" t="str">
            <v>5.689043</v>
          </cell>
          <cell r="F2102" t="str">
            <v>2G/3G/4G</v>
          </cell>
          <cell r="G2102" t="str">
            <v>HUAWEI</v>
          </cell>
          <cell r="H2102" t="str">
            <v>MOOV</v>
          </cell>
          <cell r="I2102" t="str">
            <v>HANA</v>
          </cell>
          <cell r="J2102" t="str">
            <v>GNANMANGUI</v>
          </cell>
          <cell r="K2102" t="str">
            <v>MEAGUI</v>
          </cell>
          <cell r="L2102" t="str">
            <v>NAWA</v>
          </cell>
          <cell r="M2102" t="str">
            <v>SOUBRE</v>
          </cell>
          <cell r="N2102" t="str">
            <v>UPCOUNTRY</v>
          </cell>
        </row>
        <row r="2103">
          <cell r="B2103" t="str">
            <v>IM404</v>
          </cell>
          <cell r="C2103" t="str">
            <v>MAMA_RURAL</v>
          </cell>
          <cell r="D2103" t="str">
            <v>-5.986765</v>
          </cell>
          <cell r="E2103" t="str">
            <v>6.316696</v>
          </cell>
          <cell r="F2103" t="str">
            <v>2G/3G/4G</v>
          </cell>
          <cell r="G2103" t="str">
            <v>HUAWEI</v>
          </cell>
          <cell r="H2103" t="str">
            <v>MOOV</v>
          </cell>
          <cell r="I2103" t="str">
            <v>MAMA</v>
          </cell>
          <cell r="J2103" t="str">
            <v>OURAGAHIO</v>
          </cell>
          <cell r="K2103" t="str">
            <v>GAGNOA</v>
          </cell>
          <cell r="L2103" t="str">
            <v>GOH</v>
          </cell>
          <cell r="M2103" t="str">
            <v>GAGNOA</v>
          </cell>
          <cell r="N2103" t="str">
            <v>UPCOUNTRY</v>
          </cell>
        </row>
        <row r="2104">
          <cell r="B2104" t="str">
            <v>IM290</v>
          </cell>
          <cell r="C2104" t="str">
            <v>BILALO</v>
          </cell>
          <cell r="D2104" t="str">
            <v>-7.599852</v>
          </cell>
          <cell r="E2104" t="str">
            <v>8.830165</v>
          </cell>
          <cell r="F2104" t="str">
            <v>2G/3G/4G</v>
          </cell>
          <cell r="G2104" t="str">
            <v>HUAWEI</v>
          </cell>
          <cell r="H2104" t="str">
            <v>MOOV</v>
          </cell>
          <cell r="I2104" t="str">
            <v>BILALO</v>
          </cell>
          <cell r="J2104" t="str">
            <v>BOROTOU</v>
          </cell>
          <cell r="K2104" t="str">
            <v>KORO</v>
          </cell>
          <cell r="L2104" t="str">
            <v>BAFING</v>
          </cell>
          <cell r="M2104" t="str">
            <v>MAN</v>
          </cell>
          <cell r="N2104" t="str">
            <v>UPCOUNTRY</v>
          </cell>
        </row>
        <row r="2105">
          <cell r="B2105" t="str">
            <v>IM443</v>
          </cell>
          <cell r="C2105" t="str">
            <v>PETIONNARA_RURAL</v>
          </cell>
          <cell r="D2105" t="str">
            <v>-5.112809</v>
          </cell>
          <cell r="E2105" t="str">
            <v>8.430167</v>
          </cell>
          <cell r="F2105" t="str">
            <v>2G/3G/4G</v>
          </cell>
          <cell r="G2105" t="str">
            <v>HUAWEI</v>
          </cell>
          <cell r="H2105" t="str">
            <v>MOOV</v>
          </cell>
          <cell r="I2105" t="str">
            <v>PETIONNARA</v>
          </cell>
          <cell r="J2105" t="str">
            <v>NIAKARAMADOUGOU</v>
          </cell>
          <cell r="K2105" t="str">
            <v>NIAKARAMADOUGOU</v>
          </cell>
          <cell r="L2105" t="str">
            <v>HAMBOL</v>
          </cell>
          <cell r="M2105" t="str">
            <v>BOUAKE</v>
          </cell>
          <cell r="N2105" t="str">
            <v>UPCOUNTRY</v>
          </cell>
        </row>
        <row r="2106">
          <cell r="B2106" t="str">
            <v>IM307</v>
          </cell>
          <cell r="C2106" t="str">
            <v>POUTOU</v>
          </cell>
          <cell r="D2106" t="str">
            <v>-7.292726</v>
          </cell>
          <cell r="E2106" t="str">
            <v>5.300836</v>
          </cell>
          <cell r="F2106" t="str">
            <v>2G/3G/4G</v>
          </cell>
          <cell r="G2106" t="str">
            <v>ERICSSON</v>
          </cell>
          <cell r="H2106" t="str">
            <v>MOOV</v>
          </cell>
          <cell r="I2106" t="str">
            <v>POUTOU</v>
          </cell>
          <cell r="J2106" t="str">
            <v>DJOUROUTOU</v>
          </cell>
          <cell r="K2106" t="str">
            <v>TABOU</v>
          </cell>
          <cell r="L2106" t="str">
            <v>SAN-PEDRO</v>
          </cell>
          <cell r="M2106" t="str">
            <v>SAN-PEDRO</v>
          </cell>
          <cell r="N2106" t="str">
            <v>UPCOUNTRY</v>
          </cell>
        </row>
        <row r="2107">
          <cell r="B2107" t="str">
            <v>IM323</v>
          </cell>
          <cell r="C2107" t="str">
            <v>YOP_WASSAKARA_GARE</v>
          </cell>
          <cell r="D2107" t="str">
            <v>-4.065768</v>
          </cell>
          <cell r="E2107" t="str">
            <v>5.350598</v>
          </cell>
          <cell r="F2107" t="str">
            <v>2G/3G/4G</v>
          </cell>
          <cell r="G2107" t="str">
            <v>ERICSSON</v>
          </cell>
          <cell r="H2107" t="str">
            <v>MOOV</v>
          </cell>
          <cell r="I2107" t="str">
            <v>YOPOUGON</v>
          </cell>
          <cell r="J2107" t="str">
            <v>ABIDJAN</v>
          </cell>
          <cell r="K2107" t="str">
            <v>ABIDJAN</v>
          </cell>
          <cell r="L2107" t="str">
            <v>ABIDJAN</v>
          </cell>
          <cell r="M2107" t="str">
            <v>YOPOUGON SABLE</v>
          </cell>
          <cell r="N2107" t="str">
            <v>ABIDJAN</v>
          </cell>
        </row>
        <row r="2108">
          <cell r="B2108" t="str">
            <v>IM287</v>
          </cell>
          <cell r="C2108" t="str">
            <v>MOAKO-BOOKO</v>
          </cell>
          <cell r="D2108" t="str">
            <v>-7.624676</v>
          </cell>
          <cell r="E2108" t="str">
            <v>8.866277</v>
          </cell>
          <cell r="F2108" t="str">
            <v>2G/3G/4G</v>
          </cell>
          <cell r="G2108" t="str">
            <v>HUAWEI</v>
          </cell>
          <cell r="H2108" t="str">
            <v>MOOV</v>
          </cell>
          <cell r="I2108" t="str">
            <v>MOAKO-BOOKO</v>
          </cell>
          <cell r="J2108" t="str">
            <v>BOOKO</v>
          </cell>
          <cell r="K2108" t="str">
            <v>KORO</v>
          </cell>
          <cell r="L2108" t="str">
            <v>BAFING</v>
          </cell>
          <cell r="M2108" t="str">
            <v>MAN</v>
          </cell>
          <cell r="N2108" t="str">
            <v>UPCOUNTRY</v>
          </cell>
        </row>
        <row r="2109">
          <cell r="B2109" t="str">
            <v>IM175</v>
          </cell>
          <cell r="C2109" t="str">
            <v>TENGRELA_RESIDENTIEL</v>
          </cell>
          <cell r="D2109" t="str">
            <v>-6.398940</v>
          </cell>
          <cell r="E2109" t="str">
            <v>10.470210</v>
          </cell>
          <cell r="F2109" t="str">
            <v>2G/3G/4G</v>
          </cell>
          <cell r="G2109" t="str">
            <v>HUAWEI</v>
          </cell>
          <cell r="H2109" t="str">
            <v>MOOV</v>
          </cell>
          <cell r="I2109" t="str">
            <v>TENGRELA</v>
          </cell>
          <cell r="J2109" t="str">
            <v>TENGRELA</v>
          </cell>
          <cell r="K2109" t="str">
            <v>TENGRELA</v>
          </cell>
          <cell r="L2109" t="str">
            <v>BAGOUE</v>
          </cell>
          <cell r="M2109" t="str">
            <v>KORHOGO</v>
          </cell>
          <cell r="N2109" t="str">
            <v>UPCOUNTRY</v>
          </cell>
        </row>
        <row r="2110">
          <cell r="B2110" t="str">
            <v>IM285</v>
          </cell>
          <cell r="C2110" t="str">
            <v>KOKOROKO</v>
          </cell>
          <cell r="D2110" t="str">
            <v>-5.397393</v>
          </cell>
          <cell r="E2110" t="str">
            <v>10.254867</v>
          </cell>
          <cell r="F2110" t="str">
            <v>2G/3G/4G</v>
          </cell>
          <cell r="G2110" t="str">
            <v>HUAWEI</v>
          </cell>
          <cell r="H2110" t="str">
            <v>MOOV</v>
          </cell>
          <cell r="I2110" t="str">
            <v>KOKOROKO</v>
          </cell>
          <cell r="J2110" t="str">
            <v>DIAWALA</v>
          </cell>
          <cell r="K2110" t="str">
            <v>OUANGOLODOUGOU</v>
          </cell>
          <cell r="L2110" t="str">
            <v>TCHOLOGO</v>
          </cell>
          <cell r="M2110" t="str">
            <v>KORHOGO</v>
          </cell>
          <cell r="N2110" t="str">
            <v>UPCOUNTRY</v>
          </cell>
        </row>
        <row r="2111">
          <cell r="B2111" t="str">
            <v>IM430</v>
          </cell>
          <cell r="C2111" t="str">
            <v>GBATINA_RURAL</v>
          </cell>
          <cell r="D2111" t="str">
            <v>-6.857897</v>
          </cell>
          <cell r="E2111" t="str">
            <v>5.905627</v>
          </cell>
          <cell r="F2111" t="str">
            <v>2G/3G/4G</v>
          </cell>
          <cell r="G2111" t="str">
            <v>HUAWEI</v>
          </cell>
          <cell r="H2111" t="str">
            <v>MOOV</v>
          </cell>
          <cell r="I2111" t="str">
            <v>GBATINA</v>
          </cell>
          <cell r="J2111" t="str">
            <v>GNANMANGUI</v>
          </cell>
          <cell r="K2111" t="str">
            <v>MEAGUI</v>
          </cell>
          <cell r="L2111" t="str">
            <v>NAWA</v>
          </cell>
          <cell r="M2111" t="str">
            <v>SOUBRE</v>
          </cell>
          <cell r="N2111" t="str">
            <v>UPCOUNTRY</v>
          </cell>
        </row>
        <row r="2112">
          <cell r="B2112" t="str">
            <v>IM447</v>
          </cell>
          <cell r="C2112" t="str">
            <v>ZANZRA_RURAL</v>
          </cell>
          <cell r="D2112" t="str">
            <v>-6.209346</v>
          </cell>
          <cell r="E2112" t="str">
            <v>7.475865</v>
          </cell>
          <cell r="F2112" t="str">
            <v>2G/3G/4G</v>
          </cell>
          <cell r="G2112" t="str">
            <v>HUAWEI</v>
          </cell>
          <cell r="H2112" t="str">
            <v>MOOV</v>
          </cell>
          <cell r="I2112" t="str">
            <v>ZANZRA</v>
          </cell>
          <cell r="J2112" t="str">
            <v>ZANZRA</v>
          </cell>
          <cell r="K2112" t="str">
            <v>ZUENOULA</v>
          </cell>
          <cell r="L2112" t="str">
            <v>MARAHOUE</v>
          </cell>
          <cell r="M2112" t="str">
            <v>YAMOUSSOUKRO</v>
          </cell>
          <cell r="N2112" t="str">
            <v>UPCOUNTRY</v>
          </cell>
        </row>
        <row r="2113">
          <cell r="B2113" t="str">
            <v>IM438</v>
          </cell>
          <cell r="C2113" t="str">
            <v>MABEHIRI 2_RURAL</v>
          </cell>
          <cell r="D2113" t="str">
            <v>-6.537278</v>
          </cell>
          <cell r="E2113" t="str">
            <v>5.680705</v>
          </cell>
          <cell r="F2113" t="str">
            <v>2G/3G/4G</v>
          </cell>
          <cell r="G2113" t="str">
            <v>HUAWEI</v>
          </cell>
          <cell r="H2113" t="str">
            <v>MOOV</v>
          </cell>
          <cell r="I2113" t="str">
            <v>MABEHIRI 2</v>
          </cell>
          <cell r="J2113" t="str">
            <v>OKROUYO</v>
          </cell>
          <cell r="K2113" t="str">
            <v>SOUBRE</v>
          </cell>
          <cell r="L2113" t="str">
            <v>NAWA</v>
          </cell>
          <cell r="M2113" t="str">
            <v>SOUBRE</v>
          </cell>
          <cell r="N2113" t="str">
            <v>UPCOUNTRY</v>
          </cell>
        </row>
        <row r="2114">
          <cell r="B2114" t="str">
            <v>IM324</v>
          </cell>
          <cell r="C2114" t="str">
            <v>YOP_COMPLEXE_LAMA</v>
          </cell>
          <cell r="D2114" t="str">
            <v>-4.053094</v>
          </cell>
          <cell r="E2114" t="str">
            <v>5.337429</v>
          </cell>
          <cell r="F2114" t="str">
            <v>2G/3G/4G</v>
          </cell>
          <cell r="G2114" t="str">
            <v>ERICSSON</v>
          </cell>
          <cell r="H2114" t="str">
            <v>MOOV</v>
          </cell>
          <cell r="I2114" t="str">
            <v>YOPOUGON</v>
          </cell>
          <cell r="J2114" t="str">
            <v>ABIDJAN</v>
          </cell>
          <cell r="K2114" t="str">
            <v>ABIDJAN</v>
          </cell>
          <cell r="L2114" t="str">
            <v>ABIDJAN</v>
          </cell>
          <cell r="M2114" t="str">
            <v>YOPOUGON FICGAYO</v>
          </cell>
          <cell r="N2114" t="str">
            <v>ABIDJAN</v>
          </cell>
        </row>
        <row r="2115">
          <cell r="B2115" t="str">
            <v>IM029</v>
          </cell>
          <cell r="C2115" t="str">
            <v>GB_BEREBY_WELLE2</v>
          </cell>
          <cell r="D2115" t="str">
            <v>-6.936702</v>
          </cell>
          <cell r="E2115" t="str">
            <v>4.656451</v>
          </cell>
          <cell r="F2115" t="str">
            <v>2G/3G/4G</v>
          </cell>
          <cell r="G2115" t="str">
            <v>ERICSSON</v>
          </cell>
          <cell r="H2115" t="str">
            <v>MOOV</v>
          </cell>
          <cell r="I2115" t="str">
            <v>GRAND-BEREBY</v>
          </cell>
          <cell r="J2115" t="str">
            <v>GRAND-BEREBY</v>
          </cell>
          <cell r="K2115" t="str">
            <v>SAN-PEDRO</v>
          </cell>
          <cell r="L2115" t="str">
            <v>SAN-PEDRO</v>
          </cell>
          <cell r="M2115" t="str">
            <v>SAN-PEDRO</v>
          </cell>
          <cell r="N2115" t="str">
            <v>UPCOUNTRY</v>
          </cell>
        </row>
        <row r="2116">
          <cell r="B2116" t="str">
            <v>IM299</v>
          </cell>
          <cell r="C2116" t="str">
            <v>SASSANDRA_CORRIDOR</v>
          </cell>
          <cell r="D2116" t="str">
            <v>-6.131174</v>
          </cell>
          <cell r="E2116" t="str">
            <v>4.994780</v>
          </cell>
          <cell r="F2116" t="str">
            <v>2G/3G/4G</v>
          </cell>
          <cell r="G2116" t="str">
            <v>ERICSSON</v>
          </cell>
          <cell r="H2116" t="str">
            <v>IHS</v>
          </cell>
          <cell r="I2116" t="str">
            <v>SASSANDRA</v>
          </cell>
          <cell r="J2116" t="str">
            <v>SASSANDRA</v>
          </cell>
          <cell r="K2116" t="str">
            <v>SASSANDRA</v>
          </cell>
          <cell r="L2116" t="str">
            <v>GBOKLE</v>
          </cell>
          <cell r="M2116" t="str">
            <v>SAN-PEDRO</v>
          </cell>
          <cell r="N2116" t="str">
            <v>UPCOUNTRY</v>
          </cell>
        </row>
        <row r="2117">
          <cell r="B2117" t="str">
            <v>IM303</v>
          </cell>
          <cell r="C2117" t="str">
            <v>NIANI</v>
          </cell>
          <cell r="D2117" t="str">
            <v>-6.081054</v>
          </cell>
          <cell r="E2117" t="str">
            <v>5.020432</v>
          </cell>
          <cell r="F2117" t="str">
            <v>2G/3G/4G</v>
          </cell>
          <cell r="G2117" t="str">
            <v>ERICSSON</v>
          </cell>
          <cell r="H2117" t="str">
            <v>MOOV</v>
          </cell>
          <cell r="I2117" t="str">
            <v>NIANI</v>
          </cell>
          <cell r="J2117" t="str">
            <v>SASSANDRA</v>
          </cell>
          <cell r="K2117" t="str">
            <v>SASSANDRA</v>
          </cell>
          <cell r="L2117" t="str">
            <v>GBOKLE</v>
          </cell>
          <cell r="M2117" t="str">
            <v>SAN-PEDRO</v>
          </cell>
          <cell r="N2117" t="str">
            <v>UPCOUNTRY</v>
          </cell>
        </row>
        <row r="2118">
          <cell r="B2118" t="str">
            <v>IM304</v>
          </cell>
          <cell r="C2118" t="str">
            <v>DAGBEGO</v>
          </cell>
          <cell r="D2118" t="str">
            <v>-5.958733</v>
          </cell>
          <cell r="E2118" t="str">
            <v>5.055137</v>
          </cell>
          <cell r="F2118" t="str">
            <v>2G/3G/4G</v>
          </cell>
          <cell r="G2118" t="str">
            <v>ERICSSON</v>
          </cell>
          <cell r="H2118" t="str">
            <v>MOOV</v>
          </cell>
          <cell r="I2118" t="str">
            <v>DAGBEGO</v>
          </cell>
          <cell r="J2118" t="str">
            <v>DAGBEGO</v>
          </cell>
          <cell r="K2118" t="str">
            <v>SASSANDRA</v>
          </cell>
          <cell r="L2118" t="str">
            <v>GBOKLE</v>
          </cell>
          <cell r="M2118" t="str">
            <v>SAN-PEDRO</v>
          </cell>
          <cell r="N2118" t="str">
            <v>UPCOUNTRY</v>
          </cell>
        </row>
        <row r="2119">
          <cell r="B2119" t="str">
            <v>IM371</v>
          </cell>
          <cell r="C2119" t="str">
            <v>ANGRE_ 40ème_ARRDT</v>
          </cell>
          <cell r="D2119" t="str">
            <v>-3.977848</v>
          </cell>
          <cell r="E2119" t="str">
            <v>5.422730</v>
          </cell>
          <cell r="F2119" t="str">
            <v>2G/3G/4G</v>
          </cell>
          <cell r="G2119" t="str">
            <v>ERICSSON</v>
          </cell>
          <cell r="H2119" t="str">
            <v>MOOV</v>
          </cell>
          <cell r="I2119" t="str">
            <v>COCODY</v>
          </cell>
          <cell r="J2119" t="str">
            <v>ABIDJAN</v>
          </cell>
          <cell r="K2119" t="str">
            <v>ABIDJAN</v>
          </cell>
          <cell r="L2119" t="str">
            <v>ABIDJAN</v>
          </cell>
          <cell r="M2119" t="str">
            <v>COCODY LATRILLE</v>
          </cell>
          <cell r="N2119" t="str">
            <v>ABIDJAN</v>
          </cell>
        </row>
        <row r="2120">
          <cell r="B2120" t="str">
            <v>IM298</v>
          </cell>
          <cell r="C2120" t="str">
            <v>ATTIEKOI</v>
          </cell>
          <cell r="D2120" t="str">
            <v>-3.968577</v>
          </cell>
          <cell r="E2120" t="str">
            <v>5.541127</v>
          </cell>
          <cell r="F2120" t="str">
            <v>2G/3G/4G</v>
          </cell>
          <cell r="G2120" t="str">
            <v>ERICSSON</v>
          </cell>
          <cell r="H2120" t="str">
            <v>IHS</v>
          </cell>
          <cell r="I2120" t="str">
            <v>ATTIEKOI</v>
          </cell>
          <cell r="J2120" t="str">
            <v>BROFODOUME</v>
          </cell>
          <cell r="K2120" t="str">
            <v>ABIDJAN</v>
          </cell>
          <cell r="L2120" t="str">
            <v>ABIDJAN</v>
          </cell>
          <cell r="M2120" t="str">
            <v>ABOBO</v>
          </cell>
          <cell r="N2120" t="str">
            <v>ABIDJAN</v>
          </cell>
        </row>
        <row r="2121">
          <cell r="B2121" t="str">
            <v>IM381</v>
          </cell>
          <cell r="C2121" t="str">
            <v>BINGES_COLIBRI</v>
          </cell>
          <cell r="D2121" t="str">
            <v>-3.856056</v>
          </cell>
          <cell r="E2121" t="str">
            <v>5.360441</v>
          </cell>
          <cell r="F2121" t="str">
            <v>2G/3G/4G</v>
          </cell>
          <cell r="G2121" t="str">
            <v>ERICSSON</v>
          </cell>
          <cell r="H2121" t="str">
            <v>MOOV</v>
          </cell>
          <cell r="I2121" t="str">
            <v>BINGERVILLE</v>
          </cell>
          <cell r="J2121" t="str">
            <v>BINGERVILLE</v>
          </cell>
          <cell r="K2121" t="str">
            <v>ABIDJAN</v>
          </cell>
          <cell r="L2121" t="str">
            <v>ABIDJAN</v>
          </cell>
          <cell r="M2121" t="str">
            <v>COCODY LATRILLE</v>
          </cell>
          <cell r="N2121" t="str">
            <v>ABIDJAN</v>
          </cell>
        </row>
        <row r="2122">
          <cell r="B2122" t="str">
            <v>IM444</v>
          </cell>
          <cell r="C2122" t="str">
            <v>TIAPLE_RURAL</v>
          </cell>
          <cell r="D2122" t="str">
            <v>-5.388296</v>
          </cell>
          <cell r="E2122" t="str">
            <v>10.09967</v>
          </cell>
          <cell r="F2122" t="str">
            <v>2G/3G/4G</v>
          </cell>
          <cell r="G2122" t="str">
            <v>HUAWEI</v>
          </cell>
          <cell r="H2122" t="str">
            <v>MOOV</v>
          </cell>
          <cell r="I2122" t="str">
            <v>TIAPLE</v>
          </cell>
          <cell r="J2122" t="str">
            <v>DIAWALA</v>
          </cell>
          <cell r="K2122" t="str">
            <v>OUANGOLODOUGOU</v>
          </cell>
          <cell r="L2122" t="str">
            <v>TCHOLOGO</v>
          </cell>
          <cell r="M2122" t="str">
            <v>KORHOGO</v>
          </cell>
          <cell r="N2122" t="str">
            <v>UPCOUNTRY</v>
          </cell>
        </row>
        <row r="2123">
          <cell r="B2123" t="str">
            <v>IM465</v>
          </cell>
          <cell r="C2123" t="str">
            <v>GNABELEKAHA_RURAL</v>
          </cell>
          <cell r="D2123" t="str">
            <v>-5.4204</v>
          </cell>
          <cell r="E2123" t="str">
            <v>9.6154</v>
          </cell>
          <cell r="F2123" t="str">
            <v>2G/3G/4G</v>
          </cell>
          <cell r="G2123" t="str">
            <v>HUAWEI</v>
          </cell>
          <cell r="H2123" t="str">
            <v>MOOV</v>
          </cell>
          <cell r="I2123" t="str">
            <v>GNABELEKAHA</v>
          </cell>
          <cell r="J2123" t="str">
            <v>KAGBOLODOUGOU</v>
          </cell>
          <cell r="K2123" t="str">
            <v>SINEMATIALI</v>
          </cell>
          <cell r="L2123" t="str">
            <v>PORO</v>
          </cell>
          <cell r="M2123" t="str">
            <v>KORHOGO</v>
          </cell>
          <cell r="N2123" t="str">
            <v>UPCOUNTRY</v>
          </cell>
        </row>
        <row r="2124">
          <cell r="B2124" t="str">
            <v>IM448</v>
          </cell>
          <cell r="C2124" t="str">
            <v>KAFOUDOUGOU-BAMBARASSO_RURAL</v>
          </cell>
          <cell r="D2124" t="str">
            <v>-4.388295</v>
          </cell>
          <cell r="E2124" t="str">
            <v>8.463545</v>
          </cell>
          <cell r="F2124" t="str">
            <v>2G/3G/4G</v>
          </cell>
          <cell r="G2124" t="str">
            <v>HUAWEI</v>
          </cell>
          <cell r="H2124" t="str">
            <v>MOOV</v>
          </cell>
          <cell r="I2124" t="str">
            <v>KAFOUDOUGOU-BAMBARASSO</v>
          </cell>
          <cell r="J2124" t="str">
            <v>DABAKALA</v>
          </cell>
          <cell r="K2124" t="str">
            <v>DABAKALA</v>
          </cell>
          <cell r="L2124" t="str">
            <v>HAMBOL</v>
          </cell>
          <cell r="M2124" t="str">
            <v>BOUAKE</v>
          </cell>
          <cell r="N2124" t="str">
            <v>UPCOUNTRY</v>
          </cell>
        </row>
        <row r="2125">
          <cell r="B2125" t="str">
            <v>IM449</v>
          </cell>
          <cell r="C2125" t="str">
            <v>SAMASSOGOSSO_RURAL</v>
          </cell>
          <cell r="D2125" t="str">
            <v>-4.34208</v>
          </cell>
          <cell r="E2125" t="str">
            <v>8.514309</v>
          </cell>
          <cell r="F2125" t="str">
            <v>2G/3G/4G</v>
          </cell>
          <cell r="G2125" t="str">
            <v>HUAWEI</v>
          </cell>
          <cell r="H2125" t="str">
            <v>MOOV</v>
          </cell>
          <cell r="I2125" t="str">
            <v>SAMASSOGOSSO</v>
          </cell>
          <cell r="J2125" t="str">
            <v>DABAKALA</v>
          </cell>
          <cell r="K2125" t="str">
            <v>DABAKALA</v>
          </cell>
          <cell r="L2125" t="str">
            <v>HAMBOL</v>
          </cell>
          <cell r="M2125" t="str">
            <v>BOUAKE</v>
          </cell>
          <cell r="N2125" t="str">
            <v>UPCOUNTRY</v>
          </cell>
        </row>
        <row r="2126">
          <cell r="B2126" t="str">
            <v>IM452</v>
          </cell>
          <cell r="C2126" t="str">
            <v>PHCIE_MAMIE-ADJOUA</v>
          </cell>
          <cell r="D2126" t="str">
            <v>-4.095059</v>
          </cell>
          <cell r="E2126" t="str">
            <v>5.358172</v>
          </cell>
          <cell r="F2126" t="str">
            <v>2G/3G/4G</v>
          </cell>
          <cell r="G2126" t="str">
            <v>ERICSSON</v>
          </cell>
          <cell r="H2126" t="str">
            <v>MOOV</v>
          </cell>
          <cell r="I2126" t="str">
            <v>YOPOUGON</v>
          </cell>
          <cell r="J2126" t="str">
            <v>ABIDJAN</v>
          </cell>
          <cell r="K2126" t="str">
            <v>ABIDJAN</v>
          </cell>
          <cell r="L2126" t="str">
            <v>ABIDJAN</v>
          </cell>
          <cell r="M2126" t="str">
            <v>YOPOUGON FICGAYO</v>
          </cell>
          <cell r="N2126" t="str">
            <v>ABIDJAN</v>
          </cell>
        </row>
        <row r="2127">
          <cell r="B2127" t="str">
            <v>IM369</v>
          </cell>
          <cell r="C2127" t="str">
            <v>PLT_MINI_INTERIEUR</v>
          </cell>
          <cell r="D2127" t="str">
            <v>-4.020818</v>
          </cell>
          <cell r="E2127" t="str">
            <v>5.335210</v>
          </cell>
          <cell r="F2127" t="str">
            <v>2G/3G/4G</v>
          </cell>
          <cell r="G2127" t="str">
            <v>ERICSSON</v>
          </cell>
          <cell r="H2127" t="str">
            <v>MTN</v>
          </cell>
          <cell r="I2127" t="str">
            <v>PLATEAU</v>
          </cell>
          <cell r="J2127" t="str">
            <v>ABIDJAN</v>
          </cell>
          <cell r="K2127" t="str">
            <v>ABIDJAN</v>
          </cell>
          <cell r="L2127" t="str">
            <v>ABIDJAN</v>
          </cell>
          <cell r="M2127" t="str">
            <v>PLATEAU</v>
          </cell>
          <cell r="N2127" t="str">
            <v>ABIDJAN</v>
          </cell>
        </row>
        <row r="2128">
          <cell r="B2128" t="str">
            <v>IM428</v>
          </cell>
          <cell r="C2128" t="str">
            <v>DUOKRO_RURAL</v>
          </cell>
          <cell r="D2128" t="str">
            <v>-5.230576</v>
          </cell>
          <cell r="E2128" t="str">
            <v>6.66944</v>
          </cell>
          <cell r="F2128" t="str">
            <v>2G/3G/4G</v>
          </cell>
          <cell r="G2128" t="str">
            <v>HUAWEI</v>
          </cell>
          <cell r="H2128" t="str">
            <v>MOOV</v>
          </cell>
          <cell r="I2128" t="str">
            <v>DUOKRO</v>
          </cell>
          <cell r="J2128" t="str">
            <v>YAMOUSSOUKRO</v>
          </cell>
          <cell r="K2128" t="str">
            <v>YAMOUSSOUKRO</v>
          </cell>
          <cell r="L2128" t="str">
            <v>YAMOUSSOUKRO</v>
          </cell>
          <cell r="M2128" t="str">
            <v>YAMOUSSOUKRO</v>
          </cell>
          <cell r="N2128" t="str">
            <v>UPCOUNTRY</v>
          </cell>
        </row>
        <row r="2129">
          <cell r="B2129" t="str">
            <v>IM426</v>
          </cell>
          <cell r="C2129" t="str">
            <v>DIABOUO_RURAL</v>
          </cell>
          <cell r="D2129" t="str">
            <v>-6.065227</v>
          </cell>
          <cell r="E2129" t="str">
            <v>5.979312</v>
          </cell>
          <cell r="F2129" t="str">
            <v>2G/3G/4G</v>
          </cell>
          <cell r="G2129" t="str">
            <v>HUAWEI</v>
          </cell>
          <cell r="H2129" t="str">
            <v>MOOV</v>
          </cell>
          <cell r="I2129" t="str">
            <v>DIABOUO</v>
          </cell>
          <cell r="J2129" t="str">
            <v>DOUGROUPALEGNOA</v>
          </cell>
          <cell r="K2129" t="str">
            <v>GAGNOA</v>
          </cell>
          <cell r="L2129" t="str">
            <v>GOH</v>
          </cell>
          <cell r="M2129" t="str">
            <v>GAGNOA</v>
          </cell>
          <cell r="N2129" t="str">
            <v>UPCOUNTRY</v>
          </cell>
        </row>
        <row r="2130">
          <cell r="B2130" t="str">
            <v>IM392</v>
          </cell>
          <cell r="C2130" t="str">
            <v>TENEFERO_RURAL</v>
          </cell>
          <cell r="D2130" t="str">
            <v>-6.592148</v>
          </cell>
          <cell r="E2130" t="str">
            <v>7.757967</v>
          </cell>
          <cell r="F2130" t="str">
            <v>2G/3G/4G</v>
          </cell>
          <cell r="G2130" t="str">
            <v>HUAWEI</v>
          </cell>
          <cell r="H2130" t="str">
            <v>MOOV</v>
          </cell>
          <cell r="I2130" t="str">
            <v>TENEFERO</v>
          </cell>
          <cell r="J2130" t="str">
            <v>BAZRA - NATTIS</v>
          </cell>
          <cell r="K2130" t="str">
            <v>VAVOUA</v>
          </cell>
          <cell r="L2130" t="str">
            <v>HAUT-SASSANDRA</v>
          </cell>
          <cell r="M2130" t="str">
            <v>DALOA</v>
          </cell>
          <cell r="N2130" t="str">
            <v>UPCOUNTRY</v>
          </cell>
        </row>
        <row r="2131">
          <cell r="B2131" t="str">
            <v>IM319</v>
          </cell>
          <cell r="C2131" t="str">
            <v>KOUM_LMK</v>
          </cell>
          <cell r="D2131" t="str">
            <v>-3.945181</v>
          </cell>
          <cell r="E2131" t="str">
            <v>5.312227</v>
          </cell>
          <cell r="F2131" t="str">
            <v>2G/3G/4G</v>
          </cell>
          <cell r="G2131" t="str">
            <v>ERICSSON</v>
          </cell>
          <cell r="H2131" t="str">
            <v>MOOV</v>
          </cell>
          <cell r="I2131" t="str">
            <v>KOUMASSI</v>
          </cell>
          <cell r="J2131" t="str">
            <v>ABIDJAN</v>
          </cell>
          <cell r="K2131" t="str">
            <v>ABIDJAN</v>
          </cell>
          <cell r="L2131" t="str">
            <v>ABIDJAN</v>
          </cell>
          <cell r="M2131" t="str">
            <v>MARCORY</v>
          </cell>
          <cell r="N2131" t="str">
            <v>ABIDJAN</v>
          </cell>
        </row>
        <row r="2132">
          <cell r="B2132" t="str">
            <v>IM008</v>
          </cell>
          <cell r="C2132" t="str">
            <v>ABOBOTE_MARCHE</v>
          </cell>
          <cell r="D2132" t="str">
            <v>-4.000385</v>
          </cell>
          <cell r="E2132" t="str">
            <v>5.410852</v>
          </cell>
          <cell r="F2132" t="str">
            <v>2G/3G/4G</v>
          </cell>
          <cell r="G2132" t="str">
            <v>ERICSSON</v>
          </cell>
          <cell r="H2132" t="str">
            <v>IHS</v>
          </cell>
          <cell r="I2132" t="str">
            <v>ABOBO</v>
          </cell>
          <cell r="J2132" t="str">
            <v>ABIDJAN</v>
          </cell>
          <cell r="K2132" t="str">
            <v>ABIDJAN</v>
          </cell>
          <cell r="L2132" t="str">
            <v>ABIDJAN</v>
          </cell>
          <cell r="M2132" t="str">
            <v>ABOBO</v>
          </cell>
          <cell r="N2132" t="str">
            <v>ABIDJAN</v>
          </cell>
        </row>
        <row r="2133">
          <cell r="B2133" t="str">
            <v>IM370</v>
          </cell>
          <cell r="C2133" t="str">
            <v>BAIE_CORNICHE</v>
          </cell>
          <cell r="D2133" t="str">
            <v>-4.014123</v>
          </cell>
          <cell r="E2133" t="str">
            <v>5.336553</v>
          </cell>
          <cell r="F2133" t="str">
            <v>2G/3G/4G</v>
          </cell>
          <cell r="G2133" t="str">
            <v>ERICSSON</v>
          </cell>
          <cell r="H2133" t="str">
            <v>MTN</v>
          </cell>
          <cell r="I2133" t="str">
            <v>COCODY</v>
          </cell>
          <cell r="J2133" t="str">
            <v>ABIDJAN</v>
          </cell>
          <cell r="K2133" t="str">
            <v>ABIDJAN</v>
          </cell>
          <cell r="L2133" t="str">
            <v>ABIDJAN</v>
          </cell>
          <cell r="M2133" t="str">
            <v>COCODY CENTRE</v>
          </cell>
          <cell r="N2133" t="str">
            <v>ABIDJAN</v>
          </cell>
        </row>
        <row r="2134">
          <cell r="B2134" t="str">
            <v>IM289</v>
          </cell>
          <cell r="C2134" t="str">
            <v>KOLIKO</v>
          </cell>
          <cell r="D2134" t="str">
            <v>-7.443875</v>
          </cell>
          <cell r="E2134" t="str">
            <v>10.187584</v>
          </cell>
          <cell r="F2134" t="str">
            <v>2G/3G/4G</v>
          </cell>
          <cell r="G2134" t="str">
            <v>HUAWEI</v>
          </cell>
          <cell r="H2134" t="str">
            <v>MOOV</v>
          </cell>
          <cell r="I2134" t="str">
            <v>KOLIKO</v>
          </cell>
          <cell r="J2134" t="str">
            <v>TIENKO</v>
          </cell>
          <cell r="K2134" t="str">
            <v>MINIGNAN</v>
          </cell>
          <cell r="L2134" t="str">
            <v>FOLON</v>
          </cell>
          <cell r="M2134" t="str">
            <v>MAN</v>
          </cell>
          <cell r="N2134" t="str">
            <v>UPCOUNTRY</v>
          </cell>
        </row>
        <row r="2135">
          <cell r="B2135" t="str">
            <v>IM167</v>
          </cell>
          <cell r="C2135" t="str">
            <v>KANANGONON</v>
          </cell>
          <cell r="D2135" t="str">
            <v>-5.057313</v>
          </cell>
          <cell r="E2135" t="str">
            <v>8.299007</v>
          </cell>
          <cell r="F2135" t="str">
            <v>2G/3G/4G</v>
          </cell>
          <cell r="G2135" t="str">
            <v>HUAWEI</v>
          </cell>
          <cell r="H2135" t="str">
            <v>MOOV</v>
          </cell>
          <cell r="I2135" t="str">
            <v>KANANGONON</v>
          </cell>
          <cell r="J2135" t="str">
            <v>FRONAN</v>
          </cell>
          <cell r="K2135" t="str">
            <v>KATIOLA</v>
          </cell>
          <cell r="L2135" t="str">
            <v>HAMBOL</v>
          </cell>
          <cell r="M2135" t="str">
            <v>BOUAKE</v>
          </cell>
          <cell r="N2135" t="str">
            <v>UPCOUNTRY</v>
          </cell>
        </row>
        <row r="2136">
          <cell r="B2136" t="str">
            <v>IM177</v>
          </cell>
          <cell r="C2136" t="str">
            <v>KADARVOGO</v>
          </cell>
          <cell r="D2136" t="str">
            <v>-5.238232</v>
          </cell>
          <cell r="E2136" t="str">
            <v>10.310295</v>
          </cell>
          <cell r="F2136" t="str">
            <v>2G/3G/4G</v>
          </cell>
          <cell r="G2136" t="str">
            <v>HUAWEI</v>
          </cell>
          <cell r="H2136" t="str">
            <v>MOOV</v>
          </cell>
          <cell r="I2136" t="str">
            <v>KADARVOGO</v>
          </cell>
          <cell r="J2136" t="str">
            <v>KAOUARA</v>
          </cell>
          <cell r="K2136" t="str">
            <v>OUANGOLODOUGOU</v>
          </cell>
          <cell r="L2136" t="str">
            <v>TCHOLOGO</v>
          </cell>
          <cell r="M2136" t="str">
            <v>KORHOGO</v>
          </cell>
          <cell r="N2136" t="str">
            <v>UPCOUNTRY</v>
          </cell>
        </row>
        <row r="2137">
          <cell r="B2137" t="str">
            <v>IM400</v>
          </cell>
          <cell r="C2137" t="str">
            <v>MOLONOU-BLE_RURAL</v>
          </cell>
          <cell r="D2137" t="str">
            <v>-4.98857</v>
          </cell>
          <cell r="E2137" t="str">
            <v>7.40459</v>
          </cell>
          <cell r="F2137" t="str">
            <v>2G/3G/4G</v>
          </cell>
          <cell r="G2137" t="str">
            <v>HUAWEI</v>
          </cell>
          <cell r="H2137" t="str">
            <v>MOOV</v>
          </cell>
          <cell r="I2137" t="str">
            <v>MOLONOU-BLE</v>
          </cell>
          <cell r="J2137" t="str">
            <v>MOLONOU-BLÉ</v>
          </cell>
          <cell r="K2137" t="str">
            <v>DIDIEVI</v>
          </cell>
          <cell r="L2137" t="str">
            <v>BELIER</v>
          </cell>
          <cell r="M2137" t="str">
            <v>YAMOUSSOUKRO</v>
          </cell>
          <cell r="N2137" t="str">
            <v>UPCOUNTRY</v>
          </cell>
        </row>
        <row r="2138">
          <cell r="B2138" t="str">
            <v>IM427</v>
          </cell>
          <cell r="C2138" t="str">
            <v>DJEDANA_RURAL</v>
          </cell>
          <cell r="D2138" t="str">
            <v>-4.881071</v>
          </cell>
          <cell r="E2138" t="str">
            <v>9.213262</v>
          </cell>
          <cell r="F2138" t="str">
            <v>2G/3G/4G</v>
          </cell>
          <cell r="G2138" t="str">
            <v>HUAWEI</v>
          </cell>
          <cell r="H2138" t="str">
            <v>MOOV</v>
          </cell>
          <cell r="I2138" t="str">
            <v>DJEDANA</v>
          </cell>
          <cell r="J2138" t="str">
            <v>NAFANA</v>
          </cell>
          <cell r="K2138" t="str">
            <v>KONG</v>
          </cell>
          <cell r="L2138" t="str">
            <v>TCHOLOGO</v>
          </cell>
          <cell r="M2138" t="str">
            <v>KORHOGO</v>
          </cell>
          <cell r="N2138" t="str">
            <v>UPCOUNTRY</v>
          </cell>
        </row>
        <row r="2139">
          <cell r="B2139" t="str">
            <v>IM268</v>
          </cell>
          <cell r="C2139" t="str">
            <v>AFFOUNVASSOU</v>
          </cell>
          <cell r="D2139" t="str">
            <v>-3.877253</v>
          </cell>
          <cell r="E2139" t="str">
            <v>7.650261</v>
          </cell>
          <cell r="F2139" t="str">
            <v>2G/3G/4G</v>
          </cell>
          <cell r="G2139" t="str">
            <v>ERICSSON</v>
          </cell>
          <cell r="H2139" t="str">
            <v>MOOV</v>
          </cell>
          <cell r="I2139" t="str">
            <v>AFFOUNVASSOU</v>
          </cell>
          <cell r="J2139" t="str">
            <v>ANIANOU</v>
          </cell>
          <cell r="K2139" t="str">
            <v>PRIKRO</v>
          </cell>
          <cell r="L2139" t="str">
            <v>IFFOU</v>
          </cell>
          <cell r="M2139" t="str">
            <v>BOUAKE</v>
          </cell>
          <cell r="N2139" t="str">
            <v>UPCOUNTRY</v>
          </cell>
        </row>
        <row r="2140">
          <cell r="B2140" t="str">
            <v>IM265</v>
          </cell>
          <cell r="C2140" t="str">
            <v>NEHONNIE 2</v>
          </cell>
          <cell r="D2140" t="str">
            <v>-7.257150</v>
          </cell>
          <cell r="E2140" t="str">
            <v>4.629244</v>
          </cell>
          <cell r="F2140" t="str">
            <v>2G/3G/4G</v>
          </cell>
          <cell r="G2140" t="str">
            <v>ERICSSON</v>
          </cell>
          <cell r="H2140" t="str">
            <v>MOOV</v>
          </cell>
          <cell r="I2140" t="str">
            <v>NEHONNIE 2</v>
          </cell>
          <cell r="J2140" t="str">
            <v>GRAND-BÉRÉBY</v>
          </cell>
          <cell r="K2140" t="str">
            <v>SAN-PEDRO</v>
          </cell>
          <cell r="L2140" t="str">
            <v>SAN-PEDRO</v>
          </cell>
          <cell r="M2140" t="str">
            <v>SAN-PEDRO</v>
          </cell>
          <cell r="N2140" t="str">
            <v>UPCOUNTRY</v>
          </cell>
        </row>
        <row r="2141">
          <cell r="B2141" t="str">
            <v>IM232</v>
          </cell>
          <cell r="C2141" t="str">
            <v>ANYAMA_AHOUABO</v>
          </cell>
          <cell r="D2141" t="str">
            <v>-4.023225</v>
          </cell>
          <cell r="E2141" t="str">
            <v>5.504908</v>
          </cell>
          <cell r="F2141" t="str">
            <v>2G/3G/4G</v>
          </cell>
          <cell r="G2141" t="str">
            <v>ERICSSON</v>
          </cell>
          <cell r="H2141" t="str">
            <v>MOOV</v>
          </cell>
          <cell r="I2141" t="str">
            <v>ANYAMA</v>
          </cell>
          <cell r="J2141" t="str">
            <v>ANYAMA</v>
          </cell>
          <cell r="K2141" t="str">
            <v>ABIDJAN</v>
          </cell>
          <cell r="L2141" t="str">
            <v>ABIDJAN</v>
          </cell>
          <cell r="M2141" t="str">
            <v>ABOBO</v>
          </cell>
          <cell r="N2141" t="str">
            <v>ABIDJAN</v>
          </cell>
        </row>
        <row r="2142">
          <cell r="B2142" t="str">
            <v>IM291</v>
          </cell>
          <cell r="C2142" t="str">
            <v>BAKOMBI</v>
          </cell>
          <cell r="D2142" t="str">
            <v>-5.123192</v>
          </cell>
          <cell r="E2142" t="str">
            <v>10.254685</v>
          </cell>
          <cell r="F2142" t="str">
            <v>2G/3G/4G</v>
          </cell>
          <cell r="G2142" t="str">
            <v>HUAWEI</v>
          </cell>
          <cell r="H2142" t="str">
            <v>MOOV</v>
          </cell>
          <cell r="I2142" t="str">
            <v>BAKOMBI</v>
          </cell>
          <cell r="J2142" t="str">
            <v>KAOUARA</v>
          </cell>
          <cell r="K2142" t="str">
            <v>OUANGOLODOUGOU</v>
          </cell>
          <cell r="L2142" t="str">
            <v>TCHOLOGO</v>
          </cell>
          <cell r="M2142" t="str">
            <v>KORHOGO</v>
          </cell>
          <cell r="N2142" t="str">
            <v>UPCOUNTRY</v>
          </cell>
        </row>
        <row r="2143">
          <cell r="B2143" t="str">
            <v>IM434</v>
          </cell>
          <cell r="C2143" t="str">
            <v>KAGBOLODOUGOU_RURAL</v>
          </cell>
          <cell r="D2143" t="str">
            <v>-5.397718</v>
          </cell>
          <cell r="E2143" t="str">
            <v>9.396133</v>
          </cell>
          <cell r="F2143" t="str">
            <v>2G/3G/4G</v>
          </cell>
          <cell r="G2143" t="str">
            <v>HUAWEI</v>
          </cell>
          <cell r="H2143" t="str">
            <v>MOOV</v>
          </cell>
          <cell r="I2143" t="str">
            <v>KAGBOLODOUGOU</v>
          </cell>
          <cell r="J2143" t="str">
            <v>KAGBOLODOUGOU</v>
          </cell>
          <cell r="K2143" t="str">
            <v>SINEMATIALI</v>
          </cell>
          <cell r="L2143" t="str">
            <v>PORO</v>
          </cell>
          <cell r="M2143" t="str">
            <v>KORHOGO</v>
          </cell>
          <cell r="N2143" t="str">
            <v>UPCOUNTRY</v>
          </cell>
        </row>
        <row r="2144">
          <cell r="B2144" t="str">
            <v>IM306</v>
          </cell>
          <cell r="C2144" t="str">
            <v>MEDON</v>
          </cell>
          <cell r="D2144" t="str">
            <v>-6.215117</v>
          </cell>
          <cell r="E2144" t="str">
            <v>5.203622</v>
          </cell>
          <cell r="F2144" t="str">
            <v>2G/3G/4G</v>
          </cell>
          <cell r="G2144" t="str">
            <v>ERICSSON</v>
          </cell>
          <cell r="H2144" t="str">
            <v>MOOV</v>
          </cell>
          <cell r="I2144" t="str">
            <v>MEDON</v>
          </cell>
          <cell r="J2144" t="str">
            <v>MÉDON</v>
          </cell>
          <cell r="K2144" t="str">
            <v>SASSANDRA</v>
          </cell>
          <cell r="L2144" t="str">
            <v>GBOKLE</v>
          </cell>
          <cell r="M2144" t="str">
            <v>SAN-PEDRO</v>
          </cell>
          <cell r="N2144" t="str">
            <v>UPCOUNTRY</v>
          </cell>
        </row>
        <row r="2145">
          <cell r="B2145" t="str">
            <v>IM009</v>
          </cell>
          <cell r="C2145" t="str">
            <v>ABOBO_AKEIKOI-GESPERE</v>
          </cell>
          <cell r="D2145" t="str">
            <v>-4.015667</v>
          </cell>
          <cell r="E2145" t="str">
            <v>5.446990</v>
          </cell>
          <cell r="F2145" t="str">
            <v>2G/3G/4G</v>
          </cell>
          <cell r="G2145" t="str">
            <v>ERICSSON</v>
          </cell>
          <cell r="H2145" t="str">
            <v>MOOV</v>
          </cell>
          <cell r="I2145" t="str">
            <v>ABOBO</v>
          </cell>
          <cell r="J2145" t="str">
            <v>ABIDJAN</v>
          </cell>
          <cell r="K2145" t="str">
            <v>ABIDJAN</v>
          </cell>
          <cell r="L2145" t="str">
            <v>ABIDJAN</v>
          </cell>
          <cell r="M2145" t="str">
            <v>ABOBO</v>
          </cell>
          <cell r="N2145" t="str">
            <v>ABIDJAN</v>
          </cell>
        </row>
        <row r="2146">
          <cell r="B2146" t="str">
            <v>IM454</v>
          </cell>
          <cell r="C2146" t="str">
            <v>GUITRY_CHATEAU</v>
          </cell>
          <cell r="D2146" t="str">
            <v>-5.243771</v>
          </cell>
          <cell r="E2146" t="str">
            <v>5.510224</v>
          </cell>
          <cell r="F2146" t="str">
            <v>2G/3G/4G</v>
          </cell>
          <cell r="G2146" t="str">
            <v>ERICSSON</v>
          </cell>
          <cell r="H2146" t="str">
            <v>IHS</v>
          </cell>
          <cell r="I2146" t="str">
            <v>GUITRY</v>
          </cell>
          <cell r="J2146" t="str">
            <v>GUITRY</v>
          </cell>
          <cell r="K2146" t="str">
            <v>GUITRY</v>
          </cell>
          <cell r="L2146" t="str">
            <v>LOH-DJIBOUA</v>
          </cell>
          <cell r="M2146" t="str">
            <v>DIVO</v>
          </cell>
          <cell r="N2146" t="str">
            <v>UPCOUNTRY</v>
          </cell>
        </row>
        <row r="2147">
          <cell r="B2147" t="str">
            <v>IM372</v>
          </cell>
          <cell r="C2147" t="str">
            <v>DIVO_PLATEAU</v>
          </cell>
          <cell r="D2147" t="str">
            <v>-5.373467</v>
          </cell>
          <cell r="E2147" t="str">
            <v>5.849461</v>
          </cell>
          <cell r="F2147" t="str">
            <v>2G/3G/4G</v>
          </cell>
          <cell r="G2147" t="str">
            <v>ERICSSON</v>
          </cell>
          <cell r="H2147" t="str">
            <v>MOOV</v>
          </cell>
          <cell r="I2147" t="str">
            <v>DIVO</v>
          </cell>
          <cell r="J2147" t="str">
            <v>DIVO</v>
          </cell>
          <cell r="K2147" t="str">
            <v>DIVO</v>
          </cell>
          <cell r="L2147" t="str">
            <v>LOH-DJIBOUA</v>
          </cell>
          <cell r="M2147" t="str">
            <v>DIVO</v>
          </cell>
          <cell r="N2147" t="str">
            <v>UPCOUNTRY</v>
          </cell>
        </row>
        <row r="2148">
          <cell r="B2148" t="str">
            <v>IM071</v>
          </cell>
          <cell r="C2148" t="str">
            <v>UNIVERSITE_FHB_ENTREESUD</v>
          </cell>
          <cell r="D2148" t="str">
            <v>-3.984522</v>
          </cell>
          <cell r="E2148" t="str">
            <v>5.337861</v>
          </cell>
          <cell r="F2148" t="str">
            <v>2G/3G/4G</v>
          </cell>
          <cell r="G2148" t="str">
            <v>ERICSSON</v>
          </cell>
          <cell r="H2148" t="str">
            <v>MTN</v>
          </cell>
          <cell r="I2148" t="str">
            <v>COCODY</v>
          </cell>
          <cell r="J2148" t="str">
            <v>ABIDJAN</v>
          </cell>
          <cell r="K2148" t="str">
            <v>ABIDJAN</v>
          </cell>
          <cell r="L2148" t="str">
            <v>ABIDJAN</v>
          </cell>
          <cell r="M2148" t="str">
            <v>COCODY CENTRE</v>
          </cell>
          <cell r="N2148" t="str">
            <v>ABIDJAN</v>
          </cell>
        </row>
        <row r="2149">
          <cell r="B2149" t="str">
            <v>IM300</v>
          </cell>
          <cell r="C2149" t="str">
            <v>BANDAKAGNI-TOMORA</v>
          </cell>
          <cell r="D2149" t="str">
            <v>-3.306257</v>
          </cell>
          <cell r="E2149" t="str">
            <v>8.010505</v>
          </cell>
          <cell r="F2149" t="str">
            <v>2G/3G/4G</v>
          </cell>
          <cell r="G2149" t="str">
            <v>ERICSSON</v>
          </cell>
          <cell r="H2149" t="str">
            <v>MOOV</v>
          </cell>
          <cell r="I2149" t="str">
            <v>BANDAKAGNI-TOMORA</v>
          </cell>
          <cell r="J2149" t="str">
            <v>BANDAKAGNI-TOMORA</v>
          </cell>
          <cell r="K2149" t="str">
            <v>SANDÉGUÉ</v>
          </cell>
          <cell r="L2149" t="str">
            <v>GONTOUGO</v>
          </cell>
          <cell r="M2149" t="str">
            <v>ABENGOUROU</v>
          </cell>
          <cell r="N2149" t="str">
            <v>UPCOUNTRY</v>
          </cell>
        </row>
        <row r="2150">
          <cell r="B2150" t="str">
            <v>IM422</v>
          </cell>
          <cell r="C2150" t="str">
            <v>ABENG_MBSC</v>
          </cell>
          <cell r="D2150" t="str">
            <v>-3.477898</v>
          </cell>
          <cell r="E2150" t="str">
            <v>6.735528</v>
          </cell>
          <cell r="F2150" t="str">
            <v>2G/3G/4G</v>
          </cell>
          <cell r="G2150" t="str">
            <v>ERICSSON</v>
          </cell>
          <cell r="H2150" t="str">
            <v>MOOV</v>
          </cell>
          <cell r="I2150" t="str">
            <v>ABENGOUROU</v>
          </cell>
          <cell r="J2150" t="str">
            <v>ABENGOUROU</v>
          </cell>
          <cell r="K2150" t="str">
            <v>ABENGOUROU</v>
          </cell>
          <cell r="L2150" t="str">
            <v>INDENIE-DJUABLIN</v>
          </cell>
          <cell r="M2150" t="str">
            <v>ABENGOUROU</v>
          </cell>
          <cell r="N2150" t="str">
            <v>UPCOUNTRY</v>
          </cell>
        </row>
        <row r="2151">
          <cell r="B2151" t="str">
            <v>IM466</v>
          </cell>
          <cell r="C2151" t="str">
            <v>ANGOLOKAHA_RURAL</v>
          </cell>
          <cell r="D2151" t="str">
            <v>-5.176118</v>
          </cell>
          <cell r="E2151" t="str">
            <v>8.520269</v>
          </cell>
          <cell r="F2151" t="str">
            <v>2G/3G/4G</v>
          </cell>
          <cell r="G2151" t="str">
            <v>HUAWEI</v>
          </cell>
          <cell r="H2151" t="str">
            <v>MOOV</v>
          </cell>
          <cell r="I2151" t="str">
            <v>ANGOLOKAHA</v>
          </cell>
          <cell r="J2151" t="str">
            <v>NIAKARAMADOUGOU</v>
          </cell>
          <cell r="K2151" t="str">
            <v>NIAKARAMADOUGOU</v>
          </cell>
          <cell r="L2151" t="str">
            <v>HAMBOL</v>
          </cell>
          <cell r="M2151" t="str">
            <v>BOUAKE</v>
          </cell>
          <cell r="N2151" t="str">
            <v>UPCOUNTRY</v>
          </cell>
        </row>
        <row r="2152">
          <cell r="B2152" t="str">
            <v>IM305</v>
          </cell>
          <cell r="C2152" t="str">
            <v>TIAZALE</v>
          </cell>
          <cell r="D2152" t="str">
            <v>-5.959433</v>
          </cell>
          <cell r="E2152" t="str">
            <v>5.198634</v>
          </cell>
          <cell r="F2152" t="str">
            <v>2G/3G/4G</v>
          </cell>
          <cell r="G2152" t="str">
            <v>ERICSSON</v>
          </cell>
          <cell r="H2152" t="str">
            <v>MOOV</v>
          </cell>
          <cell r="I2152" t="str">
            <v>TIAZALE</v>
          </cell>
          <cell r="J2152" t="str">
            <v>SAGO</v>
          </cell>
          <cell r="K2152" t="str">
            <v>SASSANDRA</v>
          </cell>
          <cell r="L2152" t="str">
            <v>GBOKLE</v>
          </cell>
          <cell r="M2152" t="str">
            <v>SAN-PEDRO</v>
          </cell>
          <cell r="N2152" t="str">
            <v>UPCOUNTRY</v>
          </cell>
        </row>
        <row r="2153">
          <cell r="B2153" t="str">
            <v>ET764</v>
          </cell>
          <cell r="C2153" t="str">
            <v>DIVO_MILLIONNAIRE</v>
          </cell>
          <cell r="D2153" t="str">
            <v>-5.338097</v>
          </cell>
          <cell r="E2153" t="str">
            <v>5.844555</v>
          </cell>
          <cell r="F2153" t="str">
            <v>2G/3G/4G</v>
          </cell>
          <cell r="G2153" t="str">
            <v>ERICSSON</v>
          </cell>
          <cell r="H2153" t="str">
            <v>MOOV</v>
          </cell>
          <cell r="I2153" t="str">
            <v>DIVO</v>
          </cell>
          <cell r="J2153" t="str">
            <v>DIVO</v>
          </cell>
          <cell r="K2153" t="str">
            <v>DIVO</v>
          </cell>
          <cell r="L2153" t="str">
            <v>LOH-DJIBOUA</v>
          </cell>
          <cell r="M2153" t="str">
            <v>DIVO</v>
          </cell>
          <cell r="N2153" t="str">
            <v>UPCOUNTRY</v>
          </cell>
        </row>
        <row r="2154">
          <cell r="B2154" t="str">
            <v>IM450</v>
          </cell>
          <cell r="C2154" t="str">
            <v>DIOULABOUGOU-BOLEKO</v>
          </cell>
          <cell r="D2154" t="str">
            <v>-5.169495</v>
          </cell>
          <cell r="E2154" t="str">
            <v>5.352119</v>
          </cell>
          <cell r="F2154" t="str">
            <v>2G/3G/4G</v>
          </cell>
          <cell r="G2154" t="str">
            <v>ERICSSON</v>
          </cell>
          <cell r="H2154" t="str">
            <v>MOOV</v>
          </cell>
          <cell r="I2154" t="str">
            <v>DIOULABOUGOU-BOLEKO</v>
          </cell>
          <cell r="J2154" t="str">
            <v>YOCOBOUÉ</v>
          </cell>
          <cell r="K2154" t="str">
            <v>GUITRY</v>
          </cell>
          <cell r="L2154" t="str">
            <v>LOH-DJIBOUA</v>
          </cell>
          <cell r="M2154" t="str">
            <v>DIVO</v>
          </cell>
          <cell r="N2154" t="str">
            <v>UPCOUNTRY</v>
          </cell>
        </row>
        <row r="2155">
          <cell r="B2155" t="str">
            <v>IM435</v>
          </cell>
          <cell r="C2155" t="str">
            <v>LANDIOUGOU_RURAL</v>
          </cell>
          <cell r="D2155" t="str">
            <v>-6.2913</v>
          </cell>
          <cell r="E2155" t="str">
            <v>9.78265</v>
          </cell>
          <cell r="F2155" t="str">
            <v>2G/3G/4G</v>
          </cell>
          <cell r="G2155" t="str">
            <v>HUAWEI</v>
          </cell>
          <cell r="H2155" t="str">
            <v>MOOV</v>
          </cell>
          <cell r="I2155" t="str">
            <v>LANDIOUGOU</v>
          </cell>
          <cell r="J2155" t="str">
            <v>KASSERE</v>
          </cell>
          <cell r="K2155" t="str">
            <v>BOUNDIALI</v>
          </cell>
          <cell r="L2155" t="str">
            <v>BAGOUE</v>
          </cell>
          <cell r="M2155" t="str">
            <v>KORHOGO</v>
          </cell>
          <cell r="N2155" t="str">
            <v>UPCOUNTRY</v>
          </cell>
        </row>
        <row r="2156">
          <cell r="B2156" t="str">
            <v>IM383</v>
          </cell>
          <cell r="C2156" t="str">
            <v>TOTRODROU_RURAL</v>
          </cell>
          <cell r="D2156" t="str">
            <v>-7.387968</v>
          </cell>
          <cell r="E2156" t="str">
            <v>7.286429</v>
          </cell>
          <cell r="F2156" t="str">
            <v>2G/3G/4G</v>
          </cell>
          <cell r="G2156" t="str">
            <v>HUAWEI</v>
          </cell>
          <cell r="H2156" t="str">
            <v>MOOV</v>
          </cell>
          <cell r="I2156" t="str">
            <v>TOTODROU</v>
          </cell>
          <cell r="J2156" t="str">
            <v>TOTODROU</v>
          </cell>
          <cell r="K2156" t="str">
            <v>KOUIBLY</v>
          </cell>
          <cell r="L2156" t="str">
            <v>GUEMON</v>
          </cell>
          <cell r="M2156" t="str">
            <v>MAN</v>
          </cell>
          <cell r="N2156" t="str">
            <v>UPCOUNTRY</v>
          </cell>
        </row>
        <row r="2157">
          <cell r="B2157" t="str">
            <v>ET846</v>
          </cell>
          <cell r="C2157" t="str">
            <v>BOUNTA</v>
          </cell>
          <cell r="D2157" t="str">
            <v>-7.961517</v>
          </cell>
          <cell r="E2157" t="str">
            <v>7.644499</v>
          </cell>
          <cell r="F2157" t="str">
            <v>2G/3G/4G</v>
          </cell>
          <cell r="G2157" t="str">
            <v>HUAWEI</v>
          </cell>
          <cell r="H2157" t="str">
            <v>MOOV</v>
          </cell>
          <cell r="I2157" t="str">
            <v>BOUNTA</v>
          </cell>
          <cell r="J2157" t="str">
            <v>SANTA</v>
          </cell>
          <cell r="K2157" t="str">
            <v>BIANKOUMA</v>
          </cell>
          <cell r="L2157" t="str">
            <v>TONKPI</v>
          </cell>
          <cell r="M2157" t="str">
            <v>MAN</v>
          </cell>
          <cell r="N2157" t="str">
            <v>UPCOUNTRY</v>
          </cell>
        </row>
        <row r="2158">
          <cell r="B2158" t="str">
            <v>IM453</v>
          </cell>
          <cell r="C2158" t="str">
            <v>BINGES_SUD</v>
          </cell>
          <cell r="D2158" t="str">
            <v>-3.891501</v>
          </cell>
          <cell r="E2158" t="str">
            <v>5.336526</v>
          </cell>
          <cell r="F2158" t="str">
            <v>2G/3G/4G</v>
          </cell>
          <cell r="G2158" t="str">
            <v>ERICSSON</v>
          </cell>
          <cell r="H2158" t="str">
            <v>IHS</v>
          </cell>
          <cell r="I2158" t="str">
            <v>BINGERVILLE</v>
          </cell>
          <cell r="J2158" t="str">
            <v>BINGERVILLE</v>
          </cell>
          <cell r="K2158" t="str">
            <v>ABIDJAN</v>
          </cell>
          <cell r="L2158" t="str">
            <v>ABIDJAN</v>
          </cell>
          <cell r="M2158" t="str">
            <v>COCODY LATRILLE</v>
          </cell>
          <cell r="N2158" t="str">
            <v>ABIDJAN</v>
          </cell>
        </row>
        <row r="2159">
          <cell r="B2159" t="str">
            <v>IM010</v>
          </cell>
          <cell r="C2159" t="str">
            <v>ABOBO_AB_BROUKOI</v>
          </cell>
          <cell r="D2159" t="str">
            <v>-4.062442</v>
          </cell>
          <cell r="E2159" t="str">
            <v>5.468208</v>
          </cell>
          <cell r="F2159" t="str">
            <v>2G/3G/4G</v>
          </cell>
          <cell r="G2159" t="str">
            <v>ERICSSON</v>
          </cell>
          <cell r="H2159" t="str">
            <v>MOOV</v>
          </cell>
          <cell r="I2159" t="str">
            <v>ABOBO</v>
          </cell>
          <cell r="J2159" t="str">
            <v>ABIDJAN</v>
          </cell>
          <cell r="K2159" t="str">
            <v>ABIDJAN</v>
          </cell>
          <cell r="L2159" t="str">
            <v>ABIDJAN</v>
          </cell>
          <cell r="M2159" t="str">
            <v>ABOBO</v>
          </cell>
          <cell r="N2159" t="str">
            <v>ABIDJAN</v>
          </cell>
        </row>
        <row r="2160">
          <cell r="B2160" t="str">
            <v>IM345</v>
          </cell>
          <cell r="C2160" t="str">
            <v>ADJADON V2_RURAL</v>
          </cell>
          <cell r="D2160" t="str">
            <v>-5.1802</v>
          </cell>
          <cell r="E2160" t="str">
            <v>5.1406</v>
          </cell>
          <cell r="F2160" t="str">
            <v>2G/3G/4G</v>
          </cell>
          <cell r="G2160" t="str">
            <v>ERICSSON</v>
          </cell>
          <cell r="H2160" t="str">
            <v>MOOV</v>
          </cell>
          <cell r="I2160" t="str">
            <v>ADJADON V2</v>
          </cell>
          <cell r="J2160" t="str">
            <v>EBONOU</v>
          </cell>
          <cell r="K2160" t="str">
            <v>GRAND-LAHOU</v>
          </cell>
          <cell r="L2160" t="str">
            <v>GRANDS-PONTS</v>
          </cell>
          <cell r="M2160" t="str">
            <v>YOPOUGON FICGAYO</v>
          </cell>
          <cell r="N2160" t="str">
            <v>UPCOUNTRY</v>
          </cell>
        </row>
        <row r="2161">
          <cell r="B2161" t="str">
            <v>IM180</v>
          </cell>
          <cell r="C2161" t="str">
            <v>GBOKORE-PINANGO_RURAL</v>
          </cell>
          <cell r="D2161" t="str">
            <v>-2.829962</v>
          </cell>
          <cell r="E2161" t="str">
            <v>8.172121</v>
          </cell>
          <cell r="F2161" t="str">
            <v>2G/3G/4G</v>
          </cell>
          <cell r="G2161" t="str">
            <v>ERICSSON</v>
          </cell>
          <cell r="H2161" t="str">
            <v>MOOV</v>
          </cell>
          <cell r="I2161" t="str">
            <v>GBOKORE-PINANGO</v>
          </cell>
          <cell r="J2161" t="str">
            <v>BONDOUKOU</v>
          </cell>
          <cell r="K2161" t="str">
            <v>BONDOUKOU</v>
          </cell>
          <cell r="L2161" t="str">
            <v>GONTOUGO</v>
          </cell>
          <cell r="M2161" t="str">
            <v>ABENGOUROU</v>
          </cell>
          <cell r="N2161" t="str">
            <v>UPCOUNTRY</v>
          </cell>
        </row>
        <row r="2162">
          <cell r="B2162" t="str">
            <v>IM346</v>
          </cell>
          <cell r="C2162" t="str">
            <v>GBANGOURMAN_RURAL</v>
          </cell>
          <cell r="D2162" t="str">
            <v>-3.852589</v>
          </cell>
          <cell r="E2162" t="str">
            <v>7.998672</v>
          </cell>
          <cell r="F2162" t="str">
            <v>2G/3G/4G</v>
          </cell>
          <cell r="G2162" t="str">
            <v>ERICSSON</v>
          </cell>
          <cell r="H2162" t="str">
            <v>MOOV</v>
          </cell>
          <cell r="I2162" t="str">
            <v>GBANGOURMAN</v>
          </cell>
          <cell r="J2162" t="str">
            <v>DIMANDOUGOU</v>
          </cell>
          <cell r="K2162" t="str">
            <v>SANDEGUE</v>
          </cell>
          <cell r="L2162" t="str">
            <v>GONTOUGO</v>
          </cell>
          <cell r="M2162" t="str">
            <v>ABENGOUROU</v>
          </cell>
          <cell r="N2162" t="str">
            <v>UPCOUNTRY</v>
          </cell>
        </row>
        <row r="2163">
          <cell r="B2163" t="str">
            <v>IM350</v>
          </cell>
          <cell r="C2163" t="str">
            <v>SANLO_RURAL</v>
          </cell>
          <cell r="D2163" t="str">
            <v>-3.761133</v>
          </cell>
          <cell r="E2163" t="str">
            <v>8.229210</v>
          </cell>
          <cell r="F2163" t="str">
            <v>2G/3G/4G</v>
          </cell>
          <cell r="G2163" t="str">
            <v>ERICSSON</v>
          </cell>
          <cell r="H2163" t="str">
            <v>MOOV</v>
          </cell>
          <cell r="I2163" t="str">
            <v>SANLO</v>
          </cell>
          <cell r="J2163" t="str">
            <v>YOROBODI</v>
          </cell>
          <cell r="K2163" t="str">
            <v>SANDEGUE</v>
          </cell>
          <cell r="L2163" t="str">
            <v>GONTOUGO</v>
          </cell>
          <cell r="M2163" t="str">
            <v>ABENGOUROU</v>
          </cell>
          <cell r="N2163" t="str">
            <v>UPCOUNTRY</v>
          </cell>
        </row>
        <row r="2164">
          <cell r="B2164" t="str">
            <v>IM363</v>
          </cell>
          <cell r="C2164" t="str">
            <v>BINIMERE_RURAL</v>
          </cell>
          <cell r="D2164" t="str">
            <v>-3.198966</v>
          </cell>
          <cell r="E2164" t="str">
            <v>8.369677</v>
          </cell>
          <cell r="F2164" t="str">
            <v>2G/3G/4G</v>
          </cell>
          <cell r="G2164" t="str">
            <v>ERICSSON</v>
          </cell>
          <cell r="H2164" t="str">
            <v>MOOV</v>
          </cell>
          <cell r="I2164" t="str">
            <v>BINIMERE</v>
          </cell>
          <cell r="J2164" t="str">
            <v>BONDO</v>
          </cell>
          <cell r="K2164" t="str">
            <v>BONDOUKOU</v>
          </cell>
          <cell r="L2164" t="str">
            <v>GONTOUGO</v>
          </cell>
          <cell r="M2164" t="str">
            <v>ABENGOUROU</v>
          </cell>
          <cell r="N2164" t="str">
            <v>UPCOUNTRY</v>
          </cell>
        </row>
        <row r="2165">
          <cell r="B2165" t="str">
            <v>IM365</v>
          </cell>
          <cell r="C2165" t="str">
            <v>BANTI/ZOLONGO_RURAL</v>
          </cell>
          <cell r="D2165" t="str">
            <v>-3.31656</v>
          </cell>
          <cell r="E2165" t="str">
            <v>8.37725</v>
          </cell>
          <cell r="F2165" t="str">
            <v>2G/3G/4G</v>
          </cell>
          <cell r="G2165" t="str">
            <v>ERICSSON</v>
          </cell>
          <cell r="H2165" t="str">
            <v>MOOV</v>
          </cell>
          <cell r="I2165" t="str">
            <v>BANTI</v>
          </cell>
          <cell r="J2165" t="str">
            <v>BONDO</v>
          </cell>
          <cell r="K2165" t="str">
            <v>BONDOUKOU</v>
          </cell>
          <cell r="L2165" t="str">
            <v>GONTOUGO</v>
          </cell>
          <cell r="M2165" t="str">
            <v>ABENGOUROU</v>
          </cell>
          <cell r="N2165" t="str">
            <v>UPCOUNTRY</v>
          </cell>
        </row>
        <row r="2166">
          <cell r="B2166" t="str">
            <v>IM342</v>
          </cell>
          <cell r="C2166" t="str">
            <v>ZIGRIGBI 1_RURAL</v>
          </cell>
          <cell r="D2166" t="str">
            <v>-5.422443</v>
          </cell>
          <cell r="E2166" t="str">
            <v>5.611665</v>
          </cell>
          <cell r="F2166" t="str">
            <v>2G/3G/4G</v>
          </cell>
          <cell r="G2166" t="str">
            <v>ERICSSON</v>
          </cell>
          <cell r="H2166" t="str">
            <v>MOOV</v>
          </cell>
          <cell r="I2166" t="str">
            <v>ZIGRIGBI 1</v>
          </cell>
          <cell r="J2166" t="str">
            <v>DAIRO-DIDIZO</v>
          </cell>
          <cell r="K2166" t="str">
            <v>GUITRY</v>
          </cell>
          <cell r="L2166" t="str">
            <v>LOH-DJIBOUA</v>
          </cell>
          <cell r="M2166" t="str">
            <v>DIVO</v>
          </cell>
          <cell r="N2166" t="str">
            <v>UPCOUNTRY</v>
          </cell>
        </row>
        <row r="2167">
          <cell r="B2167" t="str">
            <v>IM364</v>
          </cell>
          <cell r="C2167" t="str">
            <v>BIKOHIDOUO_RURAL</v>
          </cell>
          <cell r="D2167" t="str">
            <v>-3.18658</v>
          </cell>
          <cell r="E2167" t="str">
            <v>9.22056</v>
          </cell>
          <cell r="F2167" t="str">
            <v>2G/3G/4G</v>
          </cell>
          <cell r="G2167" t="str">
            <v>ERICSSON</v>
          </cell>
          <cell r="H2167" t="str">
            <v>MOOV</v>
          </cell>
          <cell r="I2167" t="str">
            <v>BIKOHIDOUO</v>
          </cell>
          <cell r="J2167" t="str">
            <v>BOUNA</v>
          </cell>
          <cell r="K2167" t="str">
            <v>BOUNA</v>
          </cell>
          <cell r="L2167" t="str">
            <v>BOUNKANI</v>
          </cell>
          <cell r="M2167" t="str">
            <v>ABENGOUROU</v>
          </cell>
          <cell r="N2167" t="str">
            <v>UPCOUNTRY</v>
          </cell>
        </row>
        <row r="2168">
          <cell r="B2168" t="str">
            <v>IM356</v>
          </cell>
          <cell r="C2168" t="str">
            <v>VINVERANA_RURAL</v>
          </cell>
          <cell r="D2168" t="str">
            <v>-3.466309</v>
          </cell>
          <cell r="E2168" t="str">
            <v>9.88748</v>
          </cell>
          <cell r="F2168" t="str">
            <v>2G/3G/4G</v>
          </cell>
          <cell r="G2168" t="str">
            <v>ERICSSON</v>
          </cell>
          <cell r="H2168" t="str">
            <v>MOOV</v>
          </cell>
          <cell r="I2168" t="str">
            <v>VINVERANA</v>
          </cell>
          <cell r="J2168" t="str">
            <v>GOGO</v>
          </cell>
          <cell r="K2168" t="str">
            <v>TEHINI</v>
          </cell>
          <cell r="L2168" t="str">
            <v>BOUNKANI</v>
          </cell>
          <cell r="M2168" t="str">
            <v>ABENGOUROU</v>
          </cell>
          <cell r="N2168" t="str">
            <v>UPCOUNTRY</v>
          </cell>
        </row>
        <row r="2169">
          <cell r="B2169" t="str">
            <v>IM362</v>
          </cell>
          <cell r="C2169" t="str">
            <v>YALO_RURAL</v>
          </cell>
          <cell r="D2169" t="str">
            <v>-3.244454</v>
          </cell>
          <cell r="E2169" t="str">
            <v>9.343792</v>
          </cell>
          <cell r="F2169" t="str">
            <v>2G/3G/4G</v>
          </cell>
          <cell r="G2169" t="str">
            <v>ERICSSON</v>
          </cell>
          <cell r="H2169" t="str">
            <v>MOOV</v>
          </cell>
          <cell r="I2169" t="str">
            <v>YALO</v>
          </cell>
          <cell r="J2169" t="str">
            <v>BOUNA</v>
          </cell>
          <cell r="K2169" t="str">
            <v>BOUNA</v>
          </cell>
          <cell r="L2169" t="str">
            <v>BOUNKANI</v>
          </cell>
          <cell r="M2169" t="str">
            <v>ABENGOUROU</v>
          </cell>
          <cell r="N2169" t="str">
            <v>UPCOUNTRY</v>
          </cell>
        </row>
        <row r="2170">
          <cell r="B2170" t="str">
            <v>IM161</v>
          </cell>
          <cell r="C2170" t="str">
            <v>SEGUELON</v>
          </cell>
          <cell r="D2170" t="str">
            <v>-7.121412</v>
          </cell>
          <cell r="E2170" t="str">
            <v>9.349710</v>
          </cell>
          <cell r="F2170" t="str">
            <v>2G/3G/4G</v>
          </cell>
          <cell r="G2170" t="str">
            <v>HUAWEI</v>
          </cell>
          <cell r="H2170" t="str">
            <v>MOOV</v>
          </cell>
          <cell r="I2170" t="str">
            <v>SEGUELON</v>
          </cell>
          <cell r="J2170" t="str">
            <v>SEGUELON</v>
          </cell>
          <cell r="K2170" t="str">
            <v>SEGUELON</v>
          </cell>
          <cell r="L2170" t="str">
            <v>KABADOUGOU</v>
          </cell>
          <cell r="M2170" t="str">
            <v>MAN</v>
          </cell>
          <cell r="N2170" t="str">
            <v>UPCOUNTRY</v>
          </cell>
        </row>
        <row r="2171">
          <cell r="B2171" t="str">
            <v>IM525</v>
          </cell>
          <cell r="C2171" t="str">
            <v>BINGES_CITE MELODIE 2</v>
          </cell>
          <cell r="D2171" t="str">
            <v>-3.877860</v>
          </cell>
          <cell r="E2171" t="str">
            <v>5.376502</v>
          </cell>
          <cell r="F2171" t="str">
            <v>2G/3G/4G</v>
          </cell>
          <cell r="G2171" t="str">
            <v>ERICSSON</v>
          </cell>
          <cell r="H2171" t="str">
            <v>MOOV</v>
          </cell>
          <cell r="I2171" t="str">
            <v>BINGERVILLE</v>
          </cell>
          <cell r="J2171" t="str">
            <v>BINGERVILLE</v>
          </cell>
          <cell r="K2171" t="str">
            <v>ABIDJAN</v>
          </cell>
          <cell r="L2171" t="str">
            <v>ABIDJAN</v>
          </cell>
          <cell r="M2171" t="str">
            <v>ABIDJAN</v>
          </cell>
          <cell r="N2171" t="str">
            <v>ABIDJAN</v>
          </cell>
        </row>
        <row r="2172">
          <cell r="B2172" t="str">
            <v>IM522</v>
          </cell>
          <cell r="C2172" t="str">
            <v>YOP_BAFOND</v>
          </cell>
          <cell r="D2172" t="str">
            <v>-4.113283</v>
          </cell>
          <cell r="E2172" t="str">
            <v>5.370326</v>
          </cell>
          <cell r="F2172" t="str">
            <v>2G/3G/4G</v>
          </cell>
          <cell r="G2172" t="str">
            <v>ERICSSON</v>
          </cell>
          <cell r="H2172" t="str">
            <v>IHS</v>
          </cell>
          <cell r="I2172" t="str">
            <v>YOPOUGON</v>
          </cell>
          <cell r="J2172" t="str">
            <v>ABIDJAN</v>
          </cell>
          <cell r="K2172" t="str">
            <v>ABIDJAN</v>
          </cell>
          <cell r="L2172" t="str">
            <v>ABIDJAN</v>
          </cell>
          <cell r="M2172" t="str">
            <v>ABIDJAN</v>
          </cell>
          <cell r="N2172" t="str">
            <v>ABIDJAN</v>
          </cell>
        </row>
        <row r="2173">
          <cell r="B2173" t="str">
            <v>IM510</v>
          </cell>
          <cell r="C2173" t="str">
            <v>CITE_SIR_EXT</v>
          </cell>
          <cell r="D2173" t="str">
            <v>-3.917820</v>
          </cell>
          <cell r="E2173" t="str">
            <v>5.390172</v>
          </cell>
          <cell r="F2173" t="str">
            <v>2G/3G/4G</v>
          </cell>
          <cell r="G2173" t="str">
            <v>ERICSSON</v>
          </cell>
          <cell r="H2173" t="str">
            <v>IHS</v>
          </cell>
          <cell r="I2173" t="str">
            <v>BINGERVILLE</v>
          </cell>
          <cell r="J2173" t="str">
            <v>BINGERVILLE</v>
          </cell>
          <cell r="K2173" t="str">
            <v>ABIDJAN</v>
          </cell>
          <cell r="L2173" t="str">
            <v>ABIDJAN</v>
          </cell>
          <cell r="M2173" t="str">
            <v>ABIDJAN</v>
          </cell>
          <cell r="N2173" t="str">
            <v>ABIDJAN</v>
          </cell>
        </row>
        <row r="2174">
          <cell r="B2174" t="str">
            <v>IM544</v>
          </cell>
          <cell r="C2174" t="str">
            <v>GAGNOA_DARESALAM</v>
          </cell>
          <cell r="D2174" t="str">
            <v>-5.953218</v>
          </cell>
          <cell r="E2174" t="str">
            <v>6.127819</v>
          </cell>
          <cell r="F2174" t="str">
            <v>2G/3G/4G</v>
          </cell>
          <cell r="G2174" t="str">
            <v>HUAWEI</v>
          </cell>
          <cell r="H2174" t="str">
            <v>MOOV</v>
          </cell>
          <cell r="I2174" t="str">
            <v>GAGNOA</v>
          </cell>
          <cell r="J2174" t="str">
            <v>GAGNOA</v>
          </cell>
          <cell r="K2174" t="str">
            <v>GAGNOA</v>
          </cell>
          <cell r="L2174" t="str">
            <v>GOH</v>
          </cell>
          <cell r="M2174" t="str">
            <v>GAGNOA</v>
          </cell>
          <cell r="N2174" t="str">
            <v>UPCOUNTRY</v>
          </cell>
        </row>
        <row r="2175">
          <cell r="B2175" t="str">
            <v>IM599</v>
          </cell>
          <cell r="C2175" t="str">
            <v>SEGUELA_PREFECTURE</v>
          </cell>
          <cell r="D2175" t="str">
            <v>-6.676874</v>
          </cell>
          <cell r="E2175" t="str">
            <v>7.954064</v>
          </cell>
          <cell r="F2175" t="str">
            <v>2G/3G/4G</v>
          </cell>
          <cell r="G2175" t="str">
            <v>HUAWEI</v>
          </cell>
          <cell r="H2175" t="str">
            <v>MOOV</v>
          </cell>
          <cell r="I2175" t="str">
            <v>SEGUELA</v>
          </cell>
          <cell r="J2175" t="str">
            <v>SEGUELA</v>
          </cell>
          <cell r="K2175" t="str">
            <v>SEGUELA</v>
          </cell>
          <cell r="L2175" t="str">
            <v>WORODOUGOU</v>
          </cell>
          <cell r="M2175" t="str">
            <v>DALOA</v>
          </cell>
          <cell r="N2175" t="str">
            <v>UPCOUNTRY</v>
          </cell>
        </row>
        <row r="2176">
          <cell r="B2176" t="str">
            <v>IM619</v>
          </cell>
          <cell r="C2176" t="str">
            <v>LAFIGUE</v>
          </cell>
          <cell r="D2176" t="str">
            <v>-4.623485</v>
          </cell>
          <cell r="E2176" t="str">
            <v>8.296611</v>
          </cell>
          <cell r="F2176" t="str">
            <v>2G/3G/4G</v>
          </cell>
          <cell r="G2176" t="str">
            <v>HUAWEI</v>
          </cell>
          <cell r="H2176" t="str">
            <v>MOOV</v>
          </cell>
          <cell r="I2176" t="str">
            <v>LAFIGUE</v>
          </cell>
          <cell r="J2176" t="str">
            <v>DABAKALA</v>
          </cell>
          <cell r="K2176" t="str">
            <v>DABAKALA</v>
          </cell>
          <cell r="L2176" t="str">
            <v>HAMBOL</v>
          </cell>
          <cell r="M2176" t="str">
            <v>BOUAKE</v>
          </cell>
          <cell r="N2176" t="str">
            <v>UPCOUNTRY</v>
          </cell>
        </row>
        <row r="2177">
          <cell r="B2177" t="str">
            <v>IM552</v>
          </cell>
          <cell r="C2177" t="str">
            <v>FACOBLY_RESIDENTIEL</v>
          </cell>
          <cell r="D2177" t="str">
            <v>-7.375411</v>
          </cell>
          <cell r="E2177" t="str">
            <v>7.391408</v>
          </cell>
          <cell r="F2177" t="str">
            <v>2G/3G/4G</v>
          </cell>
          <cell r="G2177" t="str">
            <v>HUAWEI</v>
          </cell>
          <cell r="H2177" t="str">
            <v>MOOV</v>
          </cell>
          <cell r="I2177" t="str">
            <v>FACOBLY</v>
          </cell>
          <cell r="J2177" t="str">
            <v>FACOBLY</v>
          </cell>
          <cell r="K2177" t="str">
            <v>FACOBLY</v>
          </cell>
          <cell r="L2177" t="str">
            <v>GUEMON</v>
          </cell>
          <cell r="M2177" t="str">
            <v>MAN</v>
          </cell>
          <cell r="N2177" t="str">
            <v>UPCOUNTRY</v>
          </cell>
        </row>
        <row r="2178">
          <cell r="B2178" t="str">
            <v>IM069</v>
          </cell>
          <cell r="C2178" t="str">
            <v>WANEWA</v>
          </cell>
          <cell r="D2178" t="str">
            <v>-6.113768</v>
          </cell>
          <cell r="E2178" t="str">
            <v>5.829223</v>
          </cell>
          <cell r="F2178" t="str">
            <v>2G/3G/4G</v>
          </cell>
          <cell r="G2178" t="str">
            <v>HUAWEI</v>
          </cell>
          <cell r="H2178" t="str">
            <v>MOOV</v>
          </cell>
          <cell r="I2178" t="str">
            <v>WANEWA</v>
          </cell>
          <cell r="J2178" t="str">
            <v>SERIHIO</v>
          </cell>
          <cell r="K2178" t="str">
            <v>GAGNOA</v>
          </cell>
          <cell r="L2178" t="str">
            <v>GOH</v>
          </cell>
          <cell r="M2178" t="str">
            <v>GAGNOA</v>
          </cell>
          <cell r="N2178" t="str">
            <v>UPCOUNTRY</v>
          </cell>
        </row>
        <row r="2179">
          <cell r="B2179" t="str">
            <v>IM597</v>
          </cell>
          <cell r="C2179" t="str">
            <v>MAN_HOUPHOUETVILLE</v>
          </cell>
          <cell r="D2179" t="str">
            <v>-7.562548</v>
          </cell>
          <cell r="E2179" t="str">
            <v>7.381944</v>
          </cell>
          <cell r="F2179" t="str">
            <v>2G/3G/4G</v>
          </cell>
          <cell r="G2179" t="str">
            <v>HUAWEI</v>
          </cell>
          <cell r="H2179" t="str">
            <v>MOOV</v>
          </cell>
          <cell r="I2179" t="str">
            <v>MAN</v>
          </cell>
          <cell r="J2179" t="str">
            <v>MAN</v>
          </cell>
          <cell r="K2179" t="str">
            <v>MAN</v>
          </cell>
          <cell r="L2179" t="str">
            <v>TONKPI</v>
          </cell>
          <cell r="M2179" t="str">
            <v>MAN</v>
          </cell>
          <cell r="N2179" t="str">
            <v>UPCOUNTRY</v>
          </cell>
        </row>
        <row r="2180">
          <cell r="B2180" t="str">
            <v>IM598</v>
          </cell>
          <cell r="C2180" t="str">
            <v>MAN_FOCOLARI</v>
          </cell>
          <cell r="D2180" t="str">
            <v>-7.566205</v>
          </cell>
          <cell r="E2180" t="str">
            <v>7.396376</v>
          </cell>
          <cell r="F2180" t="str">
            <v>2G/3G/4G</v>
          </cell>
          <cell r="G2180" t="str">
            <v>HUAWEI</v>
          </cell>
          <cell r="H2180" t="str">
            <v>MOOV</v>
          </cell>
          <cell r="I2180" t="str">
            <v>MAN</v>
          </cell>
          <cell r="J2180" t="str">
            <v>MAN</v>
          </cell>
          <cell r="K2180" t="str">
            <v>MAN</v>
          </cell>
          <cell r="L2180" t="str">
            <v>TONKPI</v>
          </cell>
          <cell r="M2180" t="str">
            <v>MAN</v>
          </cell>
          <cell r="N2180" t="str">
            <v>UPCOUNTRY</v>
          </cell>
        </row>
        <row r="2181">
          <cell r="B2181" t="str">
            <v>IM556</v>
          </cell>
          <cell r="C2181" t="str">
            <v>DAL_GARAGE</v>
          </cell>
          <cell r="D2181" t="str">
            <v>-6.442848</v>
          </cell>
          <cell r="E2181" t="str">
            <v>6.862497</v>
          </cell>
          <cell r="F2181" t="str">
            <v>2G/3G/4G</v>
          </cell>
          <cell r="G2181" t="str">
            <v>HUAWEI</v>
          </cell>
          <cell r="H2181" t="str">
            <v>MOOV</v>
          </cell>
          <cell r="I2181" t="str">
            <v>DALOA</v>
          </cell>
          <cell r="J2181" t="str">
            <v>DALOA</v>
          </cell>
          <cell r="K2181" t="str">
            <v>DALOA</v>
          </cell>
          <cell r="L2181" t="str">
            <v>HAUT-SASSANDRA</v>
          </cell>
          <cell r="M2181" t="str">
            <v>DALOA</v>
          </cell>
          <cell r="N2181" t="str">
            <v>UPCOUNTRY</v>
          </cell>
        </row>
        <row r="2182">
          <cell r="B2182" t="str">
            <v>IM557</v>
          </cell>
          <cell r="C2182" t="str">
            <v>DAL_MILLIONNAIRE</v>
          </cell>
          <cell r="D2182" t="str">
            <v>-6.471747</v>
          </cell>
          <cell r="E2182" t="str">
            <v>6.873353</v>
          </cell>
          <cell r="F2182" t="str">
            <v>2G/3G/4G</v>
          </cell>
          <cell r="G2182" t="str">
            <v>HUAWEI</v>
          </cell>
          <cell r="H2182" t="str">
            <v>MOOV</v>
          </cell>
          <cell r="I2182" t="str">
            <v>DALOA</v>
          </cell>
          <cell r="J2182" t="str">
            <v>DALOA</v>
          </cell>
          <cell r="K2182" t="str">
            <v>DALOA</v>
          </cell>
          <cell r="L2182" t="str">
            <v>HAUT-SASSANDRA</v>
          </cell>
          <cell r="M2182" t="str">
            <v>DALOA</v>
          </cell>
          <cell r="N2182" t="str">
            <v>UPCOUNTRY</v>
          </cell>
        </row>
        <row r="2183">
          <cell r="B2183" t="str">
            <v>IM482</v>
          </cell>
          <cell r="C2183" t="str">
            <v>BASSAM_GOLDEN_PALACE</v>
          </cell>
          <cell r="D2183" t="str">
            <v>-3.734922</v>
          </cell>
          <cell r="E2183" t="str">
            <v>5.202940</v>
          </cell>
          <cell r="F2183" t="str">
            <v>2G/3G/4G</v>
          </cell>
          <cell r="G2183" t="str">
            <v>HUAWEI</v>
          </cell>
          <cell r="H2183" t="str">
            <v>MOOV</v>
          </cell>
          <cell r="I2183" t="str">
            <v>GRAND-BASSAM</v>
          </cell>
          <cell r="J2183" t="str">
            <v>GRAND-BASSAM</v>
          </cell>
          <cell r="K2183" t="str">
            <v>GRAND-BASSAM</v>
          </cell>
          <cell r="L2183" t="str">
            <v>ABIDJAN</v>
          </cell>
          <cell r="M2183" t="str">
            <v>MARCORY</v>
          </cell>
          <cell r="N2183" t="str">
            <v>ABIDJAN</v>
          </cell>
        </row>
        <row r="2184">
          <cell r="B2184" t="str">
            <v>IM590</v>
          </cell>
          <cell r="C2184" t="str">
            <v>ASSINIE_ROYAUME_HOTEL</v>
          </cell>
          <cell r="D2184" t="str">
            <v>-3.297848</v>
          </cell>
          <cell r="E2184" t="str">
            <v>5.138623</v>
          </cell>
          <cell r="F2184" t="str">
            <v>2G/3G/4G</v>
          </cell>
          <cell r="G2184" t="str">
            <v>HUAWEI</v>
          </cell>
          <cell r="H2184" t="str">
            <v>MOOV</v>
          </cell>
          <cell r="I2184" t="str">
            <v>ASSINIE</v>
          </cell>
          <cell r="J2184" t="str">
            <v>ASSINIE-MAFIA</v>
          </cell>
          <cell r="K2184" t="str">
            <v>ADIAKE</v>
          </cell>
          <cell r="L2184" t="str">
            <v>SUD-COMOE</v>
          </cell>
          <cell r="M2184" t="str">
            <v>MARCORY</v>
          </cell>
          <cell r="N2184" t="str">
            <v>UPCOUNTRY</v>
          </cell>
        </row>
        <row r="2185">
          <cell r="B2185" t="str">
            <v>IM228</v>
          </cell>
          <cell r="C2185" t="str">
            <v>MODESTE_ITALIA</v>
          </cell>
          <cell r="D2185" t="str">
            <v>-3.825531</v>
          </cell>
          <cell r="E2185" t="str">
            <v>5.223062</v>
          </cell>
          <cell r="F2185" t="str">
            <v>2G/3G/4G</v>
          </cell>
          <cell r="G2185" t="str">
            <v>HUAWEI</v>
          </cell>
          <cell r="H2185" t="str">
            <v>MOOV</v>
          </cell>
          <cell r="I2185" t="str">
            <v>GRAND-BASSAM</v>
          </cell>
          <cell r="J2185" t="str">
            <v>GRAND-BASSAM</v>
          </cell>
          <cell r="K2185" t="str">
            <v>GRAND-BASSAM</v>
          </cell>
          <cell r="L2185" t="str">
            <v>SUD-COMOE</v>
          </cell>
          <cell r="M2185" t="str">
            <v>MARCORY</v>
          </cell>
          <cell r="N2185" t="str">
            <v>UPCOUNTRY</v>
          </cell>
        </row>
        <row r="2186">
          <cell r="B2186" t="str">
            <v>IM533</v>
          </cell>
          <cell r="C2186" t="str">
            <v>BOUNDIAL_LOWORO</v>
          </cell>
          <cell r="D2186" t="str">
            <v>-6.493010</v>
          </cell>
          <cell r="E2186" t="str">
            <v>9.516185</v>
          </cell>
          <cell r="F2186" t="str">
            <v>2G/3G/4G</v>
          </cell>
          <cell r="G2186" t="str">
            <v>HUAWEI</v>
          </cell>
          <cell r="H2186" t="str">
            <v>MOOV</v>
          </cell>
          <cell r="I2186" t="str">
            <v>BOUNDIALI</v>
          </cell>
          <cell r="J2186" t="str">
            <v>BOUNDIALI</v>
          </cell>
          <cell r="K2186" t="str">
            <v>BOUNDIALI</v>
          </cell>
          <cell r="L2186" t="str">
            <v>BAGOUE</v>
          </cell>
          <cell r="M2186" t="str">
            <v>KORHOGO</v>
          </cell>
          <cell r="N2186" t="str">
            <v>UPCOUNTRY</v>
          </cell>
        </row>
        <row r="2187">
          <cell r="B2187" t="str">
            <v>IM602</v>
          </cell>
          <cell r="C2187" t="str">
            <v>OUPAGUI</v>
          </cell>
          <cell r="D2187" t="str">
            <v>-6.592808</v>
          </cell>
          <cell r="E2187" t="str">
            <v>5.591137</v>
          </cell>
          <cell r="F2187" t="str">
            <v>2G/3G/4G</v>
          </cell>
          <cell r="G2187" t="str">
            <v>HUAWEI</v>
          </cell>
          <cell r="H2187" t="str">
            <v>MOOV</v>
          </cell>
          <cell r="I2187" t="str">
            <v>OUPAGUI</v>
          </cell>
          <cell r="J2187" t="str">
            <v>OUPOYO</v>
          </cell>
          <cell r="K2187" t="str">
            <v>MEAGUI</v>
          </cell>
          <cell r="L2187" t="str">
            <v>NAWA</v>
          </cell>
          <cell r="M2187" t="str">
            <v>SOUBRE</v>
          </cell>
          <cell r="N2187" t="str">
            <v>UPCOUNTRY</v>
          </cell>
        </row>
        <row r="2188">
          <cell r="B2188" t="str">
            <v>IM615</v>
          </cell>
          <cell r="C2188" t="str">
            <v>ZEO</v>
          </cell>
          <cell r="D2188" t="str">
            <v>-7.466512</v>
          </cell>
          <cell r="E2188" t="str">
            <v>7.121738</v>
          </cell>
          <cell r="F2188" t="str">
            <v>2G/3G/4G</v>
          </cell>
          <cell r="G2188" t="str">
            <v>HUAWEI</v>
          </cell>
          <cell r="H2188" t="str">
            <v>MOOV</v>
          </cell>
          <cell r="I2188" t="str">
            <v>ZEO</v>
          </cell>
          <cell r="J2188" t="str">
            <v>ZEO</v>
          </cell>
          <cell r="K2188" t="str">
            <v>BANGOLO</v>
          </cell>
          <cell r="L2188" t="str">
            <v>GUEMON</v>
          </cell>
          <cell r="M2188" t="str">
            <v>MAN</v>
          </cell>
          <cell r="N2188" t="str">
            <v>UPCOUNTRY</v>
          </cell>
        </row>
        <row r="2189">
          <cell r="B2189" t="str">
            <v>IM582</v>
          </cell>
          <cell r="C2189" t="str">
            <v>KOR_PHCIE_SOBA</v>
          </cell>
          <cell r="D2189" t="str">
            <v>-5.617328</v>
          </cell>
          <cell r="E2189" t="str">
            <v>9.451705</v>
          </cell>
          <cell r="F2189" t="str">
            <v>2G/3G/4G</v>
          </cell>
          <cell r="G2189" t="str">
            <v>HUAWEI</v>
          </cell>
          <cell r="H2189" t="str">
            <v>MOOV</v>
          </cell>
          <cell r="I2189" t="str">
            <v>KORHOGO</v>
          </cell>
          <cell r="J2189" t="str">
            <v>KORHOGO</v>
          </cell>
          <cell r="K2189" t="str">
            <v>KORHOGO</v>
          </cell>
          <cell r="L2189" t="str">
            <v>PORO</v>
          </cell>
          <cell r="M2189" t="str">
            <v>KORHOGO</v>
          </cell>
          <cell r="N2189" t="str">
            <v>UPCOUNTRY</v>
          </cell>
        </row>
        <row r="2190">
          <cell r="B2190" t="str">
            <v>IM481</v>
          </cell>
          <cell r="C2190" t="str">
            <v>ODIENNE LYCEE JEUNE FILLE</v>
          </cell>
          <cell r="D2190" t="str">
            <v>-7.533261</v>
          </cell>
          <cell r="E2190" t="str">
            <v>9.510963</v>
          </cell>
          <cell r="F2190" t="str">
            <v>2G/3G/4G</v>
          </cell>
          <cell r="G2190" t="str">
            <v>HUAWEI</v>
          </cell>
          <cell r="H2190" t="str">
            <v>MOOV</v>
          </cell>
          <cell r="I2190" t="str">
            <v>ODIENNE</v>
          </cell>
          <cell r="J2190" t="str">
            <v>ODIENNE</v>
          </cell>
          <cell r="K2190" t="str">
            <v>ODIENNE</v>
          </cell>
          <cell r="L2190" t="str">
            <v>KABADOUGOU</v>
          </cell>
          <cell r="M2190" t="str">
            <v>MAN</v>
          </cell>
          <cell r="N2190" t="str">
            <v>UPCOUNTRY</v>
          </cell>
        </row>
        <row r="2191">
          <cell r="B2191" t="str">
            <v>ET871</v>
          </cell>
          <cell r="C2191" t="str">
            <v xml:space="preserve">YAPLEU </v>
          </cell>
          <cell r="D2191" t="str">
            <v>-7.708275</v>
          </cell>
          <cell r="E2191" t="str">
            <v>7.090421</v>
          </cell>
          <cell r="F2191" t="str">
            <v>2G/3G/4G</v>
          </cell>
          <cell r="G2191" t="str">
            <v>HUAWEI</v>
          </cell>
          <cell r="H2191" t="str">
            <v>MOOV</v>
          </cell>
          <cell r="I2191" t="str">
            <v>YAPLEU</v>
          </cell>
          <cell r="J2191" t="str">
            <v>YAPLEU</v>
          </cell>
          <cell r="K2191" t="str">
            <v>MAN</v>
          </cell>
          <cell r="L2191" t="str">
            <v>TONKPI</v>
          </cell>
          <cell r="M2191" t="str">
            <v>MAN</v>
          </cell>
          <cell r="N2191" t="str">
            <v>UPCOUNTRY</v>
          </cell>
        </row>
        <row r="2192">
          <cell r="B2192" t="str">
            <v>IM032</v>
          </cell>
          <cell r="C2192" t="str">
            <v>MAN_UNIVERSITE</v>
          </cell>
          <cell r="D2192" t="str">
            <v>-7.622390</v>
          </cell>
          <cell r="E2192" t="str">
            <v>7.349797</v>
          </cell>
          <cell r="F2192" t="str">
            <v>2G/3G/4G</v>
          </cell>
          <cell r="G2192" t="str">
            <v>HUAWEI</v>
          </cell>
          <cell r="H2192" t="str">
            <v>MOOV</v>
          </cell>
          <cell r="I2192" t="str">
            <v>MAN</v>
          </cell>
          <cell r="J2192" t="str">
            <v>MAN</v>
          </cell>
          <cell r="K2192" t="str">
            <v>MAN</v>
          </cell>
          <cell r="L2192" t="str">
            <v>TONKPI</v>
          </cell>
          <cell r="M2192" t="str">
            <v>MAN</v>
          </cell>
          <cell r="N2192" t="str">
            <v>UPCOUNTRY</v>
          </cell>
        </row>
        <row r="2193">
          <cell r="B2193" t="str">
            <v>IM653</v>
          </cell>
          <cell r="C2193" t="str">
            <v>BKE_NVLLE_AUTOROUTE</v>
          </cell>
          <cell r="D2193" t="str">
            <v>-5.122133</v>
          </cell>
          <cell r="E2193" t="str">
            <v>7.718185</v>
          </cell>
          <cell r="F2193" t="str">
            <v>2G/3G/4G</v>
          </cell>
          <cell r="G2193" t="str">
            <v>HUAWEI</v>
          </cell>
          <cell r="H2193" t="str">
            <v>MOOV</v>
          </cell>
          <cell r="I2193" t="str">
            <v>BOUAKE</v>
          </cell>
          <cell r="J2193" t="str">
            <v>BOUAKE</v>
          </cell>
          <cell r="K2193" t="str">
            <v>BOUAKE</v>
          </cell>
          <cell r="L2193" t="str">
            <v>GBEKE</v>
          </cell>
          <cell r="M2193" t="str">
            <v>BOUAKE</v>
          </cell>
          <cell r="N2193" t="str">
            <v>UPCOUNTRY</v>
          </cell>
        </row>
        <row r="2194">
          <cell r="B2194" t="str">
            <v>IM555</v>
          </cell>
          <cell r="C2194" t="str">
            <v>NIAKARA_KALEHE</v>
          </cell>
          <cell r="D2194" t="str">
            <v>-5.288914</v>
          </cell>
          <cell r="E2194" t="str">
            <v>8.666319</v>
          </cell>
          <cell r="F2194" t="str">
            <v>2G/3G/4G</v>
          </cell>
          <cell r="G2194" t="str">
            <v>HUAWEI</v>
          </cell>
          <cell r="H2194" t="str">
            <v>MOOV</v>
          </cell>
          <cell r="I2194" t="str">
            <v>NIAKARAMADOUGOU</v>
          </cell>
          <cell r="J2194" t="str">
            <v>NIAKARAMADOUGOU</v>
          </cell>
          <cell r="K2194" t="str">
            <v>NIAKARAMADOUGOU</v>
          </cell>
          <cell r="L2194" t="str">
            <v>HAMBOL</v>
          </cell>
          <cell r="M2194" t="str">
            <v>KORHOGO</v>
          </cell>
          <cell r="N2194" t="str">
            <v>UPCOUNTRY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RAN Huawei Subnetting"/>
      <sheetName val="ATND 5G"/>
      <sheetName val="Sheet2"/>
      <sheetName val="Sheet3"/>
      <sheetName val="ERS - Router Addresses"/>
      <sheetName val="IP Blocs"/>
      <sheetName val="Subnet allocation"/>
      <sheetName val="Sheet1"/>
    </sheetNames>
    <sheetDataSet>
      <sheetData sheetId="0">
        <row r="1">
          <cell r="E1" t="str">
            <v>Routeur</v>
          </cell>
          <cell r="F1" t="str">
            <v>RNC</v>
          </cell>
          <cell r="G1" t="str">
            <v>SIU/ERS-ASR 2G_Traffic IP</v>
          </cell>
          <cell r="H1" t="str">
            <v>ASR Router 2G_Traffic IP (GW IP)</v>
          </cell>
          <cell r="I1" t="str">
            <v>ERS-ASR 2G Subnet</v>
          </cell>
          <cell r="J1" t="str">
            <v>ERS-ASR 2G VLAN ID</v>
          </cell>
          <cell r="K1" t="str">
            <v>ERS-ASR Iub traffic IP</v>
          </cell>
          <cell r="L1" t="str">
            <v>ASR Router Iub traffic IP (GW IP)</v>
          </cell>
          <cell r="M1" t="str">
            <v>ERS-ASR Iub Subnet</v>
          </cell>
          <cell r="N1" t="str">
            <v>ERS-ASR Iub  VLAN ID</v>
          </cell>
          <cell r="O1" t="str">
            <v>ERS-ASR MME traffic IP</v>
          </cell>
          <cell r="P1" t="str">
            <v>ASR Router MME traffic IP (GW IP)</v>
          </cell>
          <cell r="Q1" t="str">
            <v>ERS-ASR MME Subnet</v>
          </cell>
          <cell r="R1" t="str">
            <v>ERS-ASR MME VLAN ID</v>
          </cell>
        </row>
        <row r="2">
          <cell r="E2" t="str">
            <v>AC153</v>
          </cell>
          <cell r="G2" t="str">
            <v>10.187.137.32</v>
          </cell>
          <cell r="H2" t="str">
            <v>10.187.137.33</v>
          </cell>
          <cell r="I2" t="str">
            <v>/27</v>
          </cell>
          <cell r="J2">
            <v>801</v>
          </cell>
          <cell r="K2" t="str">
            <v>10.187.153.32</v>
          </cell>
          <cell r="L2" t="str">
            <v>10.187.153.33</v>
          </cell>
          <cell r="M2" t="str">
            <v>/27</v>
          </cell>
          <cell r="N2">
            <v>811</v>
          </cell>
          <cell r="O2" t="str">
            <v>10.187.169.32</v>
          </cell>
          <cell r="P2" t="str">
            <v>10.187.169.33</v>
          </cell>
          <cell r="Q2" t="str">
            <v>/27</v>
          </cell>
          <cell r="R2">
            <v>821</v>
          </cell>
        </row>
        <row r="3">
          <cell r="E3" t="str">
            <v>AC153</v>
          </cell>
          <cell r="G3" t="str">
            <v>10.187.137.33</v>
          </cell>
          <cell r="H3" t="str">
            <v>10.187.137.33</v>
          </cell>
          <cell r="I3" t="str">
            <v>/27</v>
          </cell>
          <cell r="J3">
            <v>801</v>
          </cell>
          <cell r="K3" t="str">
            <v>10.187.153.33</v>
          </cell>
          <cell r="L3" t="str">
            <v>10.187.153.33</v>
          </cell>
          <cell r="M3" t="str">
            <v>/27</v>
          </cell>
          <cell r="N3">
            <v>811</v>
          </cell>
          <cell r="O3" t="str">
            <v>10.187.169.33</v>
          </cell>
          <cell r="P3" t="str">
            <v>10.187.169.33</v>
          </cell>
          <cell r="Q3" t="str">
            <v>/27</v>
          </cell>
          <cell r="R3">
            <v>821</v>
          </cell>
        </row>
        <row r="4">
          <cell r="E4" t="str">
            <v>AC153</v>
          </cell>
          <cell r="F4" t="str">
            <v>ET368</v>
          </cell>
          <cell r="G4" t="str">
            <v>10.187.137.34</v>
          </cell>
          <cell r="H4" t="str">
            <v>10.187.137.33</v>
          </cell>
          <cell r="I4" t="str">
            <v>/27</v>
          </cell>
          <cell r="J4">
            <v>801</v>
          </cell>
          <cell r="K4" t="str">
            <v>10.187.153.34</v>
          </cell>
          <cell r="L4" t="str">
            <v>10.187.153.33</v>
          </cell>
          <cell r="M4" t="str">
            <v>/27</v>
          </cell>
          <cell r="N4">
            <v>811</v>
          </cell>
          <cell r="O4" t="str">
            <v>10.187.169.34</v>
          </cell>
          <cell r="P4" t="str">
            <v>10.187.169.33</v>
          </cell>
          <cell r="Q4" t="str">
            <v>/27</v>
          </cell>
          <cell r="R4">
            <v>821</v>
          </cell>
        </row>
        <row r="5">
          <cell r="E5" t="str">
            <v>AC153</v>
          </cell>
          <cell r="F5" t="str">
            <v>ET368</v>
          </cell>
          <cell r="G5" t="str">
            <v>10.187.137.35</v>
          </cell>
          <cell r="H5" t="str">
            <v>10.187.137.33</v>
          </cell>
          <cell r="I5" t="str">
            <v>/27</v>
          </cell>
          <cell r="J5">
            <v>801</v>
          </cell>
          <cell r="K5" t="str">
            <v>10.187.153.35</v>
          </cell>
          <cell r="L5" t="str">
            <v>10.187.153.33</v>
          </cell>
          <cell r="M5" t="str">
            <v>/27</v>
          </cell>
          <cell r="N5">
            <v>811</v>
          </cell>
          <cell r="O5" t="str">
            <v>10.187.169.35</v>
          </cell>
          <cell r="P5" t="str">
            <v>10.187.169.33</v>
          </cell>
          <cell r="Q5" t="str">
            <v>/27</v>
          </cell>
          <cell r="R5">
            <v>821</v>
          </cell>
        </row>
        <row r="6">
          <cell r="E6" t="str">
            <v>AC153</v>
          </cell>
          <cell r="F6" t="str">
            <v>ET189</v>
          </cell>
          <cell r="G6" t="str">
            <v>10.187.137.36</v>
          </cell>
          <cell r="H6" t="str">
            <v>10.187.137.33</v>
          </cell>
          <cell r="I6" t="str">
            <v>/27</v>
          </cell>
          <cell r="J6">
            <v>801</v>
          </cell>
          <cell r="K6" t="str">
            <v>10.187.153.36</v>
          </cell>
          <cell r="L6" t="str">
            <v>10.187.153.33</v>
          </cell>
          <cell r="M6" t="str">
            <v>/27</v>
          </cell>
          <cell r="N6">
            <v>811</v>
          </cell>
          <cell r="O6" t="str">
            <v>10.187.169.36</v>
          </cell>
          <cell r="P6" t="str">
            <v>10.187.169.33</v>
          </cell>
          <cell r="Q6" t="str">
            <v>/27</v>
          </cell>
          <cell r="R6">
            <v>821</v>
          </cell>
        </row>
        <row r="7">
          <cell r="E7" t="str">
            <v>AC153</v>
          </cell>
          <cell r="F7" t="str">
            <v>ET189</v>
          </cell>
          <cell r="G7" t="str">
            <v>10.187.137.37</v>
          </cell>
          <cell r="H7" t="str">
            <v>10.187.137.33</v>
          </cell>
          <cell r="I7" t="str">
            <v>/27</v>
          </cell>
          <cell r="J7">
            <v>801</v>
          </cell>
          <cell r="K7" t="str">
            <v>10.187.153.37</v>
          </cell>
          <cell r="L7" t="str">
            <v>10.187.153.33</v>
          </cell>
          <cell r="M7" t="str">
            <v>/27</v>
          </cell>
          <cell r="N7">
            <v>811</v>
          </cell>
          <cell r="O7" t="str">
            <v>10.187.169.37</v>
          </cell>
          <cell r="P7" t="str">
            <v>10.187.169.33</v>
          </cell>
          <cell r="Q7" t="str">
            <v>/27</v>
          </cell>
          <cell r="R7">
            <v>821</v>
          </cell>
        </row>
        <row r="8">
          <cell r="E8" t="str">
            <v>AC153</v>
          </cell>
          <cell r="F8" t="str">
            <v>AC789</v>
          </cell>
          <cell r="G8" t="str">
            <v>10.187.137.38</v>
          </cell>
          <cell r="H8" t="str">
            <v>10.187.137.33</v>
          </cell>
          <cell r="I8" t="str">
            <v>/27</v>
          </cell>
          <cell r="J8">
            <v>801</v>
          </cell>
          <cell r="K8" t="str">
            <v>10.187.153.38</v>
          </cell>
          <cell r="L8" t="str">
            <v>10.187.153.33</v>
          </cell>
          <cell r="M8" t="str">
            <v>/27</v>
          </cell>
          <cell r="N8">
            <v>811</v>
          </cell>
          <cell r="O8" t="str">
            <v>10.187.169.38</v>
          </cell>
          <cell r="P8" t="str">
            <v>10.187.169.33</v>
          </cell>
          <cell r="Q8" t="str">
            <v>/27</v>
          </cell>
          <cell r="R8">
            <v>821</v>
          </cell>
        </row>
        <row r="9">
          <cell r="E9" t="str">
            <v>AC153</v>
          </cell>
          <cell r="F9" t="str">
            <v>AC789</v>
          </cell>
          <cell r="G9" t="str">
            <v>10.187.137.39</v>
          </cell>
          <cell r="H9" t="str">
            <v>10.187.137.33</v>
          </cell>
          <cell r="I9" t="str">
            <v>/27</v>
          </cell>
          <cell r="J9">
            <v>801</v>
          </cell>
          <cell r="K9" t="str">
            <v>10.187.153.39</v>
          </cell>
          <cell r="L9" t="str">
            <v>10.187.153.33</v>
          </cell>
          <cell r="M9" t="str">
            <v>/27</v>
          </cell>
          <cell r="N9">
            <v>811</v>
          </cell>
          <cell r="O9" t="str">
            <v>10.187.169.39</v>
          </cell>
          <cell r="P9" t="str">
            <v>10.187.169.33</v>
          </cell>
          <cell r="Q9" t="str">
            <v>/27</v>
          </cell>
          <cell r="R9">
            <v>821</v>
          </cell>
        </row>
        <row r="10">
          <cell r="E10" t="str">
            <v>AC153</v>
          </cell>
          <cell r="F10" t="str">
            <v>ET179</v>
          </cell>
          <cell r="G10" t="str">
            <v>10.187.137.40</v>
          </cell>
          <cell r="H10" t="str">
            <v>10.187.137.33</v>
          </cell>
          <cell r="I10" t="str">
            <v>/27</v>
          </cell>
          <cell r="J10">
            <v>801</v>
          </cell>
          <cell r="K10" t="str">
            <v>10.187.153.40</v>
          </cell>
          <cell r="L10" t="str">
            <v>10.187.153.33</v>
          </cell>
          <cell r="M10" t="str">
            <v>/27</v>
          </cell>
          <cell r="N10">
            <v>811</v>
          </cell>
          <cell r="O10" t="str">
            <v>10.187.169.40</v>
          </cell>
          <cell r="P10" t="str">
            <v>10.187.169.33</v>
          </cell>
          <cell r="Q10" t="str">
            <v>/27</v>
          </cell>
          <cell r="R10">
            <v>821</v>
          </cell>
        </row>
        <row r="11">
          <cell r="E11" t="str">
            <v>AC153</v>
          </cell>
          <cell r="F11" t="str">
            <v>AC784</v>
          </cell>
          <cell r="G11" t="str">
            <v>10.187.137.41</v>
          </cell>
          <cell r="H11" t="str">
            <v>10.187.137.33</v>
          </cell>
          <cell r="I11" t="str">
            <v>/27</v>
          </cell>
          <cell r="J11">
            <v>801</v>
          </cell>
          <cell r="K11" t="str">
            <v>10.187.153.41</v>
          </cell>
          <cell r="L11" t="str">
            <v>10.187.153.33</v>
          </cell>
          <cell r="M11" t="str">
            <v>/27</v>
          </cell>
          <cell r="N11">
            <v>811</v>
          </cell>
          <cell r="O11" t="str">
            <v>10.187.169.41</v>
          </cell>
          <cell r="P11" t="str">
            <v>10.187.169.33</v>
          </cell>
          <cell r="Q11" t="str">
            <v>/27</v>
          </cell>
          <cell r="R11">
            <v>821</v>
          </cell>
        </row>
        <row r="12">
          <cell r="E12" t="str">
            <v>AC153</v>
          </cell>
          <cell r="F12" t="str">
            <v>AC559</v>
          </cell>
          <cell r="G12" t="str">
            <v>10.187.137.42</v>
          </cell>
          <cell r="H12" t="str">
            <v>10.187.137.33</v>
          </cell>
          <cell r="I12" t="str">
            <v>/27</v>
          </cell>
          <cell r="J12">
            <v>801</v>
          </cell>
          <cell r="K12" t="str">
            <v>10.187.153.42</v>
          </cell>
          <cell r="L12" t="str">
            <v>10.187.153.33</v>
          </cell>
          <cell r="M12" t="str">
            <v>/27</v>
          </cell>
          <cell r="N12">
            <v>811</v>
          </cell>
          <cell r="O12" t="str">
            <v>10.187.169.42</v>
          </cell>
          <cell r="P12" t="str">
            <v>10.187.169.33</v>
          </cell>
          <cell r="Q12" t="str">
            <v>/27</v>
          </cell>
          <cell r="R12">
            <v>821</v>
          </cell>
        </row>
        <row r="13">
          <cell r="E13" t="str">
            <v>AC153</v>
          </cell>
          <cell r="F13" t="str">
            <v>AC559</v>
          </cell>
          <cell r="G13" t="str">
            <v>10.187.137.43</v>
          </cell>
          <cell r="H13" t="str">
            <v>10.187.137.33</v>
          </cell>
          <cell r="I13" t="str">
            <v>/27</v>
          </cell>
          <cell r="J13">
            <v>801</v>
          </cell>
          <cell r="K13" t="str">
            <v>10.187.153.43</v>
          </cell>
          <cell r="L13" t="str">
            <v>10.187.153.33</v>
          </cell>
          <cell r="M13" t="str">
            <v>/27</v>
          </cell>
          <cell r="N13">
            <v>811</v>
          </cell>
          <cell r="O13" t="str">
            <v>10.187.169.43</v>
          </cell>
          <cell r="P13" t="str">
            <v>10.187.169.33</v>
          </cell>
          <cell r="Q13" t="str">
            <v>/27</v>
          </cell>
          <cell r="R13">
            <v>821</v>
          </cell>
        </row>
        <row r="14">
          <cell r="E14" t="str">
            <v>AC153</v>
          </cell>
          <cell r="F14" t="str">
            <v>AC160</v>
          </cell>
          <cell r="G14" t="str">
            <v>10.187.137.44</v>
          </cell>
          <cell r="H14" t="str">
            <v>10.187.137.33</v>
          </cell>
          <cell r="I14" t="str">
            <v>/27</v>
          </cell>
          <cell r="J14">
            <v>801</v>
          </cell>
          <cell r="K14" t="str">
            <v>10.187.153.44</v>
          </cell>
          <cell r="L14" t="str">
            <v>10.187.153.33</v>
          </cell>
          <cell r="M14" t="str">
            <v>/27</v>
          </cell>
          <cell r="N14">
            <v>811</v>
          </cell>
          <cell r="O14" t="str">
            <v>10.187.169.44</v>
          </cell>
          <cell r="P14" t="str">
            <v>10.187.169.33</v>
          </cell>
          <cell r="Q14" t="str">
            <v>/27</v>
          </cell>
          <cell r="R14">
            <v>821</v>
          </cell>
        </row>
        <row r="15">
          <cell r="E15" t="str">
            <v>AC153</v>
          </cell>
          <cell r="F15" t="str">
            <v>AC777</v>
          </cell>
          <cell r="G15" t="str">
            <v>10.187.137.45</v>
          </cell>
          <cell r="H15" t="str">
            <v>10.187.137.33</v>
          </cell>
          <cell r="I15" t="str">
            <v>/27</v>
          </cell>
          <cell r="J15">
            <v>801</v>
          </cell>
          <cell r="K15" t="str">
            <v>10.187.153.45</v>
          </cell>
          <cell r="L15" t="str">
            <v>10.187.153.33</v>
          </cell>
          <cell r="M15" t="str">
            <v>/27</v>
          </cell>
          <cell r="N15">
            <v>811</v>
          </cell>
          <cell r="O15" t="str">
            <v>10.187.169.45</v>
          </cell>
          <cell r="P15" t="str">
            <v>10.187.169.33</v>
          </cell>
          <cell r="Q15" t="str">
            <v>/27</v>
          </cell>
          <cell r="R15">
            <v>821</v>
          </cell>
        </row>
        <row r="16">
          <cell r="E16" t="str">
            <v>AC153</v>
          </cell>
          <cell r="F16" t="str">
            <v>AC208</v>
          </cell>
          <cell r="G16" t="str">
            <v>10.187.137.46</v>
          </cell>
          <cell r="H16" t="str">
            <v>10.187.137.33</v>
          </cell>
          <cell r="I16" t="str">
            <v>/27</v>
          </cell>
          <cell r="J16">
            <v>801</v>
          </cell>
          <cell r="K16" t="str">
            <v>10.187.153.46</v>
          </cell>
          <cell r="L16" t="str">
            <v>10.187.153.33</v>
          </cell>
          <cell r="M16" t="str">
            <v>/27</v>
          </cell>
          <cell r="N16">
            <v>811</v>
          </cell>
          <cell r="O16" t="str">
            <v>10.187.169.46</v>
          </cell>
          <cell r="P16" t="str">
            <v>10.187.169.33</v>
          </cell>
          <cell r="Q16" t="str">
            <v>/27</v>
          </cell>
          <cell r="R16">
            <v>821</v>
          </cell>
        </row>
        <row r="17">
          <cell r="E17" t="str">
            <v>AC153</v>
          </cell>
          <cell r="F17" t="str">
            <v>AC795</v>
          </cell>
          <cell r="G17" t="str">
            <v>10.187.137.47</v>
          </cell>
          <cell r="H17" t="str">
            <v>10.187.137.33</v>
          </cell>
          <cell r="I17" t="str">
            <v>/27</v>
          </cell>
          <cell r="J17">
            <v>801</v>
          </cell>
          <cell r="K17" t="str">
            <v>10.187.153.47</v>
          </cell>
          <cell r="L17" t="str">
            <v>10.187.153.33</v>
          </cell>
          <cell r="M17" t="str">
            <v>/27</v>
          </cell>
          <cell r="N17">
            <v>811</v>
          </cell>
          <cell r="O17" t="str">
            <v>10.187.169.47</v>
          </cell>
          <cell r="P17" t="str">
            <v>10.187.169.33</v>
          </cell>
          <cell r="Q17" t="str">
            <v>/27</v>
          </cell>
          <cell r="R17">
            <v>821</v>
          </cell>
        </row>
        <row r="18">
          <cell r="E18" t="str">
            <v>AC153</v>
          </cell>
          <cell r="F18" t="str">
            <v>ET187</v>
          </cell>
          <cell r="G18" t="str">
            <v>10.187.137.48</v>
          </cell>
          <cell r="H18" t="str">
            <v>10.187.137.33</v>
          </cell>
          <cell r="I18" t="str">
            <v>/27</v>
          </cell>
          <cell r="J18">
            <v>801</v>
          </cell>
          <cell r="K18" t="str">
            <v>10.187.153.48</v>
          </cell>
          <cell r="L18" t="str">
            <v>10.187.153.33</v>
          </cell>
          <cell r="M18" t="str">
            <v>/27</v>
          </cell>
          <cell r="N18">
            <v>811</v>
          </cell>
          <cell r="O18" t="str">
            <v>10.187.169.48</v>
          </cell>
          <cell r="P18" t="str">
            <v>10.187.169.33</v>
          </cell>
          <cell r="Q18" t="str">
            <v>/27</v>
          </cell>
          <cell r="R18">
            <v>821</v>
          </cell>
        </row>
        <row r="19">
          <cell r="E19" t="str">
            <v>AC153</v>
          </cell>
          <cell r="F19" t="str">
            <v>AC208</v>
          </cell>
          <cell r="G19" t="str">
            <v>10.187.137.49</v>
          </cell>
          <cell r="H19" t="str">
            <v>10.187.137.33</v>
          </cell>
          <cell r="I19" t="str">
            <v>/27</v>
          </cell>
          <cell r="J19">
            <v>801</v>
          </cell>
          <cell r="K19" t="str">
            <v>10.187.153.49</v>
          </cell>
          <cell r="L19" t="str">
            <v>10.187.153.33</v>
          </cell>
          <cell r="M19" t="str">
            <v>/27</v>
          </cell>
          <cell r="N19">
            <v>811</v>
          </cell>
          <cell r="O19" t="str">
            <v>10.187.169.49</v>
          </cell>
          <cell r="P19" t="str">
            <v>10.187.169.33</v>
          </cell>
          <cell r="Q19" t="str">
            <v>/27</v>
          </cell>
          <cell r="R19">
            <v>821</v>
          </cell>
        </row>
        <row r="20">
          <cell r="E20" t="str">
            <v>AC153</v>
          </cell>
          <cell r="F20" t="str">
            <v>ET179</v>
          </cell>
          <cell r="G20" t="str">
            <v>10.187.137.50</v>
          </cell>
          <cell r="H20" t="str">
            <v>10.187.137.33</v>
          </cell>
          <cell r="I20" t="str">
            <v>/27</v>
          </cell>
          <cell r="J20">
            <v>801</v>
          </cell>
          <cell r="K20" t="str">
            <v>10.187.153.50</v>
          </cell>
          <cell r="L20" t="str">
            <v>10.187.153.33</v>
          </cell>
          <cell r="M20" t="str">
            <v>/27</v>
          </cell>
          <cell r="N20">
            <v>811</v>
          </cell>
          <cell r="O20" t="str">
            <v>10.187.169.50</v>
          </cell>
          <cell r="P20" t="str">
            <v>10.187.169.33</v>
          </cell>
          <cell r="Q20" t="str">
            <v>/27</v>
          </cell>
          <cell r="R20">
            <v>821</v>
          </cell>
        </row>
        <row r="21">
          <cell r="E21" t="str">
            <v>AC153</v>
          </cell>
          <cell r="F21" t="str">
            <v>AC743</v>
          </cell>
          <cell r="G21" t="str">
            <v>10.187.137.51</v>
          </cell>
          <cell r="H21" t="str">
            <v>10.187.137.33</v>
          </cell>
          <cell r="I21" t="str">
            <v>/27</v>
          </cell>
          <cell r="J21">
            <v>801</v>
          </cell>
          <cell r="K21" t="str">
            <v>10.187.153.51</v>
          </cell>
          <cell r="L21" t="str">
            <v>10.187.153.33</v>
          </cell>
          <cell r="M21" t="str">
            <v>/27</v>
          </cell>
          <cell r="N21">
            <v>811</v>
          </cell>
          <cell r="O21" t="str">
            <v>10.187.169.51</v>
          </cell>
          <cell r="P21" t="str">
            <v>10.187.169.33</v>
          </cell>
          <cell r="Q21" t="str">
            <v>/27</v>
          </cell>
          <cell r="R21">
            <v>821</v>
          </cell>
        </row>
        <row r="22">
          <cell r="E22" t="str">
            <v>AC153</v>
          </cell>
          <cell r="G22" t="str">
            <v>10.187.137.52</v>
          </cell>
          <cell r="H22" t="str">
            <v>10.187.137.33</v>
          </cell>
          <cell r="I22" t="str">
            <v>/27</v>
          </cell>
          <cell r="J22">
            <v>801</v>
          </cell>
          <cell r="K22" t="str">
            <v>10.187.153.52</v>
          </cell>
          <cell r="L22" t="str">
            <v>10.187.153.33</v>
          </cell>
          <cell r="M22" t="str">
            <v>/27</v>
          </cell>
          <cell r="N22">
            <v>811</v>
          </cell>
          <cell r="O22" t="str">
            <v>10.187.169.52</v>
          </cell>
          <cell r="P22" t="str">
            <v>10.187.169.33</v>
          </cell>
          <cell r="Q22" t="str">
            <v>/27</v>
          </cell>
          <cell r="R22">
            <v>821</v>
          </cell>
        </row>
        <row r="23">
          <cell r="E23" t="str">
            <v>AC153</v>
          </cell>
          <cell r="F23" t="str">
            <v>AC153</v>
          </cell>
          <cell r="G23" t="str">
            <v>10.187.137.53</v>
          </cell>
          <cell r="H23" t="str">
            <v>10.187.137.33</v>
          </cell>
          <cell r="I23" t="str">
            <v>/27</v>
          </cell>
          <cell r="J23">
            <v>801</v>
          </cell>
          <cell r="K23" t="str">
            <v>10.187.153.53</v>
          </cell>
          <cell r="L23" t="str">
            <v>10.187.153.33</v>
          </cell>
          <cell r="M23" t="str">
            <v>/27</v>
          </cell>
          <cell r="N23">
            <v>811</v>
          </cell>
          <cell r="O23" t="str">
            <v>10.187.169.53</v>
          </cell>
          <cell r="P23" t="str">
            <v>10.187.169.33</v>
          </cell>
          <cell r="Q23" t="str">
            <v>/27</v>
          </cell>
          <cell r="R23">
            <v>821</v>
          </cell>
        </row>
        <row r="24">
          <cell r="E24" t="str">
            <v>AC153</v>
          </cell>
          <cell r="G24" t="str">
            <v>10.187.137.54</v>
          </cell>
          <cell r="H24" t="str">
            <v>10.187.137.33</v>
          </cell>
          <cell r="I24" t="str">
            <v>/27</v>
          </cell>
          <cell r="J24">
            <v>801</v>
          </cell>
          <cell r="K24" t="str">
            <v>10.187.153.54</v>
          </cell>
          <cell r="L24" t="str">
            <v>10.187.153.33</v>
          </cell>
          <cell r="M24" t="str">
            <v>/27</v>
          </cell>
          <cell r="N24">
            <v>811</v>
          </cell>
          <cell r="O24" t="str">
            <v>10.187.169.54</v>
          </cell>
          <cell r="P24" t="str">
            <v>10.187.169.33</v>
          </cell>
          <cell r="Q24" t="str">
            <v>/27</v>
          </cell>
          <cell r="R24">
            <v>821</v>
          </cell>
        </row>
        <row r="25">
          <cell r="E25" t="str">
            <v>AC153</v>
          </cell>
          <cell r="G25" t="str">
            <v>10.187.137.55</v>
          </cell>
          <cell r="H25" t="str">
            <v>10.187.137.33</v>
          </cell>
          <cell r="I25" t="str">
            <v>/27</v>
          </cell>
          <cell r="J25">
            <v>801</v>
          </cell>
          <cell r="K25" t="str">
            <v>10.187.153.55</v>
          </cell>
          <cell r="L25" t="str">
            <v>10.187.153.33</v>
          </cell>
          <cell r="M25" t="str">
            <v>/27</v>
          </cell>
          <cell r="N25">
            <v>811</v>
          </cell>
          <cell r="O25" t="str">
            <v>10.187.169.55</v>
          </cell>
          <cell r="P25" t="str">
            <v>10.187.169.33</v>
          </cell>
          <cell r="Q25" t="str">
            <v>/27</v>
          </cell>
          <cell r="R25">
            <v>821</v>
          </cell>
        </row>
        <row r="26">
          <cell r="E26" t="str">
            <v>AC153</v>
          </cell>
          <cell r="F26" t="str">
            <v>IM263</v>
          </cell>
          <cell r="G26" t="str">
            <v>10.187.137.56</v>
          </cell>
          <cell r="H26" t="str">
            <v>10.187.137.33</v>
          </cell>
          <cell r="I26" t="str">
            <v>/27</v>
          </cell>
          <cell r="J26">
            <v>801</v>
          </cell>
          <cell r="K26" t="str">
            <v>10.187.153.56</v>
          </cell>
          <cell r="L26" t="str">
            <v>10.187.153.33</v>
          </cell>
          <cell r="M26" t="str">
            <v>/27</v>
          </cell>
          <cell r="N26">
            <v>811</v>
          </cell>
          <cell r="O26" t="str">
            <v>10.187.169.56</v>
          </cell>
          <cell r="P26" t="str">
            <v>10.187.169.33</v>
          </cell>
          <cell r="Q26" t="str">
            <v>/27</v>
          </cell>
          <cell r="R26">
            <v>821</v>
          </cell>
        </row>
        <row r="27">
          <cell r="E27" t="str">
            <v>AC153</v>
          </cell>
          <cell r="F27" t="str">
            <v>AC155</v>
          </cell>
          <cell r="G27" t="str">
            <v>10.187.137.57</v>
          </cell>
          <cell r="H27" t="str">
            <v>10.187.137.33</v>
          </cell>
          <cell r="I27" t="str">
            <v>/27</v>
          </cell>
          <cell r="J27">
            <v>801</v>
          </cell>
          <cell r="K27" t="str">
            <v>10.187.153.57</v>
          </cell>
          <cell r="L27" t="str">
            <v>10.187.153.33</v>
          </cell>
          <cell r="M27" t="str">
            <v>/27</v>
          </cell>
          <cell r="N27">
            <v>811</v>
          </cell>
          <cell r="O27" t="str">
            <v>10.187.169.57</v>
          </cell>
          <cell r="P27" t="str">
            <v>10.187.169.33</v>
          </cell>
          <cell r="Q27" t="str">
            <v>/27</v>
          </cell>
          <cell r="R27">
            <v>821</v>
          </cell>
        </row>
        <row r="28">
          <cell r="E28" t="str">
            <v>AC153</v>
          </cell>
          <cell r="F28" t="str">
            <v>AC156</v>
          </cell>
          <cell r="G28" t="str">
            <v>10.187.137.58</v>
          </cell>
          <cell r="H28" t="str">
            <v>10.187.137.33</v>
          </cell>
          <cell r="I28" t="str">
            <v>/27</v>
          </cell>
          <cell r="J28">
            <v>801</v>
          </cell>
          <cell r="K28" t="str">
            <v>10.187.153.58</v>
          </cell>
          <cell r="L28" t="str">
            <v>10.187.153.33</v>
          </cell>
          <cell r="M28" t="str">
            <v>/27</v>
          </cell>
          <cell r="N28">
            <v>811</v>
          </cell>
          <cell r="O28" t="str">
            <v>10.187.169.58</v>
          </cell>
          <cell r="P28" t="str">
            <v>10.187.169.33</v>
          </cell>
          <cell r="Q28" t="str">
            <v>/27</v>
          </cell>
          <cell r="R28">
            <v>821</v>
          </cell>
        </row>
        <row r="29">
          <cell r="E29" t="str">
            <v>AC153</v>
          </cell>
          <cell r="F29" t="str">
            <v>AC158</v>
          </cell>
          <cell r="G29" t="str">
            <v>10.187.137.59</v>
          </cell>
          <cell r="H29" t="str">
            <v>10.187.137.33</v>
          </cell>
          <cell r="I29" t="str">
            <v>/27</v>
          </cell>
          <cell r="J29">
            <v>801</v>
          </cell>
          <cell r="K29" t="str">
            <v>10.187.153.59</v>
          </cell>
          <cell r="L29" t="str">
            <v>10.187.153.33</v>
          </cell>
          <cell r="M29" t="str">
            <v>/27</v>
          </cell>
          <cell r="N29">
            <v>811</v>
          </cell>
          <cell r="O29" t="str">
            <v>10.187.169.59</v>
          </cell>
          <cell r="P29" t="str">
            <v>10.187.169.33</v>
          </cell>
          <cell r="Q29" t="str">
            <v>/27</v>
          </cell>
          <cell r="R29">
            <v>821</v>
          </cell>
        </row>
        <row r="30">
          <cell r="E30" t="str">
            <v>AC153</v>
          </cell>
          <cell r="F30" t="str">
            <v>AC784</v>
          </cell>
          <cell r="G30" t="str">
            <v>10.187.137.60</v>
          </cell>
          <cell r="H30" t="str">
            <v>10.187.137.33</v>
          </cell>
          <cell r="I30" t="str">
            <v>/27</v>
          </cell>
          <cell r="J30">
            <v>801</v>
          </cell>
          <cell r="K30" t="str">
            <v>10.187.153.60</v>
          </cell>
          <cell r="L30" t="str">
            <v>10.187.153.33</v>
          </cell>
          <cell r="M30" t="str">
            <v>/27</v>
          </cell>
          <cell r="N30">
            <v>811</v>
          </cell>
          <cell r="O30" t="str">
            <v>10.187.169.60</v>
          </cell>
          <cell r="P30" t="str">
            <v>10.187.169.33</v>
          </cell>
          <cell r="Q30" t="str">
            <v>/27</v>
          </cell>
          <cell r="R30">
            <v>821</v>
          </cell>
        </row>
        <row r="31">
          <cell r="E31" t="str">
            <v>AC153</v>
          </cell>
          <cell r="F31" t="str">
            <v>AC782</v>
          </cell>
          <cell r="G31" t="str">
            <v>10.187.137.61</v>
          </cell>
          <cell r="H31" t="str">
            <v>10.187.137.33</v>
          </cell>
          <cell r="I31" t="str">
            <v>/27</v>
          </cell>
          <cell r="J31">
            <v>801</v>
          </cell>
          <cell r="K31" t="str">
            <v>10.187.153.61</v>
          </cell>
          <cell r="L31" t="str">
            <v>10.187.153.33</v>
          </cell>
          <cell r="M31" t="str">
            <v>/27</v>
          </cell>
          <cell r="N31">
            <v>811</v>
          </cell>
          <cell r="O31" t="str">
            <v>10.187.169.61</v>
          </cell>
          <cell r="P31" t="str">
            <v>10.187.169.33</v>
          </cell>
          <cell r="Q31" t="str">
            <v>/27</v>
          </cell>
          <cell r="R31">
            <v>821</v>
          </cell>
        </row>
        <row r="32">
          <cell r="E32" t="str">
            <v>AC153</v>
          </cell>
          <cell r="F32" t="str">
            <v>AC782</v>
          </cell>
          <cell r="G32" t="str">
            <v>10.187.137.62</v>
          </cell>
          <cell r="H32" t="str">
            <v>10.187.137.33</v>
          </cell>
          <cell r="I32" t="str">
            <v>/27</v>
          </cell>
          <cell r="J32">
            <v>801</v>
          </cell>
          <cell r="K32" t="str">
            <v>10.187.153.62</v>
          </cell>
          <cell r="L32" t="str">
            <v>10.187.153.33</v>
          </cell>
          <cell r="M32" t="str">
            <v>/27</v>
          </cell>
          <cell r="N32">
            <v>811</v>
          </cell>
          <cell r="O32" t="str">
            <v>10.187.169.62</v>
          </cell>
          <cell r="P32" t="str">
            <v>10.187.169.33</v>
          </cell>
          <cell r="Q32" t="str">
            <v>/27</v>
          </cell>
          <cell r="R32">
            <v>821</v>
          </cell>
        </row>
        <row r="33">
          <cell r="E33" t="str">
            <v>AC153</v>
          </cell>
          <cell r="G33" t="str">
            <v>10.187.137.63</v>
          </cell>
          <cell r="H33" t="str">
            <v>10.187.137.33</v>
          </cell>
          <cell r="I33" t="str">
            <v>/27</v>
          </cell>
          <cell r="J33">
            <v>801</v>
          </cell>
          <cell r="K33" t="str">
            <v>10.187.153.63</v>
          </cell>
          <cell r="L33" t="str">
            <v>10.187.153.33</v>
          </cell>
          <cell r="M33" t="str">
            <v>/27</v>
          </cell>
          <cell r="N33">
            <v>811</v>
          </cell>
          <cell r="O33" t="str">
            <v>10.187.169.63</v>
          </cell>
          <cell r="P33" t="str">
            <v>10.187.169.33</v>
          </cell>
          <cell r="Q33" t="str">
            <v>/27</v>
          </cell>
          <cell r="R33">
            <v>821</v>
          </cell>
        </row>
        <row r="34">
          <cell r="E34" t="str">
            <v>AC153</v>
          </cell>
          <cell r="G34" t="str">
            <v>10.187.200.192</v>
          </cell>
          <cell r="H34" t="str">
            <v>10.187.200.193</v>
          </cell>
          <cell r="I34" t="str">
            <v>/28</v>
          </cell>
          <cell r="J34">
            <v>802</v>
          </cell>
          <cell r="K34" t="str">
            <v>10.187.202.192</v>
          </cell>
          <cell r="L34" t="str">
            <v>10.187.202.193</v>
          </cell>
          <cell r="M34" t="str">
            <v>/28</v>
          </cell>
          <cell r="N34">
            <v>812</v>
          </cell>
          <cell r="O34" t="str">
            <v>10.187.204.192</v>
          </cell>
          <cell r="P34" t="str">
            <v>10.187.204.193</v>
          </cell>
          <cell r="Q34" t="str">
            <v>/28</v>
          </cell>
          <cell r="R34">
            <v>822</v>
          </cell>
        </row>
        <row r="35">
          <cell r="E35" t="str">
            <v>AC153</v>
          </cell>
          <cell r="G35" t="str">
            <v>10.187.200.193</v>
          </cell>
          <cell r="H35" t="str">
            <v>10.187.200.193</v>
          </cell>
          <cell r="I35" t="str">
            <v>/28</v>
          </cell>
          <cell r="J35">
            <v>802</v>
          </cell>
          <cell r="K35" t="str">
            <v>10.187.202.193</v>
          </cell>
          <cell r="L35" t="str">
            <v>10.187.202.193</v>
          </cell>
          <cell r="M35" t="str">
            <v>/28</v>
          </cell>
          <cell r="N35">
            <v>812</v>
          </cell>
          <cell r="O35" t="str">
            <v>10.187.204.193</v>
          </cell>
          <cell r="P35" t="str">
            <v>10.187.204.193</v>
          </cell>
          <cell r="Q35" t="str">
            <v>/28</v>
          </cell>
          <cell r="R35">
            <v>822</v>
          </cell>
        </row>
        <row r="36">
          <cell r="E36" t="str">
            <v>AC153</v>
          </cell>
          <cell r="F36" t="str">
            <v>AC759</v>
          </cell>
          <cell r="G36" t="str">
            <v>10.187.200.194</v>
          </cell>
          <cell r="H36" t="str">
            <v>10.187.200.193</v>
          </cell>
          <cell r="I36" t="str">
            <v>/28</v>
          </cell>
          <cell r="J36">
            <v>802</v>
          </cell>
          <cell r="K36" t="str">
            <v>10.187.202.194</v>
          </cell>
          <cell r="L36" t="str">
            <v>10.187.202.193</v>
          </cell>
          <cell r="M36" t="str">
            <v>/28</v>
          </cell>
          <cell r="N36">
            <v>812</v>
          </cell>
          <cell r="O36" t="str">
            <v>10.187.204.194</v>
          </cell>
          <cell r="P36" t="str">
            <v>10.187.204.193</v>
          </cell>
          <cell r="Q36" t="str">
            <v>/28</v>
          </cell>
          <cell r="R36">
            <v>822</v>
          </cell>
        </row>
        <row r="37">
          <cell r="E37" t="str">
            <v>AC153</v>
          </cell>
          <cell r="F37" t="str">
            <v>AC759</v>
          </cell>
          <cell r="G37" t="str">
            <v>10.187.200.195</v>
          </cell>
          <cell r="H37" t="str">
            <v>10.187.200.193</v>
          </cell>
          <cell r="I37" t="str">
            <v>/28</v>
          </cell>
          <cell r="J37">
            <v>802</v>
          </cell>
          <cell r="K37" t="str">
            <v>10.187.202.195</v>
          </cell>
          <cell r="L37" t="str">
            <v>10.187.202.193</v>
          </cell>
          <cell r="M37" t="str">
            <v>/28</v>
          </cell>
          <cell r="N37">
            <v>812</v>
          </cell>
          <cell r="O37" t="str">
            <v>10.187.204.195</v>
          </cell>
          <cell r="P37" t="str">
            <v>10.187.204.193</v>
          </cell>
          <cell r="Q37" t="str">
            <v>/28</v>
          </cell>
          <cell r="R37">
            <v>822</v>
          </cell>
        </row>
        <row r="38">
          <cell r="E38" t="str">
            <v>AC153</v>
          </cell>
          <cell r="F38" t="str">
            <v>AC796</v>
          </cell>
          <cell r="G38" t="str">
            <v>10.187.200.196</v>
          </cell>
          <cell r="H38" t="str">
            <v>10.187.200.193</v>
          </cell>
          <cell r="I38" t="str">
            <v>/28</v>
          </cell>
          <cell r="J38">
            <v>802</v>
          </cell>
          <cell r="K38" t="str">
            <v>10.187.202.196</v>
          </cell>
          <cell r="L38" t="str">
            <v>10.187.202.193</v>
          </cell>
          <cell r="M38" t="str">
            <v>/28</v>
          </cell>
          <cell r="N38">
            <v>812</v>
          </cell>
          <cell r="O38" t="str">
            <v>10.187.204.196</v>
          </cell>
          <cell r="P38" t="str">
            <v>10.187.204.193</v>
          </cell>
          <cell r="Q38" t="str">
            <v>/28</v>
          </cell>
          <cell r="R38">
            <v>822</v>
          </cell>
        </row>
        <row r="39">
          <cell r="E39" t="str">
            <v>AC153</v>
          </cell>
          <cell r="F39" t="str">
            <v>AC796</v>
          </cell>
          <cell r="G39" t="str">
            <v>10.187.200.197</v>
          </cell>
          <cell r="H39" t="str">
            <v>10.187.200.193</v>
          </cell>
          <cell r="I39" t="str">
            <v>/28</v>
          </cell>
          <cell r="J39">
            <v>802</v>
          </cell>
          <cell r="K39" t="str">
            <v>10.187.202.197</v>
          </cell>
          <cell r="L39" t="str">
            <v>10.187.202.193</v>
          </cell>
          <cell r="M39" t="str">
            <v>/28</v>
          </cell>
          <cell r="N39">
            <v>812</v>
          </cell>
          <cell r="O39" t="str">
            <v>10.187.204.197</v>
          </cell>
          <cell r="P39" t="str">
            <v>10.187.204.193</v>
          </cell>
          <cell r="Q39" t="str">
            <v>/28</v>
          </cell>
          <cell r="R39">
            <v>822</v>
          </cell>
        </row>
        <row r="40">
          <cell r="E40" t="str">
            <v>AC153</v>
          </cell>
          <cell r="F40" t="str">
            <v>AC806</v>
          </cell>
          <cell r="G40" t="str">
            <v>10.187.200.198</v>
          </cell>
          <cell r="H40" t="str">
            <v>10.187.200.193</v>
          </cell>
          <cell r="I40" t="str">
            <v>/28</v>
          </cell>
          <cell r="J40">
            <v>802</v>
          </cell>
          <cell r="K40" t="str">
            <v>10.187.202.198</v>
          </cell>
          <cell r="L40" t="str">
            <v>10.187.202.193</v>
          </cell>
          <cell r="M40" t="str">
            <v>/28</v>
          </cell>
          <cell r="N40">
            <v>812</v>
          </cell>
          <cell r="O40" t="str">
            <v>10.187.204.198</v>
          </cell>
          <cell r="P40" t="str">
            <v>10.187.204.193</v>
          </cell>
          <cell r="Q40" t="str">
            <v>/28</v>
          </cell>
          <cell r="R40">
            <v>822</v>
          </cell>
        </row>
        <row r="41">
          <cell r="E41" t="str">
            <v>AC153</v>
          </cell>
          <cell r="F41" t="str">
            <v>AC806</v>
          </cell>
          <cell r="G41" t="str">
            <v>10.187.200.199</v>
          </cell>
          <cell r="H41" t="str">
            <v>10.187.200.193</v>
          </cell>
          <cell r="I41" t="str">
            <v>/28</v>
          </cell>
          <cell r="J41">
            <v>802</v>
          </cell>
          <cell r="K41" t="str">
            <v>10.187.202.199</v>
          </cell>
          <cell r="L41" t="str">
            <v>10.187.202.193</v>
          </cell>
          <cell r="M41" t="str">
            <v>/28</v>
          </cell>
          <cell r="N41">
            <v>812</v>
          </cell>
          <cell r="O41" t="str">
            <v>10.187.204.199</v>
          </cell>
          <cell r="P41" t="str">
            <v>10.187.204.193</v>
          </cell>
          <cell r="Q41" t="str">
            <v>/28</v>
          </cell>
          <cell r="R41">
            <v>822</v>
          </cell>
        </row>
        <row r="42">
          <cell r="E42" t="str">
            <v>AC153</v>
          </cell>
          <cell r="F42" t="str">
            <v>AC820</v>
          </cell>
          <cell r="G42" t="str">
            <v>10.187.200.200</v>
          </cell>
          <cell r="H42" t="str">
            <v>10.187.200.193</v>
          </cell>
          <cell r="I42" t="str">
            <v>/28</v>
          </cell>
          <cell r="J42">
            <v>802</v>
          </cell>
          <cell r="K42" t="str">
            <v>10.187.202.200</v>
          </cell>
          <cell r="L42" t="str">
            <v>10.187.202.193</v>
          </cell>
          <cell r="M42" t="str">
            <v>/28</v>
          </cell>
          <cell r="N42">
            <v>812</v>
          </cell>
          <cell r="O42" t="str">
            <v>10.187.204.200</v>
          </cell>
          <cell r="P42" t="str">
            <v>10.187.204.193</v>
          </cell>
          <cell r="Q42" t="str">
            <v>/28</v>
          </cell>
          <cell r="R42">
            <v>822</v>
          </cell>
        </row>
        <row r="43">
          <cell r="E43" t="str">
            <v>AC153</v>
          </cell>
          <cell r="F43" t="str">
            <v>AC820</v>
          </cell>
          <cell r="G43" t="str">
            <v>10.187.200.201</v>
          </cell>
          <cell r="H43" t="str">
            <v>10.187.200.193</v>
          </cell>
          <cell r="I43" t="str">
            <v>/28</v>
          </cell>
          <cell r="J43">
            <v>802</v>
          </cell>
          <cell r="K43" t="str">
            <v>10.187.202.201</v>
          </cell>
          <cell r="L43" t="str">
            <v>10.187.202.193</v>
          </cell>
          <cell r="M43" t="str">
            <v>/28</v>
          </cell>
          <cell r="N43">
            <v>812</v>
          </cell>
          <cell r="O43" t="str">
            <v>10.187.204.201</v>
          </cell>
          <cell r="P43" t="str">
            <v>10.187.204.193</v>
          </cell>
          <cell r="Q43" t="str">
            <v>/28</v>
          </cell>
          <cell r="R43">
            <v>822</v>
          </cell>
        </row>
        <row r="44">
          <cell r="E44" t="str">
            <v>AC153</v>
          </cell>
          <cell r="F44" t="str">
            <v>ET305</v>
          </cell>
          <cell r="G44" t="str">
            <v>10.187.200.202</v>
          </cell>
          <cell r="H44" t="str">
            <v>10.187.200.193</v>
          </cell>
          <cell r="I44" t="str">
            <v>/28</v>
          </cell>
          <cell r="J44">
            <v>802</v>
          </cell>
          <cell r="K44" t="str">
            <v>10.187.202.202</v>
          </cell>
          <cell r="L44" t="str">
            <v>10.187.202.193</v>
          </cell>
          <cell r="M44" t="str">
            <v>/28</v>
          </cell>
          <cell r="N44">
            <v>812</v>
          </cell>
          <cell r="O44" t="str">
            <v>10.187.204.202</v>
          </cell>
          <cell r="P44" t="str">
            <v>10.187.204.193</v>
          </cell>
          <cell r="Q44" t="str">
            <v>/28</v>
          </cell>
          <cell r="R44">
            <v>822</v>
          </cell>
        </row>
        <row r="45">
          <cell r="E45" t="str">
            <v>AC153</v>
          </cell>
          <cell r="F45" t="str">
            <v>IM035</v>
          </cell>
          <cell r="G45" t="str">
            <v>10.187.200.203</v>
          </cell>
          <cell r="H45" t="str">
            <v>10.187.200.193</v>
          </cell>
          <cell r="I45" t="str">
            <v>/28</v>
          </cell>
          <cell r="J45">
            <v>802</v>
          </cell>
          <cell r="K45" t="str">
            <v>10.187.202.203</v>
          </cell>
          <cell r="L45" t="str">
            <v>10.187.202.193</v>
          </cell>
          <cell r="M45" t="str">
            <v>/28</v>
          </cell>
          <cell r="N45">
            <v>812</v>
          </cell>
          <cell r="O45" t="str">
            <v>10.187.204.203</v>
          </cell>
          <cell r="P45" t="str">
            <v>10.187.204.193</v>
          </cell>
          <cell r="Q45" t="str">
            <v>/28</v>
          </cell>
          <cell r="R45">
            <v>822</v>
          </cell>
        </row>
        <row r="46">
          <cell r="E46" t="str">
            <v>AC153</v>
          </cell>
          <cell r="F46" t="str">
            <v>IM265</v>
          </cell>
          <cell r="G46" t="str">
            <v>10.187.200.204</v>
          </cell>
          <cell r="H46" t="str">
            <v>10.187.200.193</v>
          </cell>
          <cell r="I46" t="str">
            <v>/28</v>
          </cell>
          <cell r="J46">
            <v>802</v>
          </cell>
          <cell r="K46" t="str">
            <v>10.187.202.204</v>
          </cell>
          <cell r="L46" t="str">
            <v>10.187.202.193</v>
          </cell>
          <cell r="M46" t="str">
            <v>/28</v>
          </cell>
          <cell r="N46">
            <v>812</v>
          </cell>
          <cell r="O46" t="str">
            <v>10.187.204.204</v>
          </cell>
          <cell r="P46" t="str">
            <v>10.187.204.193</v>
          </cell>
          <cell r="Q46" t="str">
            <v>/28</v>
          </cell>
          <cell r="R46">
            <v>822</v>
          </cell>
        </row>
        <row r="47">
          <cell r="E47" t="str">
            <v>AC153</v>
          </cell>
          <cell r="F47" t="str">
            <v>ET918</v>
          </cell>
          <cell r="G47" t="str">
            <v>10.187.200.205</v>
          </cell>
          <cell r="H47" t="str">
            <v>10.187.200.193</v>
          </cell>
          <cell r="I47" t="str">
            <v>/28</v>
          </cell>
          <cell r="J47">
            <v>802</v>
          </cell>
          <cell r="K47" t="str">
            <v>10.187.202.205</v>
          </cell>
          <cell r="L47" t="str">
            <v>10.187.202.193</v>
          </cell>
          <cell r="M47" t="str">
            <v>/28</v>
          </cell>
          <cell r="N47">
            <v>812</v>
          </cell>
          <cell r="O47" t="str">
            <v>10.187.204.205</v>
          </cell>
          <cell r="P47" t="str">
            <v>10.187.204.193</v>
          </cell>
          <cell r="Q47" t="str">
            <v>/28</v>
          </cell>
          <cell r="R47">
            <v>822</v>
          </cell>
        </row>
        <row r="48">
          <cell r="E48" t="str">
            <v>AC153</v>
          </cell>
          <cell r="F48" t="str">
            <v>ET918</v>
          </cell>
          <cell r="G48" t="str">
            <v>10.187.200.206</v>
          </cell>
          <cell r="H48" t="str">
            <v>10.187.200.193</v>
          </cell>
          <cell r="I48" t="str">
            <v>/28</v>
          </cell>
          <cell r="J48">
            <v>802</v>
          </cell>
          <cell r="K48" t="str">
            <v>10.187.202.206</v>
          </cell>
          <cell r="L48" t="str">
            <v>10.187.202.193</v>
          </cell>
          <cell r="M48" t="str">
            <v>/28</v>
          </cell>
          <cell r="N48">
            <v>812</v>
          </cell>
          <cell r="O48" t="str">
            <v>10.187.204.206</v>
          </cell>
          <cell r="P48" t="str">
            <v>10.187.204.193</v>
          </cell>
          <cell r="Q48" t="str">
            <v>/28</v>
          </cell>
          <cell r="R48">
            <v>822</v>
          </cell>
        </row>
        <row r="49">
          <cell r="E49" t="str">
            <v>AC153</v>
          </cell>
          <cell r="G49" t="str">
            <v>10.187.200.207</v>
          </cell>
          <cell r="H49" t="str">
            <v>10.187.200.193</v>
          </cell>
          <cell r="I49" t="str">
            <v>/28</v>
          </cell>
          <cell r="J49">
            <v>802</v>
          </cell>
          <cell r="K49" t="str">
            <v>10.187.202.207</v>
          </cell>
          <cell r="L49" t="str">
            <v>10.187.202.193</v>
          </cell>
          <cell r="M49" t="str">
            <v>/28</v>
          </cell>
          <cell r="N49">
            <v>812</v>
          </cell>
          <cell r="O49" t="str">
            <v>10.187.204.207</v>
          </cell>
          <cell r="P49" t="str">
            <v>10.187.204.193</v>
          </cell>
          <cell r="Q49" t="str">
            <v>/28</v>
          </cell>
          <cell r="R49">
            <v>822</v>
          </cell>
        </row>
        <row r="50">
          <cell r="E50" t="str">
            <v>AC153</v>
          </cell>
          <cell r="G50" t="str">
            <v>10.188.27.0</v>
          </cell>
          <cell r="H50" t="str">
            <v>10.188.27.1</v>
          </cell>
          <cell r="I50" t="str">
            <v>/26</v>
          </cell>
          <cell r="J50">
            <v>807</v>
          </cell>
          <cell r="K50" t="str">
            <v>10.188.29.0</v>
          </cell>
          <cell r="L50" t="str">
            <v>10.188.29.1</v>
          </cell>
          <cell r="M50" t="str">
            <v>/26</v>
          </cell>
          <cell r="N50">
            <v>817</v>
          </cell>
          <cell r="O50" t="str">
            <v>10.188.31.0</v>
          </cell>
          <cell r="P50" t="str">
            <v>10.188.31.1</v>
          </cell>
          <cell r="Q50" t="str">
            <v>/26</v>
          </cell>
          <cell r="R50">
            <v>827</v>
          </cell>
        </row>
        <row r="51">
          <cell r="E51" t="str">
            <v>AC153</v>
          </cell>
          <cell r="G51" t="str">
            <v>10.188.27.1</v>
          </cell>
          <cell r="H51" t="str">
            <v>10.188.27.1</v>
          </cell>
          <cell r="I51" t="str">
            <v>/26</v>
          </cell>
          <cell r="J51">
            <v>807</v>
          </cell>
          <cell r="K51" t="str">
            <v>10.188.29.1</v>
          </cell>
          <cell r="L51" t="str">
            <v>10.188.29.1</v>
          </cell>
          <cell r="M51" t="str">
            <v>/26</v>
          </cell>
          <cell r="N51">
            <v>817</v>
          </cell>
          <cell r="O51" t="str">
            <v>10.188.31.1</v>
          </cell>
          <cell r="P51" t="str">
            <v>10.188.31.1</v>
          </cell>
          <cell r="Q51" t="str">
            <v>/26</v>
          </cell>
          <cell r="R51">
            <v>827</v>
          </cell>
        </row>
        <row r="52">
          <cell r="E52" t="str">
            <v>AC153</v>
          </cell>
          <cell r="F52" t="str">
            <v>ET773</v>
          </cell>
          <cell r="G52" t="str">
            <v>10.188.27.2</v>
          </cell>
          <cell r="H52" t="str">
            <v>10.188.27.1</v>
          </cell>
          <cell r="I52" t="str">
            <v>/26</v>
          </cell>
          <cell r="J52">
            <v>807</v>
          </cell>
          <cell r="K52" t="str">
            <v>10.188.29.2</v>
          </cell>
          <cell r="L52" t="str">
            <v>10.188.29.1</v>
          </cell>
          <cell r="M52" t="str">
            <v>/26</v>
          </cell>
          <cell r="N52">
            <v>817</v>
          </cell>
          <cell r="O52" t="str">
            <v>10.188.31.2</v>
          </cell>
          <cell r="P52" t="str">
            <v>10.188.31.1</v>
          </cell>
          <cell r="Q52" t="str">
            <v>/26</v>
          </cell>
          <cell r="R52">
            <v>827</v>
          </cell>
        </row>
        <row r="53">
          <cell r="E53" t="str">
            <v>AC153</v>
          </cell>
          <cell r="F53" t="str">
            <v>ET773</v>
          </cell>
          <cell r="G53" t="str">
            <v>10.188.27.3</v>
          </cell>
          <cell r="H53" t="str">
            <v>10.188.27.1</v>
          </cell>
          <cell r="I53" t="str">
            <v>/26</v>
          </cell>
          <cell r="J53">
            <v>807</v>
          </cell>
          <cell r="K53" t="str">
            <v>10.188.29.3</v>
          </cell>
          <cell r="L53" t="str">
            <v>10.188.29.1</v>
          </cell>
          <cell r="M53" t="str">
            <v>/26</v>
          </cell>
          <cell r="N53">
            <v>817</v>
          </cell>
          <cell r="O53" t="str">
            <v>10.188.31.3</v>
          </cell>
          <cell r="P53" t="str">
            <v>10.188.31.1</v>
          </cell>
          <cell r="Q53" t="str">
            <v>/26</v>
          </cell>
          <cell r="R53">
            <v>827</v>
          </cell>
        </row>
        <row r="54">
          <cell r="E54" t="str">
            <v>AC153</v>
          </cell>
          <cell r="F54" t="str">
            <v>AC781</v>
          </cell>
          <cell r="G54" t="str">
            <v>10.188.27.4</v>
          </cell>
          <cell r="H54" t="str">
            <v>10.188.27.1</v>
          </cell>
          <cell r="I54" t="str">
            <v>/26</v>
          </cell>
          <cell r="J54">
            <v>807</v>
          </cell>
          <cell r="K54" t="str">
            <v>10.188.29.4</v>
          </cell>
          <cell r="L54" t="str">
            <v>10.188.29.1</v>
          </cell>
          <cell r="M54" t="str">
            <v>/26</v>
          </cell>
          <cell r="N54">
            <v>817</v>
          </cell>
          <cell r="O54" t="str">
            <v>10.188.31.4</v>
          </cell>
          <cell r="P54" t="str">
            <v>10.188.31.1</v>
          </cell>
          <cell r="Q54" t="str">
            <v>/26</v>
          </cell>
          <cell r="R54">
            <v>827</v>
          </cell>
        </row>
        <row r="55">
          <cell r="E55" t="str">
            <v>AC153</v>
          </cell>
          <cell r="F55" t="str">
            <v>AC787</v>
          </cell>
          <cell r="G55" t="str">
            <v>10.188.27.5</v>
          </cell>
          <cell r="H55" t="str">
            <v>10.188.27.1</v>
          </cell>
          <cell r="I55" t="str">
            <v>/26</v>
          </cell>
          <cell r="J55">
            <v>807</v>
          </cell>
          <cell r="K55" t="str">
            <v>10.188.29.5</v>
          </cell>
          <cell r="L55" t="str">
            <v>10.188.29.1</v>
          </cell>
          <cell r="M55" t="str">
            <v>/26</v>
          </cell>
          <cell r="N55">
            <v>817</v>
          </cell>
          <cell r="O55" t="str">
            <v>10.188.31.5</v>
          </cell>
          <cell r="P55" t="str">
            <v>10.188.31.1</v>
          </cell>
          <cell r="Q55" t="str">
            <v>/26</v>
          </cell>
          <cell r="R55">
            <v>827</v>
          </cell>
        </row>
        <row r="56">
          <cell r="E56" t="str">
            <v>AC153</v>
          </cell>
          <cell r="F56" t="str">
            <v>AC819</v>
          </cell>
          <cell r="G56" t="str">
            <v>10.188.27.6</v>
          </cell>
          <cell r="H56" t="str">
            <v>10.188.27.1</v>
          </cell>
          <cell r="I56" t="str">
            <v>/26</v>
          </cell>
          <cell r="J56">
            <v>807</v>
          </cell>
          <cell r="K56" t="str">
            <v>10.188.29.6</v>
          </cell>
          <cell r="L56" t="str">
            <v>10.188.29.1</v>
          </cell>
          <cell r="M56" t="str">
            <v>/26</v>
          </cell>
          <cell r="N56">
            <v>817</v>
          </cell>
          <cell r="O56" t="str">
            <v>10.188.31.6</v>
          </cell>
          <cell r="P56" t="str">
            <v>10.188.31.1</v>
          </cell>
          <cell r="Q56" t="str">
            <v>/26</v>
          </cell>
          <cell r="R56">
            <v>827</v>
          </cell>
        </row>
        <row r="57">
          <cell r="E57" t="str">
            <v>AC153</v>
          </cell>
          <cell r="F57" t="str">
            <v>AC957</v>
          </cell>
          <cell r="G57" t="str">
            <v>10.188.27.7</v>
          </cell>
          <cell r="H57" t="str">
            <v>10.188.27.1</v>
          </cell>
          <cell r="I57" t="str">
            <v>/26</v>
          </cell>
          <cell r="J57">
            <v>807</v>
          </cell>
          <cell r="K57" t="str">
            <v>10.188.29.7</v>
          </cell>
          <cell r="L57" t="str">
            <v>10.188.29.1</v>
          </cell>
          <cell r="M57" t="str">
            <v>/26</v>
          </cell>
          <cell r="N57">
            <v>817</v>
          </cell>
          <cell r="O57" t="str">
            <v>10.188.31.7</v>
          </cell>
          <cell r="P57" t="str">
            <v>10.188.31.1</v>
          </cell>
          <cell r="Q57" t="str">
            <v>/26</v>
          </cell>
          <cell r="R57">
            <v>827</v>
          </cell>
        </row>
        <row r="58">
          <cell r="E58" t="str">
            <v>AC153</v>
          </cell>
          <cell r="F58" t="str">
            <v>IM044</v>
          </cell>
          <cell r="G58" t="str">
            <v>10.188.27.8</v>
          </cell>
          <cell r="H58" t="str">
            <v>10.188.27.1</v>
          </cell>
          <cell r="I58" t="str">
            <v>/26</v>
          </cell>
          <cell r="J58">
            <v>807</v>
          </cell>
          <cell r="K58" t="str">
            <v>10.188.29.8</v>
          </cell>
          <cell r="L58" t="str">
            <v>10.188.29.1</v>
          </cell>
          <cell r="M58" t="str">
            <v>/26</v>
          </cell>
          <cell r="N58">
            <v>817</v>
          </cell>
          <cell r="O58" t="str">
            <v>10.188.31.8</v>
          </cell>
          <cell r="P58" t="str">
            <v>10.188.31.1</v>
          </cell>
          <cell r="Q58" t="str">
            <v>/26</v>
          </cell>
          <cell r="R58">
            <v>827</v>
          </cell>
        </row>
        <row r="59">
          <cell r="E59" t="str">
            <v>AC153</v>
          </cell>
          <cell r="F59" t="str">
            <v>ET376</v>
          </cell>
          <cell r="G59" t="str">
            <v>10.188.27.9</v>
          </cell>
          <cell r="H59" t="str">
            <v>10.188.27.1</v>
          </cell>
          <cell r="I59" t="str">
            <v>/26</v>
          </cell>
          <cell r="J59">
            <v>807</v>
          </cell>
          <cell r="K59" t="str">
            <v>10.188.29.9</v>
          </cell>
          <cell r="L59" t="str">
            <v>10.188.29.1</v>
          </cell>
          <cell r="M59" t="str">
            <v>/26</v>
          </cell>
          <cell r="N59">
            <v>817</v>
          </cell>
          <cell r="O59" t="str">
            <v>10.188.31.9</v>
          </cell>
          <cell r="P59" t="str">
            <v>10.188.31.1</v>
          </cell>
          <cell r="Q59" t="str">
            <v>/26</v>
          </cell>
          <cell r="R59">
            <v>827</v>
          </cell>
        </row>
        <row r="60">
          <cell r="E60" t="str">
            <v>AC153</v>
          </cell>
          <cell r="F60" t="str">
            <v>AC537</v>
          </cell>
          <cell r="G60" t="str">
            <v>10.188.27.10</v>
          </cell>
          <cell r="H60" t="str">
            <v>10.188.27.1</v>
          </cell>
          <cell r="I60" t="str">
            <v>/26</v>
          </cell>
          <cell r="J60">
            <v>807</v>
          </cell>
          <cell r="K60" t="str">
            <v>10.188.29.10</v>
          </cell>
          <cell r="L60" t="str">
            <v>10.188.29.1</v>
          </cell>
          <cell r="M60" t="str">
            <v>/26</v>
          </cell>
          <cell r="N60">
            <v>817</v>
          </cell>
          <cell r="O60" t="str">
            <v>10.188.31.10</v>
          </cell>
          <cell r="P60" t="str">
            <v>10.188.31.1</v>
          </cell>
          <cell r="Q60" t="str">
            <v>/26</v>
          </cell>
          <cell r="R60">
            <v>827</v>
          </cell>
        </row>
        <row r="61">
          <cell r="E61" t="str">
            <v>AC153</v>
          </cell>
          <cell r="F61" t="str">
            <v>AC537</v>
          </cell>
          <cell r="G61" t="str">
            <v>10.188.27.11</v>
          </cell>
          <cell r="H61" t="str">
            <v>10.188.27.1</v>
          </cell>
          <cell r="I61" t="str">
            <v>/26</v>
          </cell>
          <cell r="J61">
            <v>807</v>
          </cell>
          <cell r="K61" t="str">
            <v>10.188.29.11</v>
          </cell>
          <cell r="L61" t="str">
            <v>10.188.29.1</v>
          </cell>
          <cell r="M61" t="str">
            <v>/26</v>
          </cell>
          <cell r="N61">
            <v>817</v>
          </cell>
          <cell r="O61" t="str">
            <v>10.188.31.11</v>
          </cell>
          <cell r="P61" t="str">
            <v>10.188.31.1</v>
          </cell>
          <cell r="Q61" t="str">
            <v>/26</v>
          </cell>
          <cell r="R61">
            <v>827</v>
          </cell>
        </row>
        <row r="62">
          <cell r="E62" t="str">
            <v>AC153</v>
          </cell>
          <cell r="F62" t="str">
            <v>AC985</v>
          </cell>
          <cell r="G62" t="str">
            <v>10.188.27.12</v>
          </cell>
          <cell r="H62" t="str">
            <v>10.188.27.1</v>
          </cell>
          <cell r="I62" t="str">
            <v>/26</v>
          </cell>
          <cell r="J62">
            <v>807</v>
          </cell>
          <cell r="K62" t="str">
            <v>10.188.29.12</v>
          </cell>
          <cell r="L62" t="str">
            <v>10.188.29.1</v>
          </cell>
          <cell r="M62" t="str">
            <v>/26</v>
          </cell>
          <cell r="N62">
            <v>817</v>
          </cell>
          <cell r="O62" t="str">
            <v>10.188.31.12</v>
          </cell>
          <cell r="P62" t="str">
            <v>10.188.31.1</v>
          </cell>
          <cell r="Q62" t="str">
            <v>/26</v>
          </cell>
          <cell r="R62">
            <v>827</v>
          </cell>
        </row>
        <row r="63">
          <cell r="E63" t="str">
            <v>AC153</v>
          </cell>
          <cell r="F63" t="str">
            <v>AC985</v>
          </cell>
          <cell r="G63" t="str">
            <v>10.188.27.13</v>
          </cell>
          <cell r="H63" t="str">
            <v>10.188.27.1</v>
          </cell>
          <cell r="I63" t="str">
            <v>/26</v>
          </cell>
          <cell r="J63">
            <v>807</v>
          </cell>
          <cell r="K63" t="str">
            <v>10.188.29.13</v>
          </cell>
          <cell r="L63" t="str">
            <v>10.188.29.1</v>
          </cell>
          <cell r="M63" t="str">
            <v>/26</v>
          </cell>
          <cell r="N63">
            <v>817</v>
          </cell>
          <cell r="O63" t="str">
            <v>10.188.31.13</v>
          </cell>
          <cell r="P63" t="str">
            <v>10.188.31.1</v>
          </cell>
          <cell r="Q63" t="str">
            <v>/26</v>
          </cell>
          <cell r="R63">
            <v>827</v>
          </cell>
        </row>
        <row r="64">
          <cell r="E64" t="str">
            <v>AC153</v>
          </cell>
          <cell r="F64" t="str">
            <v>ET178</v>
          </cell>
          <cell r="G64" t="str">
            <v>10.188.27.14</v>
          </cell>
          <cell r="H64" t="str">
            <v>10.188.27.1</v>
          </cell>
          <cell r="I64" t="str">
            <v>/26</v>
          </cell>
          <cell r="J64">
            <v>807</v>
          </cell>
          <cell r="K64" t="str">
            <v>10.188.29.14</v>
          </cell>
          <cell r="L64" t="str">
            <v>10.188.29.1</v>
          </cell>
          <cell r="M64" t="str">
            <v>/26</v>
          </cell>
          <cell r="N64">
            <v>817</v>
          </cell>
          <cell r="O64" t="str">
            <v>10.188.31.14</v>
          </cell>
          <cell r="P64" t="str">
            <v>10.188.31.1</v>
          </cell>
          <cell r="Q64" t="str">
            <v>/26</v>
          </cell>
          <cell r="R64">
            <v>827</v>
          </cell>
        </row>
        <row r="65">
          <cell r="E65" t="str">
            <v>AC153</v>
          </cell>
          <cell r="F65" t="str">
            <v>ET178</v>
          </cell>
          <cell r="G65" t="str">
            <v>10.188.27.15</v>
          </cell>
          <cell r="H65" t="str">
            <v>10.188.27.1</v>
          </cell>
          <cell r="I65" t="str">
            <v>/26</v>
          </cell>
          <cell r="J65">
            <v>807</v>
          </cell>
          <cell r="K65" t="str">
            <v>10.188.29.15</v>
          </cell>
          <cell r="L65" t="str">
            <v>10.188.29.1</v>
          </cell>
          <cell r="M65" t="str">
            <v>/26</v>
          </cell>
          <cell r="N65">
            <v>817</v>
          </cell>
          <cell r="O65" t="str">
            <v>10.188.31.15</v>
          </cell>
          <cell r="P65" t="str">
            <v>10.188.31.1</v>
          </cell>
          <cell r="Q65" t="str">
            <v>/26</v>
          </cell>
          <cell r="R65">
            <v>827</v>
          </cell>
        </row>
        <row r="66">
          <cell r="E66" t="str">
            <v>AC153</v>
          </cell>
          <cell r="F66" t="str">
            <v>ET677</v>
          </cell>
          <cell r="G66" t="str">
            <v>10.188.27.16</v>
          </cell>
          <cell r="H66" t="str">
            <v>10.188.27.1</v>
          </cell>
          <cell r="I66" t="str">
            <v>/26</v>
          </cell>
          <cell r="J66">
            <v>807</v>
          </cell>
          <cell r="K66" t="str">
            <v>10.188.29.16</v>
          </cell>
          <cell r="L66" t="str">
            <v>10.188.29.1</v>
          </cell>
          <cell r="M66" t="str">
            <v>/26</v>
          </cell>
          <cell r="N66">
            <v>817</v>
          </cell>
          <cell r="O66" t="str">
            <v>10.188.31.16</v>
          </cell>
          <cell r="P66" t="str">
            <v>10.188.31.1</v>
          </cell>
          <cell r="Q66" t="str">
            <v>/26</v>
          </cell>
          <cell r="R66">
            <v>827</v>
          </cell>
        </row>
        <row r="67">
          <cell r="E67" t="str">
            <v>AC153</v>
          </cell>
          <cell r="F67" t="str">
            <v>ET677</v>
          </cell>
          <cell r="G67" t="str">
            <v>10.188.27.17</v>
          </cell>
          <cell r="H67" t="str">
            <v>10.188.27.1</v>
          </cell>
          <cell r="I67" t="str">
            <v>/26</v>
          </cell>
          <cell r="J67">
            <v>807</v>
          </cell>
          <cell r="K67" t="str">
            <v>10.188.29.17</v>
          </cell>
          <cell r="L67" t="str">
            <v>10.188.29.1</v>
          </cell>
          <cell r="M67" t="str">
            <v>/26</v>
          </cell>
          <cell r="N67">
            <v>817</v>
          </cell>
          <cell r="O67" t="str">
            <v>10.188.31.17</v>
          </cell>
          <cell r="P67" t="str">
            <v>10.188.31.1</v>
          </cell>
          <cell r="Q67" t="str">
            <v>/26</v>
          </cell>
          <cell r="R67">
            <v>827</v>
          </cell>
        </row>
        <row r="68">
          <cell r="E68" t="str">
            <v>AC153</v>
          </cell>
          <cell r="F68" t="str">
            <v>ET706</v>
          </cell>
          <cell r="G68" t="str">
            <v>10.188.27.18</v>
          </cell>
          <cell r="H68" t="str">
            <v>10.188.27.1</v>
          </cell>
          <cell r="I68" t="str">
            <v>/26</v>
          </cell>
          <cell r="J68">
            <v>807</v>
          </cell>
          <cell r="K68" t="str">
            <v>10.188.29.18</v>
          </cell>
          <cell r="L68" t="str">
            <v>10.188.29.1</v>
          </cell>
          <cell r="M68" t="str">
            <v>/26</v>
          </cell>
          <cell r="N68">
            <v>817</v>
          </cell>
          <cell r="O68" t="str">
            <v>10.188.31.18</v>
          </cell>
          <cell r="P68" t="str">
            <v>10.188.31.1</v>
          </cell>
          <cell r="Q68" t="str">
            <v>/26</v>
          </cell>
          <cell r="R68">
            <v>827</v>
          </cell>
        </row>
        <row r="69">
          <cell r="E69" t="str">
            <v>AC153</v>
          </cell>
          <cell r="F69" t="str">
            <v>ET706</v>
          </cell>
          <cell r="G69" t="str">
            <v>10.188.27.19</v>
          </cell>
          <cell r="H69" t="str">
            <v>10.188.27.1</v>
          </cell>
          <cell r="I69" t="str">
            <v>/26</v>
          </cell>
          <cell r="J69">
            <v>807</v>
          </cell>
          <cell r="K69" t="str">
            <v>10.188.29.19</v>
          </cell>
          <cell r="L69" t="str">
            <v>10.188.29.1</v>
          </cell>
          <cell r="M69" t="str">
            <v>/26</v>
          </cell>
          <cell r="N69">
            <v>817</v>
          </cell>
          <cell r="O69" t="str">
            <v>10.188.31.19</v>
          </cell>
          <cell r="P69" t="str">
            <v>10.188.31.1</v>
          </cell>
          <cell r="Q69" t="str">
            <v>/26</v>
          </cell>
          <cell r="R69">
            <v>827</v>
          </cell>
        </row>
        <row r="70">
          <cell r="E70" t="str">
            <v>AC153</v>
          </cell>
          <cell r="F70" t="str">
            <v>ET708</v>
          </cell>
          <cell r="G70" t="str">
            <v>10.188.27.20</v>
          </cell>
          <cell r="H70" t="str">
            <v>10.188.27.1</v>
          </cell>
          <cell r="I70" t="str">
            <v>/26</v>
          </cell>
          <cell r="J70">
            <v>807</v>
          </cell>
          <cell r="K70" t="str">
            <v>10.188.29.20</v>
          </cell>
          <cell r="L70" t="str">
            <v>10.188.29.1</v>
          </cell>
          <cell r="M70" t="str">
            <v>/26</v>
          </cell>
          <cell r="N70">
            <v>817</v>
          </cell>
          <cell r="O70" t="str">
            <v>10.188.31.20</v>
          </cell>
          <cell r="P70" t="str">
            <v>10.188.31.1</v>
          </cell>
          <cell r="Q70" t="str">
            <v>/26</v>
          </cell>
          <cell r="R70">
            <v>827</v>
          </cell>
        </row>
        <row r="71">
          <cell r="E71" t="str">
            <v>AC153</v>
          </cell>
          <cell r="F71" t="str">
            <v>ET708</v>
          </cell>
          <cell r="G71" t="str">
            <v>10.188.27.21</v>
          </cell>
          <cell r="H71" t="str">
            <v>10.188.27.1</v>
          </cell>
          <cell r="I71" t="str">
            <v>/26</v>
          </cell>
          <cell r="J71">
            <v>807</v>
          </cell>
          <cell r="K71" t="str">
            <v>10.188.29.21</v>
          </cell>
          <cell r="L71" t="str">
            <v>10.188.29.1</v>
          </cell>
          <cell r="M71" t="str">
            <v>/26</v>
          </cell>
          <cell r="N71">
            <v>817</v>
          </cell>
          <cell r="O71" t="str">
            <v>10.188.31.21</v>
          </cell>
          <cell r="P71" t="str">
            <v>10.188.31.1</v>
          </cell>
          <cell r="Q71" t="str">
            <v>/26</v>
          </cell>
          <cell r="R71">
            <v>827</v>
          </cell>
        </row>
        <row r="72">
          <cell r="E72" t="str">
            <v>AC153</v>
          </cell>
          <cell r="F72" t="str">
            <v>AC762</v>
          </cell>
          <cell r="G72" t="str">
            <v>10.188.27.22</v>
          </cell>
          <cell r="H72" t="str">
            <v>10.188.27.1</v>
          </cell>
          <cell r="I72" t="str">
            <v>/26</v>
          </cell>
          <cell r="J72">
            <v>807</v>
          </cell>
          <cell r="K72" t="str">
            <v>10.188.29.22</v>
          </cell>
          <cell r="L72" t="str">
            <v>10.188.29.1</v>
          </cell>
          <cell r="M72" t="str">
            <v>/26</v>
          </cell>
          <cell r="N72">
            <v>817</v>
          </cell>
          <cell r="O72" t="str">
            <v>10.188.31.22</v>
          </cell>
          <cell r="P72" t="str">
            <v>10.188.31.1</v>
          </cell>
          <cell r="Q72" t="str">
            <v>/26</v>
          </cell>
          <cell r="R72">
            <v>827</v>
          </cell>
        </row>
        <row r="73">
          <cell r="E73" t="str">
            <v>AC153</v>
          </cell>
          <cell r="F73" t="str">
            <v>AC796</v>
          </cell>
          <cell r="G73" t="str">
            <v>10.188.27.23</v>
          </cell>
          <cell r="H73" t="str">
            <v>10.188.27.1</v>
          </cell>
          <cell r="I73" t="str">
            <v>/26</v>
          </cell>
          <cell r="J73">
            <v>807</v>
          </cell>
          <cell r="K73" t="str">
            <v>10.188.29.23</v>
          </cell>
          <cell r="L73" t="str">
            <v>10.188.29.1</v>
          </cell>
          <cell r="M73" t="str">
            <v>/26</v>
          </cell>
          <cell r="N73">
            <v>817</v>
          </cell>
          <cell r="O73" t="str">
            <v>10.188.31.23</v>
          </cell>
          <cell r="P73" t="str">
            <v>10.188.31.1</v>
          </cell>
          <cell r="Q73" t="str">
            <v>/26</v>
          </cell>
          <cell r="R73">
            <v>827</v>
          </cell>
        </row>
        <row r="74">
          <cell r="E74" t="str">
            <v>AC153</v>
          </cell>
          <cell r="F74" t="str">
            <v>AC958</v>
          </cell>
          <cell r="G74" t="str">
            <v>10.188.27.24</v>
          </cell>
          <cell r="H74" t="str">
            <v>10.188.27.1</v>
          </cell>
          <cell r="I74" t="str">
            <v>/26</v>
          </cell>
          <cell r="J74">
            <v>807</v>
          </cell>
          <cell r="K74" t="str">
            <v>10.188.29.24</v>
          </cell>
          <cell r="L74" t="str">
            <v>10.188.29.1</v>
          </cell>
          <cell r="M74" t="str">
            <v>/26</v>
          </cell>
          <cell r="N74">
            <v>817</v>
          </cell>
          <cell r="O74" t="str">
            <v>10.188.31.24</v>
          </cell>
          <cell r="P74" t="str">
            <v>10.188.31.1</v>
          </cell>
          <cell r="Q74" t="str">
            <v>/26</v>
          </cell>
          <cell r="R74">
            <v>827</v>
          </cell>
        </row>
        <row r="75">
          <cell r="E75" t="str">
            <v>AC153</v>
          </cell>
          <cell r="F75" t="str">
            <v>ET181</v>
          </cell>
          <cell r="G75" t="str">
            <v>10.188.27.25</v>
          </cell>
          <cell r="H75" t="str">
            <v>10.188.27.1</v>
          </cell>
          <cell r="I75" t="str">
            <v>/26</v>
          </cell>
          <cell r="J75">
            <v>807</v>
          </cell>
          <cell r="K75" t="str">
            <v>10.188.29.25</v>
          </cell>
          <cell r="L75" t="str">
            <v>10.188.29.1</v>
          </cell>
          <cell r="M75" t="str">
            <v>/26</v>
          </cell>
          <cell r="N75">
            <v>817</v>
          </cell>
          <cell r="O75" t="str">
            <v>10.188.31.25</v>
          </cell>
          <cell r="P75" t="str">
            <v>10.188.31.1</v>
          </cell>
          <cell r="Q75" t="str">
            <v>/26</v>
          </cell>
          <cell r="R75">
            <v>827</v>
          </cell>
        </row>
        <row r="76">
          <cell r="E76" t="str">
            <v>AC153</v>
          </cell>
          <cell r="F76" t="str">
            <v>ET214</v>
          </cell>
          <cell r="G76" t="str">
            <v>10.188.27.26</v>
          </cell>
          <cell r="H76" t="str">
            <v>10.188.27.1</v>
          </cell>
          <cell r="I76" t="str">
            <v>/26</v>
          </cell>
          <cell r="J76">
            <v>807</v>
          </cell>
          <cell r="K76" t="str">
            <v>10.188.29.26</v>
          </cell>
          <cell r="L76" t="str">
            <v>10.188.29.1</v>
          </cell>
          <cell r="M76" t="str">
            <v>/26</v>
          </cell>
          <cell r="N76">
            <v>817</v>
          </cell>
          <cell r="O76" t="str">
            <v>10.188.31.26</v>
          </cell>
          <cell r="P76" t="str">
            <v>10.188.31.1</v>
          </cell>
          <cell r="Q76" t="str">
            <v>/26</v>
          </cell>
          <cell r="R76">
            <v>827</v>
          </cell>
        </row>
        <row r="77">
          <cell r="E77" t="str">
            <v>AC153</v>
          </cell>
          <cell r="F77" t="str">
            <v>ET305</v>
          </cell>
          <cell r="G77" t="str">
            <v>10.188.27.27</v>
          </cell>
          <cell r="H77" t="str">
            <v>10.188.27.1</v>
          </cell>
          <cell r="I77" t="str">
            <v>/26</v>
          </cell>
          <cell r="J77">
            <v>807</v>
          </cell>
          <cell r="K77" t="str">
            <v>10.188.29.27</v>
          </cell>
          <cell r="L77" t="str">
            <v>10.188.29.1</v>
          </cell>
          <cell r="M77" t="str">
            <v>/26</v>
          </cell>
          <cell r="N77">
            <v>817</v>
          </cell>
          <cell r="O77" t="str">
            <v>10.188.31.27</v>
          </cell>
          <cell r="P77" t="str">
            <v>10.188.31.1</v>
          </cell>
          <cell r="Q77" t="str">
            <v>/26</v>
          </cell>
          <cell r="R77">
            <v>827</v>
          </cell>
        </row>
        <row r="78">
          <cell r="E78" t="str">
            <v>AC153</v>
          </cell>
          <cell r="F78" t="str">
            <v>IM035</v>
          </cell>
          <cell r="G78" t="str">
            <v>10.188.27.28</v>
          </cell>
          <cell r="H78" t="str">
            <v>10.188.27.1</v>
          </cell>
          <cell r="I78" t="str">
            <v>/26</v>
          </cell>
          <cell r="J78">
            <v>807</v>
          </cell>
          <cell r="K78" t="str">
            <v>10.188.29.28</v>
          </cell>
          <cell r="L78" t="str">
            <v>10.188.29.1</v>
          </cell>
          <cell r="M78" t="str">
            <v>/26</v>
          </cell>
          <cell r="N78">
            <v>817</v>
          </cell>
          <cell r="O78" t="str">
            <v>10.188.31.28</v>
          </cell>
          <cell r="P78" t="str">
            <v>10.188.31.1</v>
          </cell>
          <cell r="Q78" t="str">
            <v>/26</v>
          </cell>
          <cell r="R78">
            <v>827</v>
          </cell>
        </row>
        <row r="79">
          <cell r="E79" t="str">
            <v>AC153</v>
          </cell>
          <cell r="F79" t="str">
            <v>ET494</v>
          </cell>
          <cell r="G79" t="str">
            <v>10.188.27.29</v>
          </cell>
          <cell r="H79" t="str">
            <v>10.188.27.1</v>
          </cell>
          <cell r="I79" t="str">
            <v>/26</v>
          </cell>
          <cell r="J79">
            <v>807</v>
          </cell>
          <cell r="K79" t="str">
            <v>10.188.29.29</v>
          </cell>
          <cell r="L79" t="str">
            <v>10.188.29.1</v>
          </cell>
          <cell r="M79" t="str">
            <v>/26</v>
          </cell>
          <cell r="N79">
            <v>817</v>
          </cell>
          <cell r="O79" t="str">
            <v>10.188.31.29</v>
          </cell>
          <cell r="P79" t="str">
            <v>10.188.31.1</v>
          </cell>
          <cell r="Q79" t="str">
            <v>/26</v>
          </cell>
          <cell r="R79">
            <v>827</v>
          </cell>
        </row>
        <row r="80">
          <cell r="E80" t="str">
            <v>AC153</v>
          </cell>
          <cell r="F80" t="str">
            <v>IM029</v>
          </cell>
          <cell r="G80" t="str">
            <v>10.188.27.30</v>
          </cell>
          <cell r="H80" t="str">
            <v>10.188.27.1</v>
          </cell>
          <cell r="I80" t="str">
            <v>/26</v>
          </cell>
          <cell r="J80">
            <v>807</v>
          </cell>
          <cell r="K80" t="str">
            <v>10.188.29.30</v>
          </cell>
          <cell r="L80" t="str">
            <v>10.188.29.1</v>
          </cell>
          <cell r="M80" t="str">
            <v>/26</v>
          </cell>
          <cell r="N80">
            <v>817</v>
          </cell>
          <cell r="O80" t="str">
            <v>10.188.31.30</v>
          </cell>
          <cell r="P80" t="str">
            <v>10.188.31.1</v>
          </cell>
          <cell r="Q80" t="str">
            <v>/26</v>
          </cell>
          <cell r="R80">
            <v>827</v>
          </cell>
        </row>
        <row r="81">
          <cell r="E81" t="str">
            <v>AC153</v>
          </cell>
          <cell r="F81" t="str">
            <v>IM029</v>
          </cell>
          <cell r="G81" t="str">
            <v>10.188.27.31</v>
          </cell>
          <cell r="H81" t="str">
            <v>10.188.27.1</v>
          </cell>
          <cell r="I81" t="str">
            <v>/26</v>
          </cell>
          <cell r="J81">
            <v>807</v>
          </cell>
          <cell r="K81" t="str">
            <v>10.188.29.31</v>
          </cell>
          <cell r="L81" t="str">
            <v>10.188.29.1</v>
          </cell>
          <cell r="M81" t="str">
            <v>/26</v>
          </cell>
          <cell r="N81">
            <v>817</v>
          </cell>
          <cell r="O81" t="str">
            <v>10.188.31.31</v>
          </cell>
          <cell r="P81" t="str">
            <v>10.188.31.1</v>
          </cell>
          <cell r="Q81" t="str">
            <v>/26</v>
          </cell>
          <cell r="R81">
            <v>827</v>
          </cell>
        </row>
        <row r="82">
          <cell r="E82" t="str">
            <v>AC153</v>
          </cell>
          <cell r="F82" t="str">
            <v>ET614</v>
          </cell>
          <cell r="G82" t="str">
            <v>10.188.27.32</v>
          </cell>
          <cell r="H82" t="str">
            <v>10.188.27.1</v>
          </cell>
          <cell r="I82" t="str">
            <v>/26</v>
          </cell>
          <cell r="J82">
            <v>807</v>
          </cell>
          <cell r="K82" t="str">
            <v>10.188.29.32</v>
          </cell>
          <cell r="L82" t="str">
            <v>10.188.29.1</v>
          </cell>
          <cell r="M82" t="str">
            <v>/26</v>
          </cell>
          <cell r="N82">
            <v>817</v>
          </cell>
          <cell r="O82" t="str">
            <v>10.188.31.32</v>
          </cell>
          <cell r="P82" t="str">
            <v>10.188.31.1</v>
          </cell>
          <cell r="Q82" t="str">
            <v>/26</v>
          </cell>
          <cell r="R82">
            <v>827</v>
          </cell>
        </row>
        <row r="83">
          <cell r="E83" t="str">
            <v>AC153</v>
          </cell>
          <cell r="F83" t="str">
            <v>ET614</v>
          </cell>
          <cell r="G83" t="str">
            <v>10.188.27.33</v>
          </cell>
          <cell r="H83" t="str">
            <v>10.188.27.1</v>
          </cell>
          <cell r="I83" t="str">
            <v>/26</v>
          </cell>
          <cell r="J83">
            <v>807</v>
          </cell>
          <cell r="K83" t="str">
            <v>10.188.29.33</v>
          </cell>
          <cell r="L83" t="str">
            <v>10.188.29.1</v>
          </cell>
          <cell r="M83" t="str">
            <v>/26</v>
          </cell>
          <cell r="N83">
            <v>817</v>
          </cell>
          <cell r="O83" t="str">
            <v>10.188.31.33</v>
          </cell>
          <cell r="P83" t="str">
            <v>10.188.31.1</v>
          </cell>
          <cell r="Q83" t="str">
            <v>/26</v>
          </cell>
          <cell r="R83">
            <v>827</v>
          </cell>
        </row>
        <row r="84">
          <cell r="E84" t="str">
            <v>AC153</v>
          </cell>
          <cell r="F84" t="str">
            <v>ET597</v>
          </cell>
          <cell r="G84" t="str">
            <v>10.188.27.34</v>
          </cell>
          <cell r="H84" t="str">
            <v>10.188.27.1</v>
          </cell>
          <cell r="I84" t="str">
            <v>/26</v>
          </cell>
          <cell r="J84">
            <v>807</v>
          </cell>
          <cell r="K84" t="str">
            <v>10.188.29.34</v>
          </cell>
          <cell r="L84" t="str">
            <v>10.188.29.1</v>
          </cell>
          <cell r="M84" t="str">
            <v>/26</v>
          </cell>
          <cell r="N84">
            <v>817</v>
          </cell>
          <cell r="O84" t="str">
            <v>10.188.31.34</v>
          </cell>
          <cell r="P84" t="str">
            <v>10.188.31.1</v>
          </cell>
          <cell r="Q84" t="str">
            <v>/26</v>
          </cell>
          <cell r="R84">
            <v>827</v>
          </cell>
        </row>
        <row r="85">
          <cell r="E85" t="str">
            <v>AC153</v>
          </cell>
          <cell r="F85" t="str">
            <v>ET597</v>
          </cell>
          <cell r="G85" t="str">
            <v>10.188.27.35</v>
          </cell>
          <cell r="H85" t="str">
            <v>10.188.27.1</v>
          </cell>
          <cell r="I85" t="str">
            <v>/26</v>
          </cell>
          <cell r="J85">
            <v>807</v>
          </cell>
          <cell r="K85" t="str">
            <v>10.188.29.35</v>
          </cell>
          <cell r="L85" t="str">
            <v>10.188.29.1</v>
          </cell>
          <cell r="M85" t="str">
            <v>/26</v>
          </cell>
          <cell r="N85">
            <v>817</v>
          </cell>
          <cell r="O85" t="str">
            <v>10.188.31.35</v>
          </cell>
          <cell r="P85" t="str">
            <v>10.188.31.1</v>
          </cell>
          <cell r="Q85" t="str">
            <v>/26</v>
          </cell>
          <cell r="R85">
            <v>827</v>
          </cell>
        </row>
        <row r="86">
          <cell r="E86" t="str">
            <v>AC153</v>
          </cell>
          <cell r="F86" t="str">
            <v>ET690</v>
          </cell>
          <cell r="G86" t="str">
            <v>10.188.27.36</v>
          </cell>
          <cell r="H86" t="str">
            <v>10.188.27.1</v>
          </cell>
          <cell r="I86" t="str">
            <v>/26</v>
          </cell>
          <cell r="J86">
            <v>807</v>
          </cell>
          <cell r="K86" t="str">
            <v>10.188.29.36</v>
          </cell>
          <cell r="L86" t="str">
            <v>10.188.29.1</v>
          </cell>
          <cell r="M86" t="str">
            <v>/26</v>
          </cell>
          <cell r="N86">
            <v>817</v>
          </cell>
          <cell r="O86" t="str">
            <v>10.188.31.36</v>
          </cell>
          <cell r="P86" t="str">
            <v>10.188.31.1</v>
          </cell>
          <cell r="Q86" t="str">
            <v>/26</v>
          </cell>
          <cell r="R86">
            <v>827</v>
          </cell>
        </row>
        <row r="87">
          <cell r="E87" t="str">
            <v>AC153</v>
          </cell>
          <cell r="F87" t="str">
            <v>ET690</v>
          </cell>
          <cell r="G87" t="str">
            <v>10.188.27.37</v>
          </cell>
          <cell r="H87" t="str">
            <v>10.188.27.1</v>
          </cell>
          <cell r="I87" t="str">
            <v>/26</v>
          </cell>
          <cell r="J87">
            <v>807</v>
          </cell>
          <cell r="K87" t="str">
            <v>10.188.29.37</v>
          </cell>
          <cell r="L87" t="str">
            <v>10.188.29.1</v>
          </cell>
          <cell r="M87" t="str">
            <v>/26</v>
          </cell>
          <cell r="N87">
            <v>817</v>
          </cell>
          <cell r="O87" t="str">
            <v>10.188.31.37</v>
          </cell>
          <cell r="P87" t="str">
            <v>10.188.31.1</v>
          </cell>
          <cell r="Q87" t="str">
            <v>/26</v>
          </cell>
          <cell r="R87">
            <v>827</v>
          </cell>
        </row>
        <row r="88">
          <cell r="E88" t="str">
            <v>AC153</v>
          </cell>
          <cell r="F88" t="str">
            <v>ET514</v>
          </cell>
          <cell r="G88" t="str">
            <v>10.188.27.38</v>
          </cell>
          <cell r="H88" t="str">
            <v>10.188.27.1</v>
          </cell>
          <cell r="I88" t="str">
            <v>/26</v>
          </cell>
          <cell r="J88">
            <v>807</v>
          </cell>
          <cell r="K88" t="str">
            <v>10.188.29.38</v>
          </cell>
          <cell r="L88" t="str">
            <v>10.188.29.1</v>
          </cell>
          <cell r="M88" t="str">
            <v>/26</v>
          </cell>
          <cell r="N88">
            <v>817</v>
          </cell>
          <cell r="O88" t="str">
            <v>10.188.31.38</v>
          </cell>
          <cell r="P88" t="str">
            <v>10.188.31.1</v>
          </cell>
          <cell r="Q88" t="str">
            <v>/26</v>
          </cell>
          <cell r="R88">
            <v>827</v>
          </cell>
        </row>
        <row r="89">
          <cell r="E89" t="str">
            <v>AC153</v>
          </cell>
          <cell r="F89" t="str">
            <v>ET514</v>
          </cell>
          <cell r="G89" t="str">
            <v>10.188.27.39</v>
          </cell>
          <cell r="H89" t="str">
            <v>10.188.27.1</v>
          </cell>
          <cell r="I89" t="str">
            <v>/26</v>
          </cell>
          <cell r="J89">
            <v>807</v>
          </cell>
          <cell r="K89" t="str">
            <v>10.188.29.39</v>
          </cell>
          <cell r="L89" t="str">
            <v>10.188.29.1</v>
          </cell>
          <cell r="M89" t="str">
            <v>/26</v>
          </cell>
          <cell r="N89">
            <v>817</v>
          </cell>
          <cell r="O89" t="str">
            <v>10.188.31.39</v>
          </cell>
          <cell r="P89" t="str">
            <v>10.188.31.1</v>
          </cell>
          <cell r="Q89" t="str">
            <v>/26</v>
          </cell>
          <cell r="R89">
            <v>827</v>
          </cell>
        </row>
        <row r="90">
          <cell r="E90" t="str">
            <v>AC153</v>
          </cell>
          <cell r="F90" t="str">
            <v>ET182</v>
          </cell>
          <cell r="G90" t="str">
            <v>10.188.27.40</v>
          </cell>
          <cell r="H90" t="str">
            <v>10.188.27.1</v>
          </cell>
          <cell r="I90" t="str">
            <v>/26</v>
          </cell>
          <cell r="J90">
            <v>807</v>
          </cell>
          <cell r="K90" t="str">
            <v>10.188.29.40</v>
          </cell>
          <cell r="L90" t="str">
            <v>10.188.29.1</v>
          </cell>
          <cell r="M90" t="str">
            <v>/26</v>
          </cell>
          <cell r="N90">
            <v>817</v>
          </cell>
          <cell r="O90" t="str">
            <v>10.188.31.40</v>
          </cell>
          <cell r="P90" t="str">
            <v>10.188.31.1</v>
          </cell>
          <cell r="Q90" t="str">
            <v>/26</v>
          </cell>
          <cell r="R90">
            <v>827</v>
          </cell>
        </row>
        <row r="91">
          <cell r="E91" t="str">
            <v>AC153</v>
          </cell>
          <cell r="F91" t="str">
            <v>ET366</v>
          </cell>
          <cell r="G91" t="str">
            <v>10.188.27.41</v>
          </cell>
          <cell r="H91" t="str">
            <v>10.188.27.1</v>
          </cell>
          <cell r="I91" t="str">
            <v>/26</v>
          </cell>
          <cell r="J91">
            <v>807</v>
          </cell>
          <cell r="K91" t="str">
            <v>10.188.29.41</v>
          </cell>
          <cell r="L91" t="str">
            <v>10.188.29.1</v>
          </cell>
          <cell r="M91" t="str">
            <v>/26</v>
          </cell>
          <cell r="N91">
            <v>817</v>
          </cell>
          <cell r="O91" t="str">
            <v>10.188.31.41</v>
          </cell>
          <cell r="P91" t="str">
            <v>10.188.31.1</v>
          </cell>
          <cell r="Q91" t="str">
            <v>/26</v>
          </cell>
          <cell r="R91">
            <v>827</v>
          </cell>
        </row>
        <row r="92">
          <cell r="E92" t="str">
            <v>AC153</v>
          </cell>
          <cell r="F92" t="str">
            <v>ET191</v>
          </cell>
          <cell r="G92" t="str">
            <v>10.188.27.42</v>
          </cell>
          <cell r="H92" t="str">
            <v>10.188.27.1</v>
          </cell>
          <cell r="I92" t="str">
            <v>/26</v>
          </cell>
          <cell r="J92">
            <v>807</v>
          </cell>
          <cell r="K92" t="str">
            <v>10.188.29.42</v>
          </cell>
          <cell r="L92" t="str">
            <v>10.188.29.1</v>
          </cell>
          <cell r="M92" t="str">
            <v>/26</v>
          </cell>
          <cell r="N92">
            <v>817</v>
          </cell>
          <cell r="O92" t="str">
            <v>10.188.31.42</v>
          </cell>
          <cell r="P92" t="str">
            <v>10.188.31.1</v>
          </cell>
          <cell r="Q92" t="str">
            <v>/26</v>
          </cell>
          <cell r="R92">
            <v>827</v>
          </cell>
        </row>
        <row r="93">
          <cell r="E93" t="str">
            <v>AC153</v>
          </cell>
          <cell r="F93" t="str">
            <v>IM044</v>
          </cell>
          <cell r="G93" t="str">
            <v>10.188.27.43</v>
          </cell>
          <cell r="H93" t="str">
            <v>10.188.27.1</v>
          </cell>
          <cell r="I93" t="str">
            <v>/26</v>
          </cell>
          <cell r="J93">
            <v>807</v>
          </cell>
          <cell r="K93" t="str">
            <v>10.188.29.43</v>
          </cell>
          <cell r="L93" t="str">
            <v>10.188.29.1</v>
          </cell>
          <cell r="M93" t="str">
            <v>/26</v>
          </cell>
          <cell r="N93">
            <v>817</v>
          </cell>
          <cell r="O93" t="str">
            <v>10.188.31.43</v>
          </cell>
          <cell r="P93" t="str">
            <v>10.188.31.1</v>
          </cell>
          <cell r="Q93" t="str">
            <v>/26</v>
          </cell>
          <cell r="R93">
            <v>827</v>
          </cell>
        </row>
        <row r="94">
          <cell r="E94" t="str">
            <v>AC153</v>
          </cell>
          <cell r="F94" t="str">
            <v>IM307</v>
          </cell>
          <cell r="G94" t="str">
            <v>10.188.27.44</v>
          </cell>
          <cell r="H94" t="str">
            <v>10.188.27.1</v>
          </cell>
          <cell r="I94" t="str">
            <v>/26</v>
          </cell>
          <cell r="J94">
            <v>807</v>
          </cell>
          <cell r="K94" t="str">
            <v>10.188.29.44</v>
          </cell>
          <cell r="L94" t="str">
            <v>10.188.29.1</v>
          </cell>
          <cell r="M94" t="str">
            <v>/26</v>
          </cell>
          <cell r="N94">
            <v>817</v>
          </cell>
          <cell r="O94" t="str">
            <v>10.188.31.44</v>
          </cell>
          <cell r="P94" t="str">
            <v>10.188.31.1</v>
          </cell>
          <cell r="Q94" t="str">
            <v>/26</v>
          </cell>
          <cell r="R94">
            <v>827</v>
          </cell>
        </row>
        <row r="95">
          <cell r="E95" t="str">
            <v>AC153</v>
          </cell>
          <cell r="F95" t="str">
            <v>AC794</v>
          </cell>
          <cell r="G95" t="str">
            <v>10.188.27.45</v>
          </cell>
          <cell r="H95" t="str">
            <v>10.188.27.1</v>
          </cell>
          <cell r="I95" t="str">
            <v>/26</v>
          </cell>
          <cell r="J95">
            <v>807</v>
          </cell>
          <cell r="K95" t="str">
            <v>10.188.29.45</v>
          </cell>
          <cell r="L95" t="str">
            <v>10.188.29.1</v>
          </cell>
          <cell r="M95" t="str">
            <v>/26</v>
          </cell>
          <cell r="N95">
            <v>817</v>
          </cell>
          <cell r="O95" t="str">
            <v>10.188.31.45</v>
          </cell>
          <cell r="P95" t="str">
            <v>10.188.31.1</v>
          </cell>
          <cell r="Q95" t="str">
            <v>/26</v>
          </cell>
          <cell r="R95">
            <v>827</v>
          </cell>
        </row>
        <row r="96">
          <cell r="E96" t="str">
            <v>AC153</v>
          </cell>
          <cell r="G96" t="str">
            <v>10.188.27.46</v>
          </cell>
          <cell r="H96" t="str">
            <v>10.188.27.1</v>
          </cell>
          <cell r="I96" t="str">
            <v>/26</v>
          </cell>
          <cell r="J96">
            <v>807</v>
          </cell>
          <cell r="K96" t="str">
            <v>10.188.29.46</v>
          </cell>
          <cell r="L96" t="str">
            <v>10.188.29.1</v>
          </cell>
          <cell r="M96" t="str">
            <v>/26</v>
          </cell>
          <cell r="N96">
            <v>817</v>
          </cell>
          <cell r="O96" t="str">
            <v>10.188.31.46</v>
          </cell>
          <cell r="P96" t="str">
            <v>10.188.31.1</v>
          </cell>
          <cell r="Q96" t="str">
            <v>/26</v>
          </cell>
          <cell r="R96">
            <v>827</v>
          </cell>
        </row>
        <row r="97">
          <cell r="E97" t="str">
            <v>AC153</v>
          </cell>
          <cell r="F97" t="str">
            <v>ET870</v>
          </cell>
          <cell r="G97" t="str">
            <v>10.188.27.47</v>
          </cell>
          <cell r="H97" t="str">
            <v>10.188.27.1</v>
          </cell>
          <cell r="I97" t="str">
            <v>/26</v>
          </cell>
          <cell r="J97">
            <v>807</v>
          </cell>
          <cell r="K97" t="str">
            <v>10.188.29.47</v>
          </cell>
          <cell r="L97" t="str">
            <v>10.188.29.1</v>
          </cell>
          <cell r="M97" t="str">
            <v>/26</v>
          </cell>
          <cell r="N97">
            <v>817</v>
          </cell>
          <cell r="O97" t="str">
            <v>10.188.31.47</v>
          </cell>
          <cell r="P97" t="str">
            <v>10.188.31.1</v>
          </cell>
          <cell r="Q97" t="str">
            <v>/26</v>
          </cell>
          <cell r="R97">
            <v>827</v>
          </cell>
        </row>
        <row r="98">
          <cell r="E98" t="str">
            <v>AC153</v>
          </cell>
          <cell r="F98" t="str">
            <v>ET870</v>
          </cell>
          <cell r="G98" t="str">
            <v>10.188.27.48</v>
          </cell>
          <cell r="H98" t="str">
            <v>10.188.27.1</v>
          </cell>
          <cell r="I98" t="str">
            <v>/26</v>
          </cell>
          <cell r="J98">
            <v>807</v>
          </cell>
          <cell r="K98" t="str">
            <v>10.188.29.48</v>
          </cell>
          <cell r="L98" t="str">
            <v>10.188.29.1</v>
          </cell>
          <cell r="M98" t="str">
            <v>/26</v>
          </cell>
          <cell r="N98">
            <v>817</v>
          </cell>
          <cell r="O98" t="str">
            <v>10.188.31.48</v>
          </cell>
          <cell r="P98" t="str">
            <v>10.188.31.1</v>
          </cell>
          <cell r="Q98" t="str">
            <v>/26</v>
          </cell>
          <cell r="R98">
            <v>827</v>
          </cell>
        </row>
        <row r="99">
          <cell r="E99" t="str">
            <v>AC153</v>
          </cell>
          <cell r="F99" t="str">
            <v>ET876</v>
          </cell>
          <cell r="G99" t="str">
            <v>10.188.27.49</v>
          </cell>
          <cell r="H99" t="str">
            <v>10.188.27.1</v>
          </cell>
          <cell r="I99" t="str">
            <v>/26</v>
          </cell>
          <cell r="J99">
            <v>807</v>
          </cell>
          <cell r="K99" t="str">
            <v>10.188.29.49</v>
          </cell>
          <cell r="L99" t="str">
            <v>10.188.29.1</v>
          </cell>
          <cell r="M99" t="str">
            <v>/26</v>
          </cell>
          <cell r="N99">
            <v>817</v>
          </cell>
          <cell r="O99" t="str">
            <v>10.188.31.49</v>
          </cell>
          <cell r="P99" t="str">
            <v>10.188.31.1</v>
          </cell>
          <cell r="Q99" t="str">
            <v>/26</v>
          </cell>
          <cell r="R99">
            <v>827</v>
          </cell>
        </row>
        <row r="100">
          <cell r="E100" t="str">
            <v>AC153</v>
          </cell>
          <cell r="F100" t="str">
            <v>ET876</v>
          </cell>
          <cell r="G100" t="str">
            <v>10.188.27.50</v>
          </cell>
          <cell r="H100" t="str">
            <v>10.188.27.1</v>
          </cell>
          <cell r="I100" t="str">
            <v>/26</v>
          </cell>
          <cell r="J100">
            <v>807</v>
          </cell>
          <cell r="K100" t="str">
            <v>10.188.29.50</v>
          </cell>
          <cell r="L100" t="str">
            <v>10.188.29.1</v>
          </cell>
          <cell r="M100" t="str">
            <v>/26</v>
          </cell>
          <cell r="N100">
            <v>817</v>
          </cell>
          <cell r="O100" t="str">
            <v>10.188.31.50</v>
          </cell>
          <cell r="P100" t="str">
            <v>10.188.31.1</v>
          </cell>
          <cell r="Q100" t="str">
            <v>/26</v>
          </cell>
          <cell r="R100">
            <v>827</v>
          </cell>
        </row>
        <row r="101">
          <cell r="E101" t="str">
            <v>AC153</v>
          </cell>
          <cell r="F101" t="str">
            <v>ET917</v>
          </cell>
          <cell r="G101" t="str">
            <v>10.188.27.51</v>
          </cell>
          <cell r="H101" t="str">
            <v>10.188.27.1</v>
          </cell>
          <cell r="I101" t="str">
            <v>/26</v>
          </cell>
          <cell r="J101">
            <v>807</v>
          </cell>
          <cell r="K101" t="str">
            <v>10.188.29.51</v>
          </cell>
          <cell r="L101" t="str">
            <v>10.188.29.1</v>
          </cell>
          <cell r="M101" t="str">
            <v>/26</v>
          </cell>
          <cell r="N101">
            <v>817</v>
          </cell>
          <cell r="O101" t="str">
            <v>10.188.31.51</v>
          </cell>
          <cell r="P101" t="str">
            <v>10.188.31.1</v>
          </cell>
          <cell r="Q101" t="str">
            <v>/26</v>
          </cell>
          <cell r="R101">
            <v>827</v>
          </cell>
        </row>
        <row r="102">
          <cell r="E102" t="str">
            <v>AC153</v>
          </cell>
          <cell r="F102" t="str">
            <v>ET917</v>
          </cell>
          <cell r="G102" t="str">
            <v>10.188.27.52</v>
          </cell>
          <cell r="H102" t="str">
            <v>10.188.27.1</v>
          </cell>
          <cell r="I102" t="str">
            <v>/26</v>
          </cell>
          <cell r="J102">
            <v>807</v>
          </cell>
          <cell r="K102" t="str">
            <v>10.188.29.52</v>
          </cell>
          <cell r="L102" t="str">
            <v>10.188.29.1</v>
          </cell>
          <cell r="M102" t="str">
            <v>/26</v>
          </cell>
          <cell r="N102">
            <v>817</v>
          </cell>
          <cell r="O102" t="str">
            <v>10.188.31.52</v>
          </cell>
          <cell r="P102" t="str">
            <v>10.188.31.1</v>
          </cell>
          <cell r="Q102" t="str">
            <v>/26</v>
          </cell>
          <cell r="R102">
            <v>827</v>
          </cell>
        </row>
        <row r="103">
          <cell r="E103" t="str">
            <v>AC153</v>
          </cell>
          <cell r="F103" t="str">
            <v>AC793</v>
          </cell>
          <cell r="G103" t="str">
            <v>10.188.27.53</v>
          </cell>
          <cell r="H103" t="str">
            <v>10.188.27.1</v>
          </cell>
          <cell r="I103" t="str">
            <v>/26</v>
          </cell>
          <cell r="J103">
            <v>807</v>
          </cell>
          <cell r="K103" t="str">
            <v>10.188.29.53</v>
          </cell>
          <cell r="L103" t="str">
            <v>10.188.29.1</v>
          </cell>
          <cell r="M103" t="str">
            <v>/26</v>
          </cell>
          <cell r="N103">
            <v>817</v>
          </cell>
          <cell r="O103" t="str">
            <v>10.188.31.53</v>
          </cell>
          <cell r="P103" t="str">
            <v>10.188.31.1</v>
          </cell>
          <cell r="Q103" t="str">
            <v>/26</v>
          </cell>
          <cell r="R103">
            <v>827</v>
          </cell>
        </row>
        <row r="104">
          <cell r="E104" t="str">
            <v>AC153</v>
          </cell>
          <cell r="F104" t="str">
            <v>AC793</v>
          </cell>
          <cell r="G104" t="str">
            <v>10.188.27.54</v>
          </cell>
          <cell r="H104" t="str">
            <v>10.188.27.1</v>
          </cell>
          <cell r="I104" t="str">
            <v>/26</v>
          </cell>
          <cell r="J104">
            <v>807</v>
          </cell>
          <cell r="K104" t="str">
            <v>10.188.29.54</v>
          </cell>
          <cell r="L104" t="str">
            <v>10.188.29.1</v>
          </cell>
          <cell r="M104" t="str">
            <v>/26</v>
          </cell>
          <cell r="N104">
            <v>817</v>
          </cell>
          <cell r="O104" t="str">
            <v>10.188.31.54</v>
          </cell>
          <cell r="P104" t="str">
            <v>10.188.31.1</v>
          </cell>
          <cell r="Q104" t="str">
            <v>/26</v>
          </cell>
          <cell r="R104">
            <v>827</v>
          </cell>
        </row>
        <row r="105">
          <cell r="E105" t="str">
            <v>AC153</v>
          </cell>
          <cell r="F105" t="str">
            <v>AC794</v>
          </cell>
          <cell r="G105" t="str">
            <v>10.188.27.55</v>
          </cell>
          <cell r="H105" t="str">
            <v>10.188.27.1</v>
          </cell>
          <cell r="I105" t="str">
            <v>/26</v>
          </cell>
          <cell r="J105">
            <v>807</v>
          </cell>
          <cell r="K105" t="str">
            <v>10.188.29.55</v>
          </cell>
          <cell r="L105" t="str">
            <v>10.188.29.1</v>
          </cell>
          <cell r="M105" t="str">
            <v>/26</v>
          </cell>
          <cell r="N105">
            <v>817</v>
          </cell>
          <cell r="O105" t="str">
            <v>10.188.31.55</v>
          </cell>
          <cell r="P105" t="str">
            <v>10.188.31.1</v>
          </cell>
          <cell r="Q105" t="str">
            <v>/26</v>
          </cell>
          <cell r="R105">
            <v>827</v>
          </cell>
        </row>
        <row r="106">
          <cell r="E106" t="str">
            <v>AC153</v>
          </cell>
          <cell r="F106" t="str">
            <v>AC794</v>
          </cell>
          <cell r="G106" t="str">
            <v>10.188.27.56</v>
          </cell>
          <cell r="H106" t="str">
            <v>10.188.27.1</v>
          </cell>
          <cell r="I106" t="str">
            <v>/26</v>
          </cell>
          <cell r="J106">
            <v>807</v>
          </cell>
          <cell r="K106" t="str">
            <v>10.188.29.56</v>
          </cell>
          <cell r="L106" t="str">
            <v>10.188.29.1</v>
          </cell>
          <cell r="M106" t="str">
            <v>/26</v>
          </cell>
          <cell r="N106">
            <v>817</v>
          </cell>
          <cell r="O106" t="str">
            <v>10.188.31.56</v>
          </cell>
          <cell r="P106" t="str">
            <v>10.188.31.1</v>
          </cell>
          <cell r="Q106" t="str">
            <v>/26</v>
          </cell>
          <cell r="R106">
            <v>827</v>
          </cell>
        </row>
        <row r="107">
          <cell r="E107" t="str">
            <v>AC153</v>
          </cell>
          <cell r="F107" t="str">
            <v>ET182</v>
          </cell>
          <cell r="G107" t="str">
            <v>10.188.27.57</v>
          </cell>
          <cell r="H107" t="str">
            <v>10.188.27.1</v>
          </cell>
          <cell r="I107" t="str">
            <v>/26</v>
          </cell>
          <cell r="J107">
            <v>807</v>
          </cell>
          <cell r="K107" t="str">
            <v>10.188.29.57</v>
          </cell>
          <cell r="L107" t="str">
            <v>10.188.29.1</v>
          </cell>
          <cell r="M107" t="str">
            <v>/26</v>
          </cell>
          <cell r="N107">
            <v>817</v>
          </cell>
          <cell r="O107" t="str">
            <v>10.188.31.57</v>
          </cell>
          <cell r="P107" t="str">
            <v>10.188.31.1</v>
          </cell>
          <cell r="Q107" t="str">
            <v>/26</v>
          </cell>
          <cell r="R107">
            <v>827</v>
          </cell>
        </row>
        <row r="108">
          <cell r="E108" t="str">
            <v>AC153</v>
          </cell>
          <cell r="F108" t="str">
            <v>ET182</v>
          </cell>
          <cell r="G108" t="str">
            <v>10.188.27.58</v>
          </cell>
          <cell r="H108" t="str">
            <v>10.188.27.1</v>
          </cell>
          <cell r="I108" t="str">
            <v>/26</v>
          </cell>
          <cell r="J108">
            <v>807</v>
          </cell>
          <cell r="K108" t="str">
            <v>10.188.29.58</v>
          </cell>
          <cell r="L108" t="str">
            <v>10.188.29.1</v>
          </cell>
          <cell r="M108" t="str">
            <v>/26</v>
          </cell>
          <cell r="N108">
            <v>817</v>
          </cell>
          <cell r="O108" t="str">
            <v>10.188.31.58</v>
          </cell>
          <cell r="P108" t="str">
            <v>10.188.31.1</v>
          </cell>
          <cell r="Q108" t="str">
            <v>/26</v>
          </cell>
          <cell r="R108">
            <v>827</v>
          </cell>
        </row>
        <row r="109">
          <cell r="E109" t="str">
            <v>AC153</v>
          </cell>
          <cell r="F109" t="str">
            <v>ET842</v>
          </cell>
          <cell r="G109" t="str">
            <v>10.188.27.59</v>
          </cell>
          <cell r="H109" t="str">
            <v>10.188.27.1</v>
          </cell>
          <cell r="I109" t="str">
            <v>/26</v>
          </cell>
          <cell r="J109">
            <v>807</v>
          </cell>
          <cell r="K109" t="str">
            <v>10.188.29.59</v>
          </cell>
          <cell r="L109" t="str">
            <v>10.188.29.1</v>
          </cell>
          <cell r="M109" t="str">
            <v>/26</v>
          </cell>
          <cell r="N109">
            <v>817</v>
          </cell>
          <cell r="O109" t="str">
            <v>10.188.31.59</v>
          </cell>
          <cell r="P109" t="str">
            <v>10.188.31.1</v>
          </cell>
          <cell r="Q109" t="str">
            <v>/26</v>
          </cell>
          <cell r="R109">
            <v>827</v>
          </cell>
        </row>
        <row r="110">
          <cell r="E110" t="str">
            <v>AC153</v>
          </cell>
          <cell r="F110" t="str">
            <v>ET842</v>
          </cell>
          <cell r="G110" t="str">
            <v>10.188.27.60</v>
          </cell>
          <cell r="H110" t="str">
            <v>10.188.27.1</v>
          </cell>
          <cell r="I110" t="str">
            <v>/26</v>
          </cell>
          <cell r="J110">
            <v>807</v>
          </cell>
          <cell r="K110" t="str">
            <v>10.188.29.60</v>
          </cell>
          <cell r="L110" t="str">
            <v>10.188.29.1</v>
          </cell>
          <cell r="M110" t="str">
            <v>/26</v>
          </cell>
          <cell r="N110">
            <v>817</v>
          </cell>
          <cell r="O110" t="str">
            <v>10.188.31.60</v>
          </cell>
          <cell r="P110" t="str">
            <v>10.188.31.1</v>
          </cell>
          <cell r="Q110" t="str">
            <v>/26</v>
          </cell>
          <cell r="R110">
            <v>827</v>
          </cell>
        </row>
        <row r="111">
          <cell r="E111" t="str">
            <v>AC153</v>
          </cell>
          <cell r="F111" t="str">
            <v>ET856</v>
          </cell>
          <cell r="G111" t="str">
            <v>10.188.27.61</v>
          </cell>
          <cell r="H111" t="str">
            <v>10.188.27.1</v>
          </cell>
          <cell r="I111" t="str">
            <v>/26</v>
          </cell>
          <cell r="J111">
            <v>807</v>
          </cell>
          <cell r="K111" t="str">
            <v>10.188.29.61</v>
          </cell>
          <cell r="L111" t="str">
            <v>10.188.29.1</v>
          </cell>
          <cell r="M111" t="str">
            <v>/26</v>
          </cell>
          <cell r="N111">
            <v>817</v>
          </cell>
          <cell r="O111" t="str">
            <v>10.188.31.61</v>
          </cell>
          <cell r="P111" t="str">
            <v>10.188.31.1</v>
          </cell>
          <cell r="Q111" t="str">
            <v>/26</v>
          </cell>
          <cell r="R111">
            <v>827</v>
          </cell>
        </row>
        <row r="112">
          <cell r="E112" t="str">
            <v>AC153</v>
          </cell>
          <cell r="F112" t="str">
            <v>ET856</v>
          </cell>
          <cell r="G112" t="str">
            <v>10.188.27.62</v>
          </cell>
          <cell r="H112" t="str">
            <v>10.188.27.1</v>
          </cell>
          <cell r="I112" t="str">
            <v>/26</v>
          </cell>
          <cell r="J112">
            <v>807</v>
          </cell>
          <cell r="K112" t="str">
            <v>10.188.29.62</v>
          </cell>
          <cell r="L112" t="str">
            <v>10.188.29.1</v>
          </cell>
          <cell r="M112" t="str">
            <v>/26</v>
          </cell>
          <cell r="N112">
            <v>817</v>
          </cell>
          <cell r="O112" t="str">
            <v>10.188.31.62</v>
          </cell>
          <cell r="P112" t="str">
            <v>10.188.31.1</v>
          </cell>
          <cell r="Q112" t="str">
            <v>/26</v>
          </cell>
          <cell r="R112">
            <v>827</v>
          </cell>
        </row>
        <row r="113">
          <cell r="E113" t="str">
            <v>AC153</v>
          </cell>
          <cell r="G113" t="str">
            <v>10.188.27.63</v>
          </cell>
          <cell r="H113" t="str">
            <v>10.188.27.1</v>
          </cell>
          <cell r="I113" t="str">
            <v>/26</v>
          </cell>
          <cell r="J113">
            <v>807</v>
          </cell>
          <cell r="K113" t="str">
            <v>10.188.29.63</v>
          </cell>
          <cell r="L113" t="str">
            <v>10.188.29.1</v>
          </cell>
          <cell r="M113" t="str">
            <v>/26</v>
          </cell>
          <cell r="N113">
            <v>817</v>
          </cell>
          <cell r="O113" t="str">
            <v>10.188.31.63</v>
          </cell>
          <cell r="P113" t="str">
            <v>10.188.31.1</v>
          </cell>
          <cell r="Q113" t="str">
            <v>/26</v>
          </cell>
          <cell r="R113">
            <v>827</v>
          </cell>
        </row>
        <row r="114">
          <cell r="E114" t="str">
            <v>AC161</v>
          </cell>
          <cell r="G114" t="str">
            <v>10.186.192.192</v>
          </cell>
          <cell r="H114" t="str">
            <v>10.186.192.193</v>
          </cell>
          <cell r="I114" t="str">
            <v>/28</v>
          </cell>
          <cell r="J114">
            <v>800</v>
          </cell>
          <cell r="K114" t="str">
            <v>10.186.212.192</v>
          </cell>
          <cell r="L114" t="str">
            <v>10.186.212.193</v>
          </cell>
          <cell r="M114" t="str">
            <v>/28</v>
          </cell>
          <cell r="N114">
            <v>810</v>
          </cell>
          <cell r="O114" t="str">
            <v>10.186.222.192</v>
          </cell>
          <cell r="P114" t="str">
            <v>10.186.222.193</v>
          </cell>
          <cell r="Q114" t="str">
            <v>/28</v>
          </cell>
          <cell r="R114">
            <v>820</v>
          </cell>
        </row>
        <row r="115">
          <cell r="E115" t="str">
            <v>AC161</v>
          </cell>
          <cell r="G115" t="str">
            <v>10.186.192.193</v>
          </cell>
          <cell r="H115" t="str">
            <v>10.186.192.193</v>
          </cell>
          <cell r="I115" t="str">
            <v>/28</v>
          </cell>
          <cell r="J115">
            <v>800</v>
          </cell>
          <cell r="K115" t="str">
            <v>10.186.212.193</v>
          </cell>
          <cell r="L115" t="str">
            <v>10.186.212.193</v>
          </cell>
          <cell r="M115" t="str">
            <v>/28</v>
          </cell>
          <cell r="N115">
            <v>810</v>
          </cell>
          <cell r="O115" t="str">
            <v>10.186.222.193</v>
          </cell>
          <cell r="P115" t="str">
            <v>10.186.222.193</v>
          </cell>
          <cell r="Q115" t="str">
            <v>/28</v>
          </cell>
          <cell r="R115">
            <v>820</v>
          </cell>
        </row>
        <row r="116">
          <cell r="E116" t="str">
            <v>AC161</v>
          </cell>
          <cell r="F116" t="str">
            <v>ET655</v>
          </cell>
          <cell r="G116" t="str">
            <v>10.186.192.194</v>
          </cell>
          <cell r="H116" t="str">
            <v>10.186.192.193</v>
          </cell>
          <cell r="I116" t="str">
            <v>/28</v>
          </cell>
          <cell r="J116">
            <v>800</v>
          </cell>
          <cell r="K116" t="str">
            <v>10.186.212.194</v>
          </cell>
          <cell r="L116" t="str">
            <v>10.186.212.193</v>
          </cell>
          <cell r="M116" t="str">
            <v>/28</v>
          </cell>
          <cell r="N116">
            <v>810</v>
          </cell>
          <cell r="O116" t="str">
            <v>10.186.222.194</v>
          </cell>
          <cell r="P116" t="str">
            <v>10.186.222.193</v>
          </cell>
          <cell r="Q116" t="str">
            <v>/28</v>
          </cell>
          <cell r="R116">
            <v>820</v>
          </cell>
        </row>
        <row r="117">
          <cell r="E117" t="str">
            <v>AC161</v>
          </cell>
          <cell r="F117" t="str">
            <v>ET207</v>
          </cell>
          <cell r="G117" t="str">
            <v>10.186.192.195</v>
          </cell>
          <cell r="H117" t="str">
            <v>10.186.192.193</v>
          </cell>
          <cell r="I117" t="str">
            <v>/28</v>
          </cell>
          <cell r="J117">
            <v>800</v>
          </cell>
          <cell r="K117" t="str">
            <v>10.186.212.195</v>
          </cell>
          <cell r="L117" t="str">
            <v>10.186.212.193</v>
          </cell>
          <cell r="M117" t="str">
            <v>/28</v>
          </cell>
          <cell r="N117">
            <v>810</v>
          </cell>
          <cell r="O117" t="str">
            <v>10.186.222.195</v>
          </cell>
          <cell r="P117" t="str">
            <v>10.186.222.193</v>
          </cell>
          <cell r="Q117" t="str">
            <v>/28</v>
          </cell>
          <cell r="R117">
            <v>820</v>
          </cell>
        </row>
        <row r="118">
          <cell r="E118" t="str">
            <v>AC161</v>
          </cell>
          <cell r="F118" t="str">
            <v>AC161</v>
          </cell>
          <cell r="G118" t="str">
            <v>10.186.192.196</v>
          </cell>
          <cell r="H118" t="str">
            <v>10.186.192.193</v>
          </cell>
          <cell r="I118" t="str">
            <v>/28</v>
          </cell>
          <cell r="J118">
            <v>800</v>
          </cell>
          <cell r="K118" t="str">
            <v>10.186.212.196</v>
          </cell>
          <cell r="L118" t="str">
            <v>10.186.212.193</v>
          </cell>
          <cell r="M118" t="str">
            <v>/28</v>
          </cell>
          <cell r="N118">
            <v>810</v>
          </cell>
          <cell r="O118" t="str">
            <v>10.186.222.196</v>
          </cell>
          <cell r="P118" t="str">
            <v>10.186.222.193</v>
          </cell>
          <cell r="Q118" t="str">
            <v>/28</v>
          </cell>
          <cell r="R118">
            <v>820</v>
          </cell>
        </row>
        <row r="119">
          <cell r="E119" t="str">
            <v>AC161</v>
          </cell>
          <cell r="F119" t="str">
            <v>AC767</v>
          </cell>
          <cell r="G119" t="str">
            <v>10.186.192.197</v>
          </cell>
          <cell r="H119" t="str">
            <v>10.186.192.193</v>
          </cell>
          <cell r="I119" t="str">
            <v>/28</v>
          </cell>
          <cell r="J119">
            <v>800</v>
          </cell>
          <cell r="K119" t="str">
            <v>10.186.212.197</v>
          </cell>
          <cell r="L119" t="str">
            <v>10.186.212.193</v>
          </cell>
          <cell r="M119" t="str">
            <v>/28</v>
          </cell>
          <cell r="N119">
            <v>810</v>
          </cell>
          <cell r="O119" t="str">
            <v>10.186.222.197</v>
          </cell>
          <cell r="P119" t="str">
            <v>10.186.222.193</v>
          </cell>
          <cell r="Q119" t="str">
            <v>/28</v>
          </cell>
          <cell r="R119">
            <v>820</v>
          </cell>
        </row>
        <row r="120">
          <cell r="E120" t="str">
            <v>AC161</v>
          </cell>
          <cell r="F120" t="str">
            <v>ET371</v>
          </cell>
          <cell r="G120" t="str">
            <v>10.186.192.198</v>
          </cell>
          <cell r="H120" t="str">
            <v>10.186.192.193</v>
          </cell>
          <cell r="I120" t="str">
            <v>/28</v>
          </cell>
          <cell r="J120">
            <v>800</v>
          </cell>
          <cell r="K120" t="str">
            <v>10.186.212.198</v>
          </cell>
          <cell r="L120" t="str">
            <v>10.186.212.193</v>
          </cell>
          <cell r="M120" t="str">
            <v>/28</v>
          </cell>
          <cell r="N120">
            <v>810</v>
          </cell>
          <cell r="O120" t="str">
            <v>10.186.222.198</v>
          </cell>
          <cell r="P120" t="str">
            <v>10.186.222.193</v>
          </cell>
          <cell r="Q120" t="str">
            <v>/28</v>
          </cell>
          <cell r="R120">
            <v>820</v>
          </cell>
        </row>
        <row r="121">
          <cell r="E121" t="str">
            <v>AC161</v>
          </cell>
          <cell r="F121" t="str">
            <v>ET205</v>
          </cell>
          <cell r="G121" t="str">
            <v>10.186.192.199</v>
          </cell>
          <cell r="H121" t="str">
            <v>10.186.192.193</v>
          </cell>
          <cell r="I121" t="str">
            <v>/28</v>
          </cell>
          <cell r="J121">
            <v>800</v>
          </cell>
          <cell r="K121" t="str">
            <v>10.186.212.199</v>
          </cell>
          <cell r="L121" t="str">
            <v>10.186.212.193</v>
          </cell>
          <cell r="M121" t="str">
            <v>/28</v>
          </cell>
          <cell r="N121">
            <v>810</v>
          </cell>
          <cell r="O121" t="str">
            <v>10.186.222.199</v>
          </cell>
          <cell r="P121" t="str">
            <v>10.186.222.193</v>
          </cell>
          <cell r="Q121" t="str">
            <v>/28</v>
          </cell>
          <cell r="R121">
            <v>820</v>
          </cell>
        </row>
        <row r="122">
          <cell r="E122" t="str">
            <v>AC161</v>
          </cell>
          <cell r="F122" t="str">
            <v>ET655</v>
          </cell>
          <cell r="G122" t="str">
            <v>10.186.192.200</v>
          </cell>
          <cell r="H122" t="str">
            <v>10.186.192.193</v>
          </cell>
          <cell r="I122" t="str">
            <v>/28</v>
          </cell>
          <cell r="J122">
            <v>800</v>
          </cell>
          <cell r="K122" t="str">
            <v>10.186.212.200</v>
          </cell>
          <cell r="L122" t="str">
            <v>10.186.212.193</v>
          </cell>
          <cell r="M122" t="str">
            <v>/28</v>
          </cell>
          <cell r="N122">
            <v>810</v>
          </cell>
          <cell r="O122" t="str">
            <v>10.186.222.200</v>
          </cell>
          <cell r="P122" t="str">
            <v>10.186.222.193</v>
          </cell>
          <cell r="Q122" t="str">
            <v>/28</v>
          </cell>
          <cell r="R122">
            <v>820</v>
          </cell>
        </row>
        <row r="123">
          <cell r="E123" t="str">
            <v>AC161</v>
          </cell>
          <cell r="F123" t="str">
            <v>AC816</v>
          </cell>
          <cell r="G123" t="str">
            <v>10.186.192.201</v>
          </cell>
          <cell r="H123" t="str">
            <v>10.186.192.193</v>
          </cell>
          <cell r="I123" t="str">
            <v>/28</v>
          </cell>
          <cell r="J123">
            <v>800</v>
          </cell>
          <cell r="K123" t="str">
            <v>10.186.212.201</v>
          </cell>
          <cell r="L123" t="str">
            <v>10.186.212.193</v>
          </cell>
          <cell r="M123" t="str">
            <v>/28</v>
          </cell>
          <cell r="N123">
            <v>810</v>
          </cell>
          <cell r="O123" t="str">
            <v>10.186.222.201</v>
          </cell>
          <cell r="P123" t="str">
            <v>10.186.222.193</v>
          </cell>
          <cell r="Q123" t="str">
            <v>/28</v>
          </cell>
          <cell r="R123">
            <v>820</v>
          </cell>
        </row>
        <row r="124">
          <cell r="E124" t="str">
            <v>AC161</v>
          </cell>
          <cell r="F124" t="str">
            <v>AC816</v>
          </cell>
          <cell r="G124" t="str">
            <v>10.186.192.202</v>
          </cell>
          <cell r="H124" t="str">
            <v>10.186.192.193</v>
          </cell>
          <cell r="I124" t="str">
            <v>/28</v>
          </cell>
          <cell r="J124">
            <v>800</v>
          </cell>
          <cell r="K124" t="str">
            <v>10.186.212.202</v>
          </cell>
          <cell r="L124" t="str">
            <v>10.186.212.193</v>
          </cell>
          <cell r="M124" t="str">
            <v>/28</v>
          </cell>
          <cell r="N124">
            <v>810</v>
          </cell>
          <cell r="O124" t="str">
            <v>10.186.222.202</v>
          </cell>
          <cell r="P124" t="str">
            <v>10.186.222.193</v>
          </cell>
          <cell r="Q124" t="str">
            <v>/28</v>
          </cell>
          <cell r="R124">
            <v>820</v>
          </cell>
        </row>
        <row r="125">
          <cell r="E125" t="str">
            <v>AC161</v>
          </cell>
          <cell r="F125" t="str">
            <v>ET611</v>
          </cell>
          <cell r="G125" t="str">
            <v>10.186.192.203</v>
          </cell>
          <cell r="H125" t="str">
            <v>10.186.192.193</v>
          </cell>
          <cell r="I125" t="str">
            <v>/28</v>
          </cell>
          <cell r="J125">
            <v>800</v>
          </cell>
          <cell r="K125" t="str">
            <v>10.186.212.203</v>
          </cell>
          <cell r="L125" t="str">
            <v>10.186.212.193</v>
          </cell>
          <cell r="M125" t="str">
            <v>/28</v>
          </cell>
          <cell r="N125">
            <v>810</v>
          </cell>
          <cell r="O125" t="str">
            <v>10.186.222.203</v>
          </cell>
          <cell r="P125" t="str">
            <v>10.186.222.193</v>
          </cell>
          <cell r="Q125" t="str">
            <v>/28</v>
          </cell>
          <cell r="R125">
            <v>820</v>
          </cell>
        </row>
        <row r="126">
          <cell r="E126" t="str">
            <v>AC161</v>
          </cell>
          <cell r="F126" t="str">
            <v>ET611</v>
          </cell>
          <cell r="G126" t="str">
            <v>10.186.192.204</v>
          </cell>
          <cell r="H126" t="str">
            <v>10.186.192.193</v>
          </cell>
          <cell r="I126" t="str">
            <v>/28</v>
          </cell>
          <cell r="J126">
            <v>800</v>
          </cell>
          <cell r="K126" t="str">
            <v>10.186.212.204</v>
          </cell>
          <cell r="L126" t="str">
            <v>10.186.212.193</v>
          </cell>
          <cell r="M126" t="str">
            <v>/28</v>
          </cell>
          <cell r="N126">
            <v>810</v>
          </cell>
          <cell r="O126" t="str">
            <v>10.186.222.204</v>
          </cell>
          <cell r="P126" t="str">
            <v>10.186.222.193</v>
          </cell>
          <cell r="Q126" t="str">
            <v>/28</v>
          </cell>
          <cell r="R126">
            <v>820</v>
          </cell>
        </row>
        <row r="127">
          <cell r="E127" t="str">
            <v>AC161</v>
          </cell>
          <cell r="F127" t="str">
            <v>ET201</v>
          </cell>
          <cell r="G127" t="str">
            <v>10.186.192.205</v>
          </cell>
          <cell r="H127" t="str">
            <v>10.186.192.193</v>
          </cell>
          <cell r="I127" t="str">
            <v>/28</v>
          </cell>
          <cell r="J127">
            <v>800</v>
          </cell>
          <cell r="K127" t="str">
            <v>10.186.212.205</v>
          </cell>
          <cell r="L127" t="str">
            <v>10.186.212.193</v>
          </cell>
          <cell r="M127" t="str">
            <v>/28</v>
          </cell>
          <cell r="N127">
            <v>810</v>
          </cell>
          <cell r="O127" t="str">
            <v>10.186.222.205</v>
          </cell>
          <cell r="P127" t="str">
            <v>10.186.222.193</v>
          </cell>
          <cell r="Q127" t="str">
            <v>/28</v>
          </cell>
          <cell r="R127">
            <v>820</v>
          </cell>
        </row>
        <row r="128">
          <cell r="E128" t="str">
            <v>AC161</v>
          </cell>
          <cell r="F128" t="str">
            <v>ET289</v>
          </cell>
          <cell r="G128" t="str">
            <v>10.186.192.206</v>
          </cell>
          <cell r="H128" t="str">
            <v>10.186.192.193</v>
          </cell>
          <cell r="I128" t="str">
            <v>/28</v>
          </cell>
          <cell r="J128">
            <v>800</v>
          </cell>
          <cell r="K128" t="str">
            <v>10.186.212.206</v>
          </cell>
          <cell r="L128" t="str">
            <v>10.186.212.193</v>
          </cell>
          <cell r="M128" t="str">
            <v>/28</v>
          </cell>
          <cell r="N128">
            <v>810</v>
          </cell>
          <cell r="O128" t="str">
            <v>10.186.222.206</v>
          </cell>
          <cell r="P128" t="str">
            <v>10.186.222.193</v>
          </cell>
          <cell r="Q128" t="str">
            <v>/28</v>
          </cell>
          <cell r="R128">
            <v>820</v>
          </cell>
        </row>
        <row r="129">
          <cell r="E129" t="str">
            <v>AC161</v>
          </cell>
          <cell r="G129" t="str">
            <v>10.186.192.207</v>
          </cell>
          <cell r="H129" t="str">
            <v>10.186.192.193</v>
          </cell>
          <cell r="I129" t="str">
            <v>/28</v>
          </cell>
          <cell r="J129">
            <v>800</v>
          </cell>
          <cell r="K129" t="str">
            <v>10.186.212.207</v>
          </cell>
          <cell r="L129" t="str">
            <v>10.186.212.193</v>
          </cell>
          <cell r="M129" t="str">
            <v>/28</v>
          </cell>
          <cell r="N129">
            <v>810</v>
          </cell>
          <cell r="O129" t="str">
            <v>10.186.222.207</v>
          </cell>
          <cell r="P129" t="str">
            <v>10.186.222.193</v>
          </cell>
          <cell r="Q129" t="str">
            <v>/28</v>
          </cell>
          <cell r="R129">
            <v>820</v>
          </cell>
        </row>
        <row r="130">
          <cell r="E130" t="str">
            <v>AC161</v>
          </cell>
          <cell r="G130" t="str">
            <v>10.187.212.32</v>
          </cell>
          <cell r="H130" t="str">
            <v>10.187.212.33</v>
          </cell>
          <cell r="I130" t="str">
            <v>/27</v>
          </cell>
          <cell r="J130">
            <v>806</v>
          </cell>
          <cell r="K130" t="str">
            <v>10.187.213.32</v>
          </cell>
          <cell r="L130" t="str">
            <v>10.187.213.33</v>
          </cell>
          <cell r="M130" t="str">
            <v>/27</v>
          </cell>
          <cell r="N130">
            <v>816</v>
          </cell>
          <cell r="O130" t="str">
            <v>10.187.214.32</v>
          </cell>
          <cell r="P130" t="str">
            <v>10.187.214.33</v>
          </cell>
          <cell r="Q130" t="str">
            <v>/27</v>
          </cell>
          <cell r="R130">
            <v>826</v>
          </cell>
        </row>
        <row r="131">
          <cell r="E131" t="str">
            <v>AC161</v>
          </cell>
          <cell r="G131" t="str">
            <v>10.187.212.33</v>
          </cell>
          <cell r="H131" t="str">
            <v>10.187.212.33</v>
          </cell>
          <cell r="I131" t="str">
            <v>/27</v>
          </cell>
          <cell r="J131">
            <v>806</v>
          </cell>
          <cell r="K131" t="str">
            <v>10.187.213.33</v>
          </cell>
          <cell r="L131" t="str">
            <v>10.187.213.33</v>
          </cell>
          <cell r="M131" t="str">
            <v>/27</v>
          </cell>
          <cell r="N131">
            <v>816</v>
          </cell>
          <cell r="O131" t="str">
            <v>10.187.214.33</v>
          </cell>
          <cell r="P131" t="str">
            <v>10.187.214.33</v>
          </cell>
          <cell r="Q131" t="str">
            <v>/27</v>
          </cell>
          <cell r="R131">
            <v>826</v>
          </cell>
        </row>
        <row r="132">
          <cell r="E132" t="str">
            <v>AC161</v>
          </cell>
          <cell r="F132" t="str">
            <v>IM303</v>
          </cell>
          <cell r="G132" t="str">
            <v>10.187.212.34</v>
          </cell>
          <cell r="H132" t="str">
            <v>10.187.212.33</v>
          </cell>
          <cell r="I132" t="str">
            <v>/27</v>
          </cell>
          <cell r="J132">
            <v>806</v>
          </cell>
          <cell r="K132" t="str">
            <v>10.187.213.34</v>
          </cell>
          <cell r="L132" t="str">
            <v>10.187.213.33</v>
          </cell>
          <cell r="M132" t="str">
            <v>/27</v>
          </cell>
          <cell r="N132">
            <v>816</v>
          </cell>
          <cell r="O132" t="str">
            <v>10.187.214.34</v>
          </cell>
          <cell r="P132" t="str">
            <v>10.187.214.33</v>
          </cell>
          <cell r="Q132" t="str">
            <v>/27</v>
          </cell>
          <cell r="R132">
            <v>826</v>
          </cell>
        </row>
        <row r="133">
          <cell r="E133" t="str">
            <v>AC161</v>
          </cell>
          <cell r="F133" t="str">
            <v>IM303</v>
          </cell>
          <cell r="G133" t="str">
            <v>10.187.212.35</v>
          </cell>
          <cell r="H133" t="str">
            <v>10.187.212.33</v>
          </cell>
          <cell r="I133" t="str">
            <v>/27</v>
          </cell>
          <cell r="J133">
            <v>806</v>
          </cell>
          <cell r="K133" t="str">
            <v>10.187.213.35</v>
          </cell>
          <cell r="L133" t="str">
            <v>10.187.213.33</v>
          </cell>
          <cell r="M133" t="str">
            <v>/27</v>
          </cell>
          <cell r="N133">
            <v>816</v>
          </cell>
          <cell r="O133" t="str">
            <v>10.187.214.35</v>
          </cell>
          <cell r="P133" t="str">
            <v>10.187.214.33</v>
          </cell>
          <cell r="Q133" t="str">
            <v>/27</v>
          </cell>
          <cell r="R133">
            <v>826</v>
          </cell>
        </row>
        <row r="134">
          <cell r="E134" t="str">
            <v>AC161</v>
          </cell>
          <cell r="F134" t="str">
            <v>IM304</v>
          </cell>
          <cell r="G134" t="str">
            <v>10.187.212.36</v>
          </cell>
          <cell r="H134" t="str">
            <v>10.187.212.33</v>
          </cell>
          <cell r="I134" t="str">
            <v>/27</v>
          </cell>
          <cell r="J134">
            <v>806</v>
          </cell>
          <cell r="K134" t="str">
            <v>10.187.213.36</v>
          </cell>
          <cell r="L134" t="str">
            <v>10.187.213.33</v>
          </cell>
          <cell r="M134" t="str">
            <v>/27</v>
          </cell>
          <cell r="N134">
            <v>816</v>
          </cell>
          <cell r="O134" t="str">
            <v>10.187.214.36</v>
          </cell>
          <cell r="P134" t="str">
            <v>10.187.214.33</v>
          </cell>
          <cell r="Q134" t="str">
            <v>/27</v>
          </cell>
          <cell r="R134">
            <v>826</v>
          </cell>
        </row>
        <row r="135">
          <cell r="E135" t="str">
            <v>AC161</v>
          </cell>
          <cell r="F135" t="str">
            <v>IM304</v>
          </cell>
          <cell r="G135" t="str">
            <v>10.187.212.37</v>
          </cell>
          <cell r="H135" t="str">
            <v>10.187.212.33</v>
          </cell>
          <cell r="I135" t="str">
            <v>/27</v>
          </cell>
          <cell r="J135">
            <v>806</v>
          </cell>
          <cell r="K135" t="str">
            <v>10.187.213.37</v>
          </cell>
          <cell r="L135" t="str">
            <v>10.187.213.33</v>
          </cell>
          <cell r="M135" t="str">
            <v>/27</v>
          </cell>
          <cell r="N135">
            <v>816</v>
          </cell>
          <cell r="O135" t="str">
            <v>10.187.214.37</v>
          </cell>
          <cell r="P135" t="str">
            <v>10.187.214.33</v>
          </cell>
          <cell r="Q135" t="str">
            <v>/27</v>
          </cell>
          <cell r="R135">
            <v>826</v>
          </cell>
        </row>
        <row r="136">
          <cell r="E136" t="str">
            <v>AC161</v>
          </cell>
          <cell r="F136" t="str">
            <v>IM299</v>
          </cell>
          <cell r="G136" t="str">
            <v>10.187.212.38</v>
          </cell>
          <cell r="H136" t="str">
            <v>10.187.212.33</v>
          </cell>
          <cell r="I136" t="str">
            <v>/27</v>
          </cell>
          <cell r="J136">
            <v>806</v>
          </cell>
          <cell r="K136" t="str">
            <v>10.187.213.38</v>
          </cell>
          <cell r="L136" t="str">
            <v>10.187.213.33</v>
          </cell>
          <cell r="M136" t="str">
            <v>/27</v>
          </cell>
          <cell r="N136">
            <v>816</v>
          </cell>
          <cell r="O136" t="str">
            <v>10.187.214.38</v>
          </cell>
          <cell r="P136" t="str">
            <v>10.187.214.33</v>
          </cell>
          <cell r="Q136" t="str">
            <v>/27</v>
          </cell>
          <cell r="R136">
            <v>826</v>
          </cell>
        </row>
        <row r="137">
          <cell r="E137" t="str">
            <v>AC161</v>
          </cell>
          <cell r="F137" t="str">
            <v>IM299</v>
          </cell>
          <cell r="G137" t="str">
            <v>10.187.212.39</v>
          </cell>
          <cell r="H137" t="str">
            <v>10.187.212.33</v>
          </cell>
          <cell r="I137" t="str">
            <v>/27</v>
          </cell>
          <cell r="J137">
            <v>806</v>
          </cell>
          <cell r="K137" t="str">
            <v>10.187.213.39</v>
          </cell>
          <cell r="L137" t="str">
            <v>10.187.213.33</v>
          </cell>
          <cell r="M137" t="str">
            <v>/27</v>
          </cell>
          <cell r="N137">
            <v>816</v>
          </cell>
          <cell r="O137" t="str">
            <v>10.187.214.39</v>
          </cell>
          <cell r="P137" t="str">
            <v>10.187.214.33</v>
          </cell>
          <cell r="Q137" t="str">
            <v>/27</v>
          </cell>
          <cell r="R137">
            <v>826</v>
          </cell>
        </row>
        <row r="138">
          <cell r="E138" t="str">
            <v>AC161</v>
          </cell>
          <cell r="F138" t="str">
            <v>ET841</v>
          </cell>
          <cell r="G138" t="str">
            <v>10.187.212.40</v>
          </cell>
          <cell r="H138" t="str">
            <v>10.187.212.33</v>
          </cell>
          <cell r="I138" t="str">
            <v>/27</v>
          </cell>
          <cell r="J138">
            <v>806</v>
          </cell>
          <cell r="K138" t="str">
            <v>10.187.213.40</v>
          </cell>
          <cell r="L138" t="str">
            <v>10.187.213.33</v>
          </cell>
          <cell r="M138" t="str">
            <v>/27</v>
          </cell>
          <cell r="N138">
            <v>816</v>
          </cell>
          <cell r="O138" t="str">
            <v>10.187.214.40</v>
          </cell>
          <cell r="P138" t="str">
            <v>10.187.214.33</v>
          </cell>
          <cell r="Q138" t="str">
            <v>/27</v>
          </cell>
          <cell r="R138">
            <v>826</v>
          </cell>
        </row>
        <row r="139">
          <cell r="E139" t="str">
            <v>AC161</v>
          </cell>
          <cell r="F139" t="str">
            <v>ET841</v>
          </cell>
          <cell r="G139" t="str">
            <v>10.187.212.41</v>
          </cell>
          <cell r="H139" t="str">
            <v>10.187.212.33</v>
          </cell>
          <cell r="I139" t="str">
            <v>/27</v>
          </cell>
          <cell r="J139">
            <v>806</v>
          </cell>
          <cell r="K139" t="str">
            <v>10.187.213.41</v>
          </cell>
          <cell r="L139" t="str">
            <v>10.187.213.33</v>
          </cell>
          <cell r="M139" t="str">
            <v>/27</v>
          </cell>
          <cell r="N139">
            <v>816</v>
          </cell>
          <cell r="O139" t="str">
            <v>10.187.214.41</v>
          </cell>
          <cell r="P139" t="str">
            <v>10.187.214.33</v>
          </cell>
          <cell r="Q139" t="str">
            <v>/27</v>
          </cell>
          <cell r="R139">
            <v>826</v>
          </cell>
        </row>
        <row r="140">
          <cell r="E140" t="str">
            <v>AC161</v>
          </cell>
          <cell r="G140" t="str">
            <v>10.187.212.42</v>
          </cell>
          <cell r="H140" t="str">
            <v>10.187.212.33</v>
          </cell>
          <cell r="I140" t="str">
            <v>/27</v>
          </cell>
          <cell r="J140">
            <v>806</v>
          </cell>
          <cell r="K140" t="str">
            <v>10.187.213.42</v>
          </cell>
          <cell r="L140" t="str">
            <v>10.187.213.33</v>
          </cell>
          <cell r="M140" t="str">
            <v>/27</v>
          </cell>
          <cell r="N140">
            <v>816</v>
          </cell>
          <cell r="O140" t="str">
            <v>10.187.214.42</v>
          </cell>
          <cell r="P140" t="str">
            <v>10.187.214.33</v>
          </cell>
          <cell r="Q140" t="str">
            <v>/27</v>
          </cell>
          <cell r="R140">
            <v>826</v>
          </cell>
        </row>
        <row r="141">
          <cell r="E141" t="str">
            <v>AC161</v>
          </cell>
          <cell r="G141" t="str">
            <v>10.187.212.43</v>
          </cell>
          <cell r="H141" t="str">
            <v>10.187.212.33</v>
          </cell>
          <cell r="I141" t="str">
            <v>/27</v>
          </cell>
          <cell r="J141">
            <v>806</v>
          </cell>
          <cell r="K141" t="str">
            <v>10.187.213.43</v>
          </cell>
          <cell r="L141" t="str">
            <v>10.187.213.33</v>
          </cell>
          <cell r="M141" t="str">
            <v>/27</v>
          </cell>
          <cell r="N141">
            <v>816</v>
          </cell>
          <cell r="O141" t="str">
            <v>10.187.214.43</v>
          </cell>
          <cell r="P141" t="str">
            <v>10.187.214.33</v>
          </cell>
          <cell r="Q141" t="str">
            <v>/27</v>
          </cell>
          <cell r="R141">
            <v>826</v>
          </cell>
        </row>
        <row r="142">
          <cell r="E142" t="str">
            <v>AC161</v>
          </cell>
          <cell r="G142" t="str">
            <v>10.187.212.44</v>
          </cell>
          <cell r="H142" t="str">
            <v>10.187.212.33</v>
          </cell>
          <cell r="I142" t="str">
            <v>/27</v>
          </cell>
          <cell r="J142">
            <v>806</v>
          </cell>
          <cell r="K142" t="str">
            <v>10.187.213.44</v>
          </cell>
          <cell r="L142" t="str">
            <v>10.187.213.33</v>
          </cell>
          <cell r="M142" t="str">
            <v>/27</v>
          </cell>
          <cell r="N142">
            <v>816</v>
          </cell>
          <cell r="O142" t="str">
            <v>10.187.214.44</v>
          </cell>
          <cell r="P142" t="str">
            <v>10.187.214.33</v>
          </cell>
          <cell r="Q142" t="str">
            <v>/27</v>
          </cell>
          <cell r="R142">
            <v>826</v>
          </cell>
        </row>
        <row r="143">
          <cell r="E143" t="str">
            <v>AC161</v>
          </cell>
          <cell r="G143" t="str">
            <v>10.187.212.45</v>
          </cell>
          <cell r="H143" t="str">
            <v>10.187.212.33</v>
          </cell>
          <cell r="I143" t="str">
            <v>/27</v>
          </cell>
          <cell r="J143">
            <v>806</v>
          </cell>
          <cell r="K143" t="str">
            <v>10.187.213.45</v>
          </cell>
          <cell r="L143" t="str">
            <v>10.187.213.33</v>
          </cell>
          <cell r="M143" t="str">
            <v>/27</v>
          </cell>
          <cell r="N143">
            <v>816</v>
          </cell>
          <cell r="O143" t="str">
            <v>10.187.214.45</v>
          </cell>
          <cell r="P143" t="str">
            <v>10.187.214.33</v>
          </cell>
          <cell r="Q143" t="str">
            <v>/27</v>
          </cell>
          <cell r="R143">
            <v>826</v>
          </cell>
        </row>
        <row r="144">
          <cell r="E144" t="str">
            <v>AC161</v>
          </cell>
          <cell r="G144" t="str">
            <v>10.187.212.46</v>
          </cell>
          <cell r="H144" t="str">
            <v>10.187.212.33</v>
          </cell>
          <cell r="I144" t="str">
            <v>/27</v>
          </cell>
          <cell r="J144">
            <v>806</v>
          </cell>
          <cell r="K144" t="str">
            <v>10.187.213.46</v>
          </cell>
          <cell r="L144" t="str">
            <v>10.187.213.33</v>
          </cell>
          <cell r="M144" t="str">
            <v>/27</v>
          </cell>
          <cell r="N144">
            <v>816</v>
          </cell>
          <cell r="O144" t="str">
            <v>10.187.214.46</v>
          </cell>
          <cell r="P144" t="str">
            <v>10.187.214.33</v>
          </cell>
          <cell r="Q144" t="str">
            <v>/27</v>
          </cell>
          <cell r="R144">
            <v>826</v>
          </cell>
        </row>
        <row r="145">
          <cell r="E145" t="str">
            <v>AC161</v>
          </cell>
          <cell r="G145" t="str">
            <v>10.187.212.47</v>
          </cell>
          <cell r="H145" t="str">
            <v>10.187.212.33</v>
          </cell>
          <cell r="I145" t="str">
            <v>/27</v>
          </cell>
          <cell r="J145">
            <v>806</v>
          </cell>
          <cell r="K145" t="str">
            <v>10.187.213.47</v>
          </cell>
          <cell r="L145" t="str">
            <v>10.187.213.33</v>
          </cell>
          <cell r="M145" t="str">
            <v>/27</v>
          </cell>
          <cell r="N145">
            <v>816</v>
          </cell>
          <cell r="O145" t="str">
            <v>10.187.214.47</v>
          </cell>
          <cell r="P145" t="str">
            <v>10.187.214.33</v>
          </cell>
          <cell r="Q145" t="str">
            <v>/27</v>
          </cell>
          <cell r="R145">
            <v>826</v>
          </cell>
        </row>
        <row r="146">
          <cell r="E146" t="str">
            <v>AC161</v>
          </cell>
          <cell r="G146" t="str">
            <v>10.187.212.48</v>
          </cell>
          <cell r="H146" t="str">
            <v>10.187.212.33</v>
          </cell>
          <cell r="I146" t="str">
            <v>/27</v>
          </cell>
          <cell r="J146">
            <v>806</v>
          </cell>
          <cell r="K146" t="str">
            <v>10.187.213.48</v>
          </cell>
          <cell r="L146" t="str">
            <v>10.187.213.33</v>
          </cell>
          <cell r="M146" t="str">
            <v>/27</v>
          </cell>
          <cell r="N146">
            <v>816</v>
          </cell>
          <cell r="O146" t="str">
            <v>10.187.214.48</v>
          </cell>
          <cell r="P146" t="str">
            <v>10.187.214.33</v>
          </cell>
          <cell r="Q146" t="str">
            <v>/27</v>
          </cell>
          <cell r="R146">
            <v>826</v>
          </cell>
        </row>
        <row r="147">
          <cell r="E147" t="str">
            <v>AC161</v>
          </cell>
          <cell r="G147" t="str">
            <v>10.187.212.49</v>
          </cell>
          <cell r="H147" t="str">
            <v>10.187.212.33</v>
          </cell>
          <cell r="I147" t="str">
            <v>/27</v>
          </cell>
          <cell r="J147">
            <v>806</v>
          </cell>
          <cell r="K147" t="str">
            <v>10.187.213.49</v>
          </cell>
          <cell r="L147" t="str">
            <v>10.187.213.33</v>
          </cell>
          <cell r="M147" t="str">
            <v>/27</v>
          </cell>
          <cell r="N147">
            <v>816</v>
          </cell>
          <cell r="O147" t="str">
            <v>10.187.214.49</v>
          </cell>
          <cell r="P147" t="str">
            <v>10.187.214.33</v>
          </cell>
          <cell r="Q147" t="str">
            <v>/27</v>
          </cell>
          <cell r="R147">
            <v>826</v>
          </cell>
        </row>
        <row r="148">
          <cell r="E148" t="str">
            <v>AC161</v>
          </cell>
          <cell r="G148" t="str">
            <v>10.187.212.50</v>
          </cell>
          <cell r="H148" t="str">
            <v>10.187.212.33</v>
          </cell>
          <cell r="I148" t="str">
            <v>/27</v>
          </cell>
          <cell r="J148">
            <v>806</v>
          </cell>
          <cell r="K148" t="str">
            <v>10.187.213.50</v>
          </cell>
          <cell r="L148" t="str">
            <v>10.187.213.33</v>
          </cell>
          <cell r="M148" t="str">
            <v>/27</v>
          </cell>
          <cell r="N148">
            <v>816</v>
          </cell>
          <cell r="O148" t="str">
            <v>10.187.214.50</v>
          </cell>
          <cell r="P148" t="str">
            <v>10.187.214.33</v>
          </cell>
          <cell r="Q148" t="str">
            <v>/27</v>
          </cell>
          <cell r="R148">
            <v>826</v>
          </cell>
        </row>
        <row r="149">
          <cell r="E149" t="str">
            <v>AC161</v>
          </cell>
          <cell r="G149" t="str">
            <v>10.187.212.51</v>
          </cell>
          <cell r="H149" t="str">
            <v>10.187.212.33</v>
          </cell>
          <cell r="I149" t="str">
            <v>/27</v>
          </cell>
          <cell r="J149">
            <v>806</v>
          </cell>
          <cell r="K149" t="str">
            <v>10.187.213.51</v>
          </cell>
          <cell r="L149" t="str">
            <v>10.187.213.33</v>
          </cell>
          <cell r="M149" t="str">
            <v>/27</v>
          </cell>
          <cell r="N149">
            <v>816</v>
          </cell>
          <cell r="O149" t="str">
            <v>10.187.214.51</v>
          </cell>
          <cell r="P149" t="str">
            <v>10.187.214.33</v>
          </cell>
          <cell r="Q149" t="str">
            <v>/27</v>
          </cell>
          <cell r="R149">
            <v>826</v>
          </cell>
        </row>
        <row r="150">
          <cell r="E150" t="str">
            <v>AC161</v>
          </cell>
          <cell r="G150" t="str">
            <v>10.187.212.52</v>
          </cell>
          <cell r="H150" t="str">
            <v>10.187.212.33</v>
          </cell>
          <cell r="I150" t="str">
            <v>/27</v>
          </cell>
          <cell r="J150">
            <v>806</v>
          </cell>
          <cell r="K150" t="str">
            <v>10.187.213.52</v>
          </cell>
          <cell r="L150" t="str">
            <v>10.187.213.33</v>
          </cell>
          <cell r="M150" t="str">
            <v>/27</v>
          </cell>
          <cell r="N150">
            <v>816</v>
          </cell>
          <cell r="O150" t="str">
            <v>10.187.214.52</v>
          </cell>
          <cell r="P150" t="str">
            <v>10.187.214.33</v>
          </cell>
          <cell r="Q150" t="str">
            <v>/27</v>
          </cell>
          <cell r="R150">
            <v>826</v>
          </cell>
        </row>
        <row r="151">
          <cell r="E151" t="str">
            <v>AC161</v>
          </cell>
          <cell r="G151" t="str">
            <v>10.187.212.53</v>
          </cell>
          <cell r="H151" t="str">
            <v>10.187.212.33</v>
          </cell>
          <cell r="I151" t="str">
            <v>/27</v>
          </cell>
          <cell r="J151">
            <v>806</v>
          </cell>
          <cell r="K151" t="str">
            <v>10.187.213.53</v>
          </cell>
          <cell r="L151" t="str">
            <v>10.187.213.33</v>
          </cell>
          <cell r="M151" t="str">
            <v>/27</v>
          </cell>
          <cell r="N151">
            <v>816</v>
          </cell>
          <cell r="O151" t="str">
            <v>10.187.214.53</v>
          </cell>
          <cell r="P151" t="str">
            <v>10.187.214.33</v>
          </cell>
          <cell r="Q151" t="str">
            <v>/27</v>
          </cell>
          <cell r="R151">
            <v>826</v>
          </cell>
        </row>
        <row r="152">
          <cell r="E152" t="str">
            <v>AC161</v>
          </cell>
          <cell r="G152" t="str">
            <v>10.187.212.54</v>
          </cell>
          <cell r="H152" t="str">
            <v>10.187.212.33</v>
          </cell>
          <cell r="I152" t="str">
            <v>/27</v>
          </cell>
          <cell r="J152">
            <v>806</v>
          </cell>
          <cell r="K152" t="str">
            <v>10.187.213.54</v>
          </cell>
          <cell r="L152" t="str">
            <v>10.187.213.33</v>
          </cell>
          <cell r="M152" t="str">
            <v>/27</v>
          </cell>
          <cell r="N152">
            <v>816</v>
          </cell>
          <cell r="O152" t="str">
            <v>10.187.214.54</v>
          </cell>
          <cell r="P152" t="str">
            <v>10.187.214.33</v>
          </cell>
          <cell r="Q152" t="str">
            <v>/27</v>
          </cell>
          <cell r="R152">
            <v>826</v>
          </cell>
        </row>
        <row r="153">
          <cell r="E153" t="str">
            <v>AC161</v>
          </cell>
          <cell r="G153" t="str">
            <v>10.187.212.55</v>
          </cell>
          <cell r="H153" t="str">
            <v>10.187.212.33</v>
          </cell>
          <cell r="I153" t="str">
            <v>/27</v>
          </cell>
          <cell r="J153">
            <v>806</v>
          </cell>
          <cell r="K153" t="str">
            <v>10.187.213.55</v>
          </cell>
          <cell r="L153" t="str">
            <v>10.187.213.33</v>
          </cell>
          <cell r="M153" t="str">
            <v>/27</v>
          </cell>
          <cell r="N153">
            <v>816</v>
          </cell>
          <cell r="O153" t="str">
            <v>10.187.214.55</v>
          </cell>
          <cell r="P153" t="str">
            <v>10.187.214.33</v>
          </cell>
          <cell r="Q153" t="str">
            <v>/27</v>
          </cell>
          <cell r="R153">
            <v>826</v>
          </cell>
        </row>
        <row r="154">
          <cell r="E154" t="str">
            <v>AC161</v>
          </cell>
          <cell r="G154" t="str">
            <v>10.187.212.56</v>
          </cell>
          <cell r="H154" t="str">
            <v>10.187.212.33</v>
          </cell>
          <cell r="I154" t="str">
            <v>/27</v>
          </cell>
          <cell r="J154">
            <v>806</v>
          </cell>
          <cell r="K154" t="str">
            <v>10.187.213.56</v>
          </cell>
          <cell r="L154" t="str">
            <v>10.187.213.33</v>
          </cell>
          <cell r="M154" t="str">
            <v>/27</v>
          </cell>
          <cell r="N154">
            <v>816</v>
          </cell>
          <cell r="O154" t="str">
            <v>10.187.214.56</v>
          </cell>
          <cell r="P154" t="str">
            <v>10.187.214.33</v>
          </cell>
          <cell r="Q154" t="str">
            <v>/27</v>
          </cell>
          <cell r="R154">
            <v>826</v>
          </cell>
        </row>
        <row r="155">
          <cell r="E155" t="str">
            <v>AC161</v>
          </cell>
          <cell r="G155" t="str">
            <v>10.187.212.57</v>
          </cell>
          <cell r="H155" t="str">
            <v>10.187.212.33</v>
          </cell>
          <cell r="I155" t="str">
            <v>/27</v>
          </cell>
          <cell r="J155">
            <v>806</v>
          </cell>
          <cell r="K155" t="str">
            <v>10.187.213.57</v>
          </cell>
          <cell r="L155" t="str">
            <v>10.187.213.33</v>
          </cell>
          <cell r="M155" t="str">
            <v>/27</v>
          </cell>
          <cell r="N155">
            <v>816</v>
          </cell>
          <cell r="O155" t="str">
            <v>10.187.214.57</v>
          </cell>
          <cell r="P155" t="str">
            <v>10.187.214.33</v>
          </cell>
          <cell r="Q155" t="str">
            <v>/27</v>
          </cell>
          <cell r="R155">
            <v>826</v>
          </cell>
        </row>
        <row r="156">
          <cell r="E156" t="str">
            <v>AC161</v>
          </cell>
          <cell r="G156" t="str">
            <v>10.187.212.58</v>
          </cell>
          <cell r="H156" t="str">
            <v>10.187.212.33</v>
          </cell>
          <cell r="I156" t="str">
            <v>/27</v>
          </cell>
          <cell r="J156">
            <v>806</v>
          </cell>
          <cell r="K156" t="str">
            <v>10.187.213.58</v>
          </cell>
          <cell r="L156" t="str">
            <v>10.187.213.33</v>
          </cell>
          <cell r="M156" t="str">
            <v>/27</v>
          </cell>
          <cell r="N156">
            <v>816</v>
          </cell>
          <cell r="O156" t="str">
            <v>10.187.214.58</v>
          </cell>
          <cell r="P156" t="str">
            <v>10.187.214.33</v>
          </cell>
          <cell r="Q156" t="str">
            <v>/27</v>
          </cell>
          <cell r="R156">
            <v>826</v>
          </cell>
        </row>
        <row r="157">
          <cell r="E157" t="str">
            <v>AC161</v>
          </cell>
          <cell r="G157" t="str">
            <v>10.187.212.59</v>
          </cell>
          <cell r="H157" t="str">
            <v>10.187.212.33</v>
          </cell>
          <cell r="I157" t="str">
            <v>/27</v>
          </cell>
          <cell r="J157">
            <v>806</v>
          </cell>
          <cell r="K157" t="str">
            <v>10.187.213.59</v>
          </cell>
          <cell r="L157" t="str">
            <v>10.187.213.33</v>
          </cell>
          <cell r="M157" t="str">
            <v>/27</v>
          </cell>
          <cell r="N157">
            <v>816</v>
          </cell>
          <cell r="O157" t="str">
            <v>10.187.214.59</v>
          </cell>
          <cell r="P157" t="str">
            <v>10.187.214.33</v>
          </cell>
          <cell r="Q157" t="str">
            <v>/27</v>
          </cell>
          <cell r="R157">
            <v>826</v>
          </cell>
        </row>
        <row r="158">
          <cell r="E158" t="str">
            <v>AC161</v>
          </cell>
          <cell r="G158" t="str">
            <v>10.187.212.60</v>
          </cell>
          <cell r="H158" t="str">
            <v>10.187.212.33</v>
          </cell>
          <cell r="I158" t="str">
            <v>/27</v>
          </cell>
          <cell r="J158">
            <v>806</v>
          </cell>
          <cell r="K158" t="str">
            <v>10.187.213.60</v>
          </cell>
          <cell r="L158" t="str">
            <v>10.187.213.33</v>
          </cell>
          <cell r="M158" t="str">
            <v>/27</v>
          </cell>
          <cell r="N158">
            <v>816</v>
          </cell>
          <cell r="O158" t="str">
            <v>10.187.214.60</v>
          </cell>
          <cell r="P158" t="str">
            <v>10.187.214.33</v>
          </cell>
          <cell r="Q158" t="str">
            <v>/27</v>
          </cell>
          <cell r="R158">
            <v>826</v>
          </cell>
        </row>
        <row r="159">
          <cell r="E159" t="str">
            <v>AC161</v>
          </cell>
          <cell r="G159" t="str">
            <v>10.187.212.61</v>
          </cell>
          <cell r="H159" t="str">
            <v>10.187.212.33</v>
          </cell>
          <cell r="I159" t="str">
            <v>/27</v>
          </cell>
          <cell r="J159">
            <v>806</v>
          </cell>
          <cell r="K159" t="str">
            <v>10.187.213.61</v>
          </cell>
          <cell r="L159" t="str">
            <v>10.187.213.33</v>
          </cell>
          <cell r="M159" t="str">
            <v>/27</v>
          </cell>
          <cell r="N159">
            <v>816</v>
          </cell>
          <cell r="O159" t="str">
            <v>10.187.214.61</v>
          </cell>
          <cell r="P159" t="str">
            <v>10.187.214.33</v>
          </cell>
          <cell r="Q159" t="str">
            <v>/27</v>
          </cell>
          <cell r="R159">
            <v>826</v>
          </cell>
        </row>
        <row r="160">
          <cell r="E160" t="str">
            <v>AC161</v>
          </cell>
          <cell r="G160" t="str">
            <v>10.187.212.62</v>
          </cell>
          <cell r="H160" t="str">
            <v>10.187.212.33</v>
          </cell>
          <cell r="I160" t="str">
            <v>/27</v>
          </cell>
          <cell r="J160">
            <v>806</v>
          </cell>
          <cell r="K160" t="str">
            <v>10.187.213.62</v>
          </cell>
          <cell r="L160" t="str">
            <v>10.187.213.33</v>
          </cell>
          <cell r="M160" t="str">
            <v>/27</v>
          </cell>
          <cell r="N160">
            <v>816</v>
          </cell>
          <cell r="O160" t="str">
            <v>10.187.214.62</v>
          </cell>
          <cell r="P160" t="str">
            <v>10.187.214.33</v>
          </cell>
          <cell r="Q160" t="str">
            <v>/27</v>
          </cell>
          <cell r="R160">
            <v>826</v>
          </cell>
        </row>
        <row r="161">
          <cell r="E161" t="str">
            <v>AC161</v>
          </cell>
          <cell r="G161" t="str">
            <v>10.187.212.63</v>
          </cell>
          <cell r="H161" t="str">
            <v>10.187.212.33</v>
          </cell>
          <cell r="I161" t="str">
            <v>/27</v>
          </cell>
          <cell r="J161">
            <v>806</v>
          </cell>
          <cell r="K161" t="str">
            <v>10.187.213.63</v>
          </cell>
          <cell r="L161" t="str">
            <v>10.187.213.33</v>
          </cell>
          <cell r="M161" t="str">
            <v>/27</v>
          </cell>
          <cell r="N161">
            <v>816</v>
          </cell>
          <cell r="O161" t="str">
            <v>10.187.214.63</v>
          </cell>
          <cell r="P161" t="str">
            <v>10.187.214.33</v>
          </cell>
          <cell r="Q161" t="str">
            <v>/27</v>
          </cell>
          <cell r="R161">
            <v>826</v>
          </cell>
        </row>
        <row r="162">
          <cell r="E162" t="str">
            <v>AC162</v>
          </cell>
          <cell r="G162" t="str">
            <v>10.186.192.224</v>
          </cell>
          <cell r="H162" t="str">
            <v>10.186.192.225</v>
          </cell>
          <cell r="I162" t="str">
            <v>/28</v>
          </cell>
          <cell r="J162">
            <v>800</v>
          </cell>
          <cell r="K162" t="str">
            <v>10.186.212.224</v>
          </cell>
          <cell r="L162" t="str">
            <v>10.186.212.225</v>
          </cell>
          <cell r="M162" t="str">
            <v>/28</v>
          </cell>
          <cell r="N162">
            <v>810</v>
          </cell>
          <cell r="O162" t="str">
            <v>10.186.222.224</v>
          </cell>
          <cell r="P162" t="str">
            <v>10.186.222.225</v>
          </cell>
          <cell r="Q162" t="str">
            <v>/28</v>
          </cell>
          <cell r="R162">
            <v>820</v>
          </cell>
        </row>
        <row r="163">
          <cell r="E163" t="str">
            <v>AC162</v>
          </cell>
          <cell r="G163" t="str">
            <v>10.186.192.225</v>
          </cell>
          <cell r="H163" t="str">
            <v>10.186.192.225</v>
          </cell>
          <cell r="I163" t="str">
            <v>/28</v>
          </cell>
          <cell r="J163">
            <v>800</v>
          </cell>
          <cell r="K163" t="str">
            <v>10.186.212.225</v>
          </cell>
          <cell r="L163" t="str">
            <v>10.186.212.225</v>
          </cell>
          <cell r="M163" t="str">
            <v>/28</v>
          </cell>
          <cell r="N163">
            <v>810</v>
          </cell>
          <cell r="O163" t="str">
            <v>10.186.222.225</v>
          </cell>
          <cell r="P163" t="str">
            <v>10.186.222.225</v>
          </cell>
          <cell r="Q163" t="str">
            <v>/28</v>
          </cell>
          <cell r="R163">
            <v>820</v>
          </cell>
        </row>
        <row r="164">
          <cell r="E164" t="str">
            <v>AC162</v>
          </cell>
          <cell r="G164" t="str">
            <v>10.186.192.226</v>
          </cell>
          <cell r="H164" t="str">
            <v>10.186.192.225</v>
          </cell>
          <cell r="I164" t="str">
            <v>/28</v>
          </cell>
          <cell r="J164">
            <v>800</v>
          </cell>
          <cell r="K164" t="str">
            <v>10.186.212.226</v>
          </cell>
          <cell r="L164" t="str">
            <v>10.186.212.225</v>
          </cell>
          <cell r="M164" t="str">
            <v>/28</v>
          </cell>
          <cell r="N164">
            <v>810</v>
          </cell>
          <cell r="O164" t="str">
            <v>10.186.222.226</v>
          </cell>
          <cell r="P164" t="str">
            <v>10.186.222.225</v>
          </cell>
          <cell r="Q164" t="str">
            <v>/28</v>
          </cell>
          <cell r="R164">
            <v>820</v>
          </cell>
        </row>
        <row r="165">
          <cell r="E165" t="str">
            <v>AC162</v>
          </cell>
          <cell r="G165" t="str">
            <v>10.186.192.227</v>
          </cell>
          <cell r="H165" t="str">
            <v>10.186.192.225</v>
          </cell>
          <cell r="I165" t="str">
            <v>/28</v>
          </cell>
          <cell r="J165">
            <v>800</v>
          </cell>
          <cell r="K165" t="str">
            <v>10.186.212.227</v>
          </cell>
          <cell r="L165" t="str">
            <v>10.186.212.225</v>
          </cell>
          <cell r="M165" t="str">
            <v>/28</v>
          </cell>
          <cell r="N165">
            <v>810</v>
          </cell>
          <cell r="O165" t="str">
            <v>10.186.222.227</v>
          </cell>
          <cell r="P165" t="str">
            <v>10.186.222.225</v>
          </cell>
          <cell r="Q165" t="str">
            <v>/28</v>
          </cell>
          <cell r="R165">
            <v>820</v>
          </cell>
        </row>
        <row r="166">
          <cell r="E166" t="str">
            <v>AC162</v>
          </cell>
          <cell r="F166" t="str">
            <v>AC162</v>
          </cell>
          <cell r="G166" t="str">
            <v>10.186.192.228</v>
          </cell>
          <cell r="H166" t="str">
            <v>10.186.192.225</v>
          </cell>
          <cell r="I166" t="str">
            <v>/28</v>
          </cell>
          <cell r="J166">
            <v>800</v>
          </cell>
          <cell r="K166" t="str">
            <v>10.186.212.228</v>
          </cell>
          <cell r="L166" t="str">
            <v>10.186.212.225</v>
          </cell>
          <cell r="M166" t="str">
            <v>/28</v>
          </cell>
          <cell r="N166">
            <v>810</v>
          </cell>
          <cell r="O166" t="str">
            <v>10.186.222.228</v>
          </cell>
          <cell r="P166" t="str">
            <v>10.186.222.225</v>
          </cell>
          <cell r="Q166" t="str">
            <v>/28</v>
          </cell>
          <cell r="R166">
            <v>820</v>
          </cell>
        </row>
        <row r="167">
          <cell r="E167" t="str">
            <v>AC162</v>
          </cell>
          <cell r="F167" t="str">
            <v>ET150</v>
          </cell>
          <cell r="G167" t="str">
            <v>10.186.192.229</v>
          </cell>
          <cell r="H167" t="str">
            <v>10.186.192.225</v>
          </cell>
          <cell r="I167" t="str">
            <v>/28</v>
          </cell>
          <cell r="J167">
            <v>800</v>
          </cell>
          <cell r="K167" t="str">
            <v>10.186.212.229</v>
          </cell>
          <cell r="L167" t="str">
            <v>10.186.212.225</v>
          </cell>
          <cell r="M167" t="str">
            <v>/28</v>
          </cell>
          <cell r="N167">
            <v>810</v>
          </cell>
          <cell r="O167" t="str">
            <v>10.186.222.229</v>
          </cell>
          <cell r="P167" t="str">
            <v>10.186.222.225</v>
          </cell>
          <cell r="Q167" t="str">
            <v>/28</v>
          </cell>
          <cell r="R167">
            <v>820</v>
          </cell>
        </row>
        <row r="168">
          <cell r="E168" t="str">
            <v>AC162</v>
          </cell>
          <cell r="F168" t="str">
            <v>ET184</v>
          </cell>
          <cell r="G168" t="str">
            <v>10.186.192.230</v>
          </cell>
          <cell r="H168" t="str">
            <v>10.186.192.225</v>
          </cell>
          <cell r="I168" t="str">
            <v>/28</v>
          </cell>
          <cell r="J168">
            <v>800</v>
          </cell>
          <cell r="K168" t="str">
            <v>10.186.212.230</v>
          </cell>
          <cell r="L168" t="str">
            <v>10.186.212.225</v>
          </cell>
          <cell r="M168" t="str">
            <v>/28</v>
          </cell>
          <cell r="N168">
            <v>810</v>
          </cell>
          <cell r="O168" t="str">
            <v>10.186.222.230</v>
          </cell>
          <cell r="P168" t="str">
            <v>10.186.222.225</v>
          </cell>
          <cell r="Q168" t="str">
            <v>/28</v>
          </cell>
          <cell r="R168">
            <v>820</v>
          </cell>
        </row>
        <row r="169">
          <cell r="E169" t="str">
            <v>AC162</v>
          </cell>
          <cell r="F169" t="str">
            <v>ET196</v>
          </cell>
          <cell r="G169" t="str">
            <v>10.186.192.231</v>
          </cell>
          <cell r="H169" t="str">
            <v>10.186.192.225</v>
          </cell>
          <cell r="I169" t="str">
            <v>/28</v>
          </cell>
          <cell r="J169">
            <v>800</v>
          </cell>
          <cell r="K169" t="str">
            <v>10.186.212.231</v>
          </cell>
          <cell r="L169" t="str">
            <v>10.186.212.225</v>
          </cell>
          <cell r="M169" t="str">
            <v>/28</v>
          </cell>
          <cell r="N169">
            <v>810</v>
          </cell>
          <cell r="O169" t="str">
            <v>10.186.222.231</v>
          </cell>
          <cell r="P169" t="str">
            <v>10.186.222.225</v>
          </cell>
          <cell r="Q169" t="str">
            <v>/28</v>
          </cell>
          <cell r="R169">
            <v>820</v>
          </cell>
        </row>
        <row r="170">
          <cell r="E170" t="str">
            <v>AC162</v>
          </cell>
          <cell r="F170" t="str">
            <v>ET287</v>
          </cell>
          <cell r="G170" t="str">
            <v>10.186.192.232</v>
          </cell>
          <cell r="H170" t="str">
            <v>10.186.192.225</v>
          </cell>
          <cell r="I170" t="str">
            <v>/28</v>
          </cell>
          <cell r="J170">
            <v>800</v>
          </cell>
          <cell r="K170" t="str">
            <v>10.186.212.232</v>
          </cell>
          <cell r="L170" t="str">
            <v>10.186.212.225</v>
          </cell>
          <cell r="M170" t="str">
            <v>/28</v>
          </cell>
          <cell r="N170">
            <v>810</v>
          </cell>
          <cell r="O170" t="str">
            <v>10.186.222.232</v>
          </cell>
          <cell r="P170" t="str">
            <v>10.186.222.225</v>
          </cell>
          <cell r="Q170" t="str">
            <v>/28</v>
          </cell>
          <cell r="R170">
            <v>820</v>
          </cell>
        </row>
        <row r="171">
          <cell r="E171" t="str">
            <v>AC162</v>
          </cell>
          <cell r="F171" t="str">
            <v>ET358</v>
          </cell>
          <cell r="G171" t="str">
            <v>10.186.192.233</v>
          </cell>
          <cell r="H171" t="str">
            <v>10.186.192.225</v>
          </cell>
          <cell r="I171" t="str">
            <v>/28</v>
          </cell>
          <cell r="J171">
            <v>800</v>
          </cell>
          <cell r="K171" t="str">
            <v>10.186.212.233</v>
          </cell>
          <cell r="L171" t="str">
            <v>10.186.212.225</v>
          </cell>
          <cell r="M171" t="str">
            <v>/28</v>
          </cell>
          <cell r="N171">
            <v>810</v>
          </cell>
          <cell r="O171" t="str">
            <v>10.186.222.233</v>
          </cell>
          <cell r="P171" t="str">
            <v>10.186.222.225</v>
          </cell>
          <cell r="Q171" t="str">
            <v>/28</v>
          </cell>
          <cell r="R171">
            <v>820</v>
          </cell>
        </row>
        <row r="172">
          <cell r="E172" t="str">
            <v>AC162</v>
          </cell>
          <cell r="G172" t="str">
            <v>10.186.192.234</v>
          </cell>
          <cell r="H172" t="str">
            <v>10.186.192.225</v>
          </cell>
          <cell r="I172" t="str">
            <v>/28</v>
          </cell>
          <cell r="J172">
            <v>800</v>
          </cell>
          <cell r="K172" t="str">
            <v>10.186.212.234</v>
          </cell>
          <cell r="L172" t="str">
            <v>10.186.212.225</v>
          </cell>
          <cell r="M172" t="str">
            <v>/28</v>
          </cell>
          <cell r="N172">
            <v>810</v>
          </cell>
          <cell r="O172" t="str">
            <v>10.186.222.234</v>
          </cell>
          <cell r="P172" t="str">
            <v>10.186.222.225</v>
          </cell>
          <cell r="Q172" t="str">
            <v>/28</v>
          </cell>
          <cell r="R172">
            <v>820</v>
          </cell>
        </row>
        <row r="173">
          <cell r="E173" t="str">
            <v>AC162</v>
          </cell>
          <cell r="F173" t="str">
            <v>ET150</v>
          </cell>
          <cell r="G173" t="str">
            <v>10.186.192.235</v>
          </cell>
          <cell r="H173" t="str">
            <v>10.186.192.225</v>
          </cell>
          <cell r="I173" t="str">
            <v>/28</v>
          </cell>
          <cell r="J173">
            <v>800</v>
          </cell>
          <cell r="K173" t="str">
            <v>10.186.212.235</v>
          </cell>
          <cell r="L173" t="str">
            <v>10.186.212.225</v>
          </cell>
          <cell r="M173" t="str">
            <v>/28</v>
          </cell>
          <cell r="N173">
            <v>810</v>
          </cell>
          <cell r="O173" t="str">
            <v>10.186.222.235</v>
          </cell>
          <cell r="P173" t="str">
            <v>10.186.222.225</v>
          </cell>
          <cell r="Q173" t="str">
            <v>/28</v>
          </cell>
          <cell r="R173">
            <v>820</v>
          </cell>
        </row>
        <row r="174">
          <cell r="E174" t="str">
            <v>AC162</v>
          </cell>
          <cell r="F174" t="str">
            <v>ET184</v>
          </cell>
          <cell r="G174" t="str">
            <v>10.186.192.236</v>
          </cell>
          <cell r="H174" t="str">
            <v>10.186.192.225</v>
          </cell>
          <cell r="I174" t="str">
            <v>/28</v>
          </cell>
          <cell r="J174">
            <v>800</v>
          </cell>
          <cell r="K174" t="str">
            <v>10.186.212.236</v>
          </cell>
          <cell r="L174" t="str">
            <v>10.186.212.225</v>
          </cell>
          <cell r="M174" t="str">
            <v>/28</v>
          </cell>
          <cell r="N174">
            <v>810</v>
          </cell>
          <cell r="O174" t="str">
            <v>10.186.222.236</v>
          </cell>
          <cell r="P174" t="str">
            <v>10.186.222.225</v>
          </cell>
          <cell r="Q174" t="str">
            <v>/28</v>
          </cell>
          <cell r="R174">
            <v>820</v>
          </cell>
        </row>
        <row r="175">
          <cell r="E175" t="str">
            <v>AC162</v>
          </cell>
          <cell r="G175" t="str">
            <v>10.186.192.237</v>
          </cell>
          <cell r="H175" t="str">
            <v>10.186.192.225</v>
          </cell>
          <cell r="I175" t="str">
            <v>/28</v>
          </cell>
          <cell r="J175">
            <v>800</v>
          </cell>
          <cell r="K175" t="str">
            <v>10.186.212.237</v>
          </cell>
          <cell r="L175" t="str">
            <v>10.186.212.225</v>
          </cell>
          <cell r="M175" t="str">
            <v>/28</v>
          </cell>
          <cell r="N175">
            <v>810</v>
          </cell>
          <cell r="O175" t="str">
            <v>10.186.222.237</v>
          </cell>
          <cell r="P175" t="str">
            <v>10.186.222.225</v>
          </cell>
          <cell r="Q175" t="str">
            <v>/28</v>
          </cell>
          <cell r="R175">
            <v>820</v>
          </cell>
        </row>
        <row r="176">
          <cell r="E176" t="str">
            <v>AC162</v>
          </cell>
          <cell r="F176" t="str">
            <v>AC766</v>
          </cell>
          <cell r="G176" t="str">
            <v>10.186.192.238</v>
          </cell>
          <cell r="H176" t="str">
            <v>10.186.192.225</v>
          </cell>
          <cell r="I176" t="str">
            <v>/28</v>
          </cell>
          <cell r="J176">
            <v>800</v>
          </cell>
          <cell r="K176" t="str">
            <v>10.186.212.238</v>
          </cell>
          <cell r="L176" t="str">
            <v>10.186.212.225</v>
          </cell>
          <cell r="M176" t="str">
            <v>/28</v>
          </cell>
          <cell r="N176">
            <v>810</v>
          </cell>
          <cell r="O176" t="str">
            <v>10.186.222.238</v>
          </cell>
          <cell r="P176" t="str">
            <v>10.186.222.225</v>
          </cell>
          <cell r="Q176" t="str">
            <v>/28</v>
          </cell>
          <cell r="R176">
            <v>820</v>
          </cell>
        </row>
        <row r="177">
          <cell r="E177" t="str">
            <v>AC162</v>
          </cell>
          <cell r="G177" t="str">
            <v>10.186.192.239</v>
          </cell>
          <cell r="H177" t="str">
            <v>10.186.192.225</v>
          </cell>
          <cell r="I177" t="str">
            <v>/28</v>
          </cell>
          <cell r="J177">
            <v>800</v>
          </cell>
          <cell r="K177" t="str">
            <v>10.186.212.239</v>
          </cell>
          <cell r="L177" t="str">
            <v>10.186.212.225</v>
          </cell>
          <cell r="M177" t="str">
            <v>/28</v>
          </cell>
          <cell r="N177">
            <v>810</v>
          </cell>
          <cell r="O177" t="str">
            <v>10.186.222.239</v>
          </cell>
          <cell r="P177" t="str">
            <v>10.186.222.225</v>
          </cell>
          <cell r="Q177" t="str">
            <v>/28</v>
          </cell>
          <cell r="R177">
            <v>820</v>
          </cell>
        </row>
        <row r="178">
          <cell r="E178" t="str">
            <v>AC162</v>
          </cell>
          <cell r="G178" t="str">
            <v>10.188.27.64</v>
          </cell>
          <cell r="H178" t="str">
            <v>10.188.27.65</v>
          </cell>
          <cell r="I178" t="str">
            <v>/26</v>
          </cell>
          <cell r="J178">
            <v>805</v>
          </cell>
          <cell r="K178" t="str">
            <v>10.188.29.64</v>
          </cell>
          <cell r="L178" t="str">
            <v>10.188.29.65</v>
          </cell>
          <cell r="M178" t="str">
            <v>/26</v>
          </cell>
          <cell r="N178">
            <v>815</v>
          </cell>
          <cell r="O178" t="str">
            <v>10.188.31.64</v>
          </cell>
          <cell r="P178" t="str">
            <v>10.188.31.65</v>
          </cell>
          <cell r="Q178" t="str">
            <v>/26</v>
          </cell>
          <cell r="R178">
            <v>825</v>
          </cell>
        </row>
        <row r="179">
          <cell r="E179" t="str">
            <v>AC162</v>
          </cell>
          <cell r="G179" t="str">
            <v>10.188.27.65</v>
          </cell>
          <cell r="H179" t="str">
            <v>10.188.27.65</v>
          </cell>
          <cell r="I179" t="str">
            <v>/26</v>
          </cell>
          <cell r="J179">
            <v>805</v>
          </cell>
          <cell r="K179" t="str">
            <v>10.188.29.65</v>
          </cell>
          <cell r="L179" t="str">
            <v>10.188.29.65</v>
          </cell>
          <cell r="M179" t="str">
            <v>/26</v>
          </cell>
          <cell r="N179">
            <v>815</v>
          </cell>
          <cell r="O179" t="str">
            <v>10.188.31.65</v>
          </cell>
          <cell r="P179" t="str">
            <v>10.188.31.65</v>
          </cell>
          <cell r="Q179" t="str">
            <v>/26</v>
          </cell>
          <cell r="R179">
            <v>825</v>
          </cell>
        </row>
        <row r="180">
          <cell r="E180" t="str">
            <v>AC162</v>
          </cell>
          <cell r="F180" t="str">
            <v>AC768</v>
          </cell>
          <cell r="G180" t="str">
            <v>10.188.27.66</v>
          </cell>
          <cell r="H180" t="str">
            <v>10.188.27.65</v>
          </cell>
          <cell r="I180" t="str">
            <v>/26</v>
          </cell>
          <cell r="J180">
            <v>805</v>
          </cell>
          <cell r="K180" t="str">
            <v>10.188.29.66</v>
          </cell>
          <cell r="L180" t="str">
            <v>10.188.29.65</v>
          </cell>
          <cell r="M180" t="str">
            <v>/26</v>
          </cell>
          <cell r="N180">
            <v>815</v>
          </cell>
          <cell r="O180" t="str">
            <v>10.188.31.66</v>
          </cell>
          <cell r="P180" t="str">
            <v>10.188.31.65</v>
          </cell>
          <cell r="Q180" t="str">
            <v>/26</v>
          </cell>
          <cell r="R180">
            <v>825</v>
          </cell>
        </row>
        <row r="181">
          <cell r="E181" t="str">
            <v>AC162</v>
          </cell>
          <cell r="G181" t="str">
            <v>10.188.27.67</v>
          </cell>
          <cell r="H181" t="str">
            <v>10.188.27.65</v>
          </cell>
          <cell r="I181" t="str">
            <v>/26</v>
          </cell>
          <cell r="J181">
            <v>805</v>
          </cell>
          <cell r="K181" t="str">
            <v>10.188.29.67</v>
          </cell>
          <cell r="L181" t="str">
            <v>10.188.29.65</v>
          </cell>
          <cell r="M181" t="str">
            <v>/26</v>
          </cell>
          <cell r="N181">
            <v>815</v>
          </cell>
          <cell r="O181" t="str">
            <v>10.188.31.67</v>
          </cell>
          <cell r="P181" t="str">
            <v>10.188.31.65</v>
          </cell>
          <cell r="Q181" t="str">
            <v>/26</v>
          </cell>
          <cell r="R181">
            <v>825</v>
          </cell>
        </row>
        <row r="182">
          <cell r="E182" t="str">
            <v>AC162</v>
          </cell>
          <cell r="F182" t="str">
            <v>AC770</v>
          </cell>
          <cell r="G182" t="str">
            <v>10.188.27.68</v>
          </cell>
          <cell r="H182" t="str">
            <v>10.188.27.65</v>
          </cell>
          <cell r="I182" t="str">
            <v>/26</v>
          </cell>
          <cell r="J182">
            <v>805</v>
          </cell>
          <cell r="K182" t="str">
            <v>10.188.29.68</v>
          </cell>
          <cell r="L182" t="str">
            <v>10.188.29.65</v>
          </cell>
          <cell r="M182" t="str">
            <v>/26</v>
          </cell>
          <cell r="N182">
            <v>815</v>
          </cell>
          <cell r="O182" t="str">
            <v>10.188.31.68</v>
          </cell>
          <cell r="P182" t="str">
            <v>10.188.31.65</v>
          </cell>
          <cell r="Q182" t="str">
            <v>/26</v>
          </cell>
          <cell r="R182">
            <v>825</v>
          </cell>
        </row>
        <row r="183">
          <cell r="E183" t="str">
            <v>AC162</v>
          </cell>
          <cell r="F183" t="str">
            <v>AC774</v>
          </cell>
          <cell r="G183" t="str">
            <v>10.188.27.69</v>
          </cell>
          <cell r="H183" t="str">
            <v>10.188.27.65</v>
          </cell>
          <cell r="I183" t="str">
            <v>/26</v>
          </cell>
          <cell r="J183">
            <v>805</v>
          </cell>
          <cell r="K183" t="str">
            <v>10.188.29.69</v>
          </cell>
          <cell r="L183" t="str">
            <v>10.188.29.65</v>
          </cell>
          <cell r="M183" t="str">
            <v>/26</v>
          </cell>
          <cell r="N183">
            <v>815</v>
          </cell>
          <cell r="O183" t="str">
            <v>10.188.31.69</v>
          </cell>
          <cell r="P183" t="str">
            <v>10.188.31.65</v>
          </cell>
          <cell r="Q183" t="str">
            <v>/26</v>
          </cell>
          <cell r="R183">
            <v>825</v>
          </cell>
        </row>
        <row r="184">
          <cell r="E184" t="str">
            <v>AC162</v>
          </cell>
          <cell r="F184" t="str">
            <v>AC790</v>
          </cell>
          <cell r="G184" t="str">
            <v>10.188.27.70</v>
          </cell>
          <cell r="H184" t="str">
            <v>10.188.27.65</v>
          </cell>
          <cell r="I184" t="str">
            <v>/26</v>
          </cell>
          <cell r="J184">
            <v>805</v>
          </cell>
          <cell r="K184" t="str">
            <v>10.188.29.70</v>
          </cell>
          <cell r="L184" t="str">
            <v>10.188.29.65</v>
          </cell>
          <cell r="M184" t="str">
            <v>/26</v>
          </cell>
          <cell r="N184">
            <v>815</v>
          </cell>
          <cell r="O184" t="str">
            <v>10.188.31.70</v>
          </cell>
          <cell r="P184" t="str">
            <v>10.188.31.65</v>
          </cell>
          <cell r="Q184" t="str">
            <v>/26</v>
          </cell>
          <cell r="R184">
            <v>825</v>
          </cell>
        </row>
        <row r="185">
          <cell r="E185" t="str">
            <v>AC162</v>
          </cell>
          <cell r="F185" t="str">
            <v>AC791</v>
          </cell>
          <cell r="G185" t="str">
            <v>10.188.27.71</v>
          </cell>
          <cell r="H185" t="str">
            <v>10.188.27.65</v>
          </cell>
          <cell r="I185" t="str">
            <v>/26</v>
          </cell>
          <cell r="J185">
            <v>805</v>
          </cell>
          <cell r="K185" t="str">
            <v>10.188.29.71</v>
          </cell>
          <cell r="L185" t="str">
            <v>10.188.29.65</v>
          </cell>
          <cell r="M185" t="str">
            <v>/26</v>
          </cell>
          <cell r="N185">
            <v>815</v>
          </cell>
          <cell r="O185" t="str">
            <v>10.188.31.71</v>
          </cell>
          <cell r="P185" t="str">
            <v>10.188.31.65</v>
          </cell>
          <cell r="Q185" t="str">
            <v>/26</v>
          </cell>
          <cell r="R185">
            <v>825</v>
          </cell>
        </row>
        <row r="186">
          <cell r="E186" t="str">
            <v>AC162</v>
          </cell>
          <cell r="G186" t="str">
            <v>10.188.27.72</v>
          </cell>
          <cell r="H186" t="str">
            <v>10.188.27.65</v>
          </cell>
          <cell r="I186" t="str">
            <v>/26</v>
          </cell>
          <cell r="J186">
            <v>805</v>
          </cell>
          <cell r="K186" t="str">
            <v>10.188.29.72</v>
          </cell>
          <cell r="L186" t="str">
            <v>10.188.29.65</v>
          </cell>
          <cell r="M186" t="str">
            <v>/26</v>
          </cell>
          <cell r="N186">
            <v>815</v>
          </cell>
          <cell r="O186" t="str">
            <v>10.188.31.72</v>
          </cell>
          <cell r="P186" t="str">
            <v>10.188.31.65</v>
          </cell>
          <cell r="Q186" t="str">
            <v>/26</v>
          </cell>
          <cell r="R186">
            <v>825</v>
          </cell>
        </row>
        <row r="187">
          <cell r="E187" t="str">
            <v>AC162</v>
          </cell>
          <cell r="F187" t="str">
            <v>ET151</v>
          </cell>
          <cell r="G187" t="str">
            <v>10.188.27.73</v>
          </cell>
          <cell r="H187" t="str">
            <v>10.188.27.65</v>
          </cell>
          <cell r="I187" t="str">
            <v>/26</v>
          </cell>
          <cell r="J187">
            <v>805</v>
          </cell>
          <cell r="K187" t="str">
            <v>10.188.29.73</v>
          </cell>
          <cell r="L187" t="str">
            <v>10.188.29.65</v>
          </cell>
          <cell r="M187" t="str">
            <v>/26</v>
          </cell>
          <cell r="N187">
            <v>815</v>
          </cell>
          <cell r="O187" t="str">
            <v>10.188.31.73</v>
          </cell>
          <cell r="P187" t="str">
            <v>10.188.31.65</v>
          </cell>
          <cell r="Q187" t="str">
            <v>/26</v>
          </cell>
          <cell r="R187">
            <v>825</v>
          </cell>
        </row>
        <row r="188">
          <cell r="E188" t="str">
            <v>AC162</v>
          </cell>
          <cell r="G188" t="str">
            <v>10.188.27.74</v>
          </cell>
          <cell r="H188" t="str">
            <v>10.188.27.65</v>
          </cell>
          <cell r="I188" t="str">
            <v>/26</v>
          </cell>
          <cell r="J188">
            <v>805</v>
          </cell>
          <cell r="K188" t="str">
            <v>10.188.29.74</v>
          </cell>
          <cell r="L188" t="str">
            <v>10.188.29.65</v>
          </cell>
          <cell r="M188" t="str">
            <v>/26</v>
          </cell>
          <cell r="N188">
            <v>815</v>
          </cell>
          <cell r="O188" t="str">
            <v>10.188.31.74</v>
          </cell>
          <cell r="P188" t="str">
            <v>10.188.31.65</v>
          </cell>
          <cell r="Q188" t="str">
            <v>/26</v>
          </cell>
          <cell r="R188">
            <v>825</v>
          </cell>
        </row>
        <row r="189">
          <cell r="E189" t="str">
            <v>AC162</v>
          </cell>
          <cell r="F189" t="str">
            <v>ET175</v>
          </cell>
          <cell r="G189" t="str">
            <v>10.188.27.75</v>
          </cell>
          <cell r="H189" t="str">
            <v>10.188.27.65</v>
          </cell>
          <cell r="I189" t="str">
            <v>/26</v>
          </cell>
          <cell r="J189">
            <v>805</v>
          </cell>
          <cell r="K189" t="str">
            <v>10.188.29.75</v>
          </cell>
          <cell r="L189" t="str">
            <v>10.188.29.65</v>
          </cell>
          <cell r="M189" t="str">
            <v>/26</v>
          </cell>
          <cell r="N189">
            <v>815</v>
          </cell>
          <cell r="O189" t="str">
            <v>10.188.31.75</v>
          </cell>
          <cell r="P189" t="str">
            <v>10.188.31.65</v>
          </cell>
          <cell r="Q189" t="str">
            <v>/26</v>
          </cell>
          <cell r="R189">
            <v>825</v>
          </cell>
        </row>
        <row r="190">
          <cell r="E190" t="str">
            <v>AC162</v>
          </cell>
          <cell r="F190" t="str">
            <v>ET175</v>
          </cell>
          <cell r="G190" t="str">
            <v>10.188.27.76</v>
          </cell>
          <cell r="H190" t="str">
            <v>10.188.27.65</v>
          </cell>
          <cell r="I190" t="str">
            <v>/26</v>
          </cell>
          <cell r="J190">
            <v>805</v>
          </cell>
          <cell r="K190" t="str">
            <v>10.188.29.76</v>
          </cell>
          <cell r="L190" t="str">
            <v>10.188.29.65</v>
          </cell>
          <cell r="M190" t="str">
            <v>/26</v>
          </cell>
          <cell r="N190">
            <v>815</v>
          </cell>
          <cell r="O190" t="str">
            <v>10.188.31.76</v>
          </cell>
          <cell r="P190" t="str">
            <v>10.188.31.65</v>
          </cell>
          <cell r="Q190" t="str">
            <v>/26</v>
          </cell>
          <cell r="R190">
            <v>825</v>
          </cell>
        </row>
        <row r="191">
          <cell r="E191" t="str">
            <v>AC162</v>
          </cell>
          <cell r="F191" t="str">
            <v>ET175</v>
          </cell>
          <cell r="G191" t="str">
            <v>10.188.27.77</v>
          </cell>
          <cell r="H191" t="str">
            <v>10.188.27.65</v>
          </cell>
          <cell r="I191" t="str">
            <v>/26</v>
          </cell>
          <cell r="J191">
            <v>805</v>
          </cell>
          <cell r="K191" t="str">
            <v>10.188.29.77</v>
          </cell>
          <cell r="L191" t="str">
            <v>10.188.29.65</v>
          </cell>
          <cell r="M191" t="str">
            <v>/26</v>
          </cell>
          <cell r="N191">
            <v>815</v>
          </cell>
          <cell r="O191" t="str">
            <v>10.188.31.77</v>
          </cell>
          <cell r="P191" t="str">
            <v>10.188.31.65</v>
          </cell>
          <cell r="Q191" t="str">
            <v>/26</v>
          </cell>
          <cell r="R191">
            <v>825</v>
          </cell>
        </row>
        <row r="192">
          <cell r="E192" t="str">
            <v>AC162</v>
          </cell>
          <cell r="F192" t="str">
            <v>ET666</v>
          </cell>
          <cell r="G192" t="str">
            <v>10.188.27.78</v>
          </cell>
          <cell r="H192" t="str">
            <v>10.188.27.65</v>
          </cell>
          <cell r="I192" t="str">
            <v>/26</v>
          </cell>
          <cell r="J192">
            <v>805</v>
          </cell>
          <cell r="K192" t="str">
            <v>10.188.29.78</v>
          </cell>
          <cell r="L192" t="str">
            <v>10.188.29.65</v>
          </cell>
          <cell r="M192" t="str">
            <v>/26</v>
          </cell>
          <cell r="N192">
            <v>815</v>
          </cell>
          <cell r="O192" t="str">
            <v>10.188.31.78</v>
          </cell>
          <cell r="P192" t="str">
            <v>10.188.31.65</v>
          </cell>
          <cell r="Q192" t="str">
            <v>/26</v>
          </cell>
          <cell r="R192">
            <v>825</v>
          </cell>
        </row>
        <row r="193">
          <cell r="E193" t="str">
            <v>AC162</v>
          </cell>
          <cell r="F193" t="str">
            <v>ET666</v>
          </cell>
          <cell r="G193" t="str">
            <v>10.188.27.79</v>
          </cell>
          <cell r="H193" t="str">
            <v>10.188.27.65</v>
          </cell>
          <cell r="I193" t="str">
            <v>/26</v>
          </cell>
          <cell r="J193">
            <v>805</v>
          </cell>
          <cell r="K193" t="str">
            <v>10.188.29.79</v>
          </cell>
          <cell r="L193" t="str">
            <v>10.188.29.65</v>
          </cell>
          <cell r="M193" t="str">
            <v>/26</v>
          </cell>
          <cell r="N193">
            <v>815</v>
          </cell>
          <cell r="O193" t="str">
            <v>10.188.31.79</v>
          </cell>
          <cell r="P193" t="str">
            <v>10.188.31.65</v>
          </cell>
          <cell r="Q193" t="str">
            <v>/26</v>
          </cell>
          <cell r="R193">
            <v>825</v>
          </cell>
        </row>
        <row r="194">
          <cell r="E194" t="str">
            <v>AC162</v>
          </cell>
          <cell r="F194" t="str">
            <v>IM264</v>
          </cell>
          <cell r="G194" t="str">
            <v>10.188.27.80</v>
          </cell>
          <cell r="H194" t="str">
            <v>10.188.27.65</v>
          </cell>
          <cell r="I194" t="str">
            <v>/26</v>
          </cell>
          <cell r="J194">
            <v>805</v>
          </cell>
          <cell r="K194" t="str">
            <v>10.188.29.80</v>
          </cell>
          <cell r="L194" t="str">
            <v>10.188.29.65</v>
          </cell>
          <cell r="M194" t="str">
            <v>/26</v>
          </cell>
          <cell r="N194">
            <v>815</v>
          </cell>
          <cell r="O194" t="str">
            <v>10.188.31.80</v>
          </cell>
          <cell r="P194" t="str">
            <v>10.188.31.65</v>
          </cell>
          <cell r="Q194" t="str">
            <v>/26</v>
          </cell>
          <cell r="R194">
            <v>825</v>
          </cell>
        </row>
        <row r="195">
          <cell r="E195" t="str">
            <v>AC162</v>
          </cell>
          <cell r="G195" t="str">
            <v>10.188.27.81</v>
          </cell>
          <cell r="H195" t="str">
            <v>10.188.27.65</v>
          </cell>
          <cell r="I195" t="str">
            <v>/26</v>
          </cell>
          <cell r="J195">
            <v>805</v>
          </cell>
          <cell r="K195" t="str">
            <v>10.188.29.81</v>
          </cell>
          <cell r="L195" t="str">
            <v>10.188.29.65</v>
          </cell>
          <cell r="M195" t="str">
            <v>/26</v>
          </cell>
          <cell r="N195">
            <v>815</v>
          </cell>
          <cell r="O195" t="str">
            <v>10.188.31.81</v>
          </cell>
          <cell r="P195" t="str">
            <v>10.188.31.65</v>
          </cell>
          <cell r="Q195" t="str">
            <v>/26</v>
          </cell>
          <cell r="R195">
            <v>825</v>
          </cell>
        </row>
        <row r="196">
          <cell r="E196" t="str">
            <v>AC162</v>
          </cell>
          <cell r="G196" t="str">
            <v>10.188.27.82</v>
          </cell>
          <cell r="H196" t="str">
            <v>10.188.27.65</v>
          </cell>
          <cell r="I196" t="str">
            <v>/26</v>
          </cell>
          <cell r="J196">
            <v>805</v>
          </cell>
          <cell r="K196" t="str">
            <v>10.188.29.82</v>
          </cell>
          <cell r="L196" t="str">
            <v>10.188.29.65</v>
          </cell>
          <cell r="M196" t="str">
            <v>/26</v>
          </cell>
          <cell r="N196">
            <v>815</v>
          </cell>
          <cell r="O196" t="str">
            <v>10.188.31.82</v>
          </cell>
          <cell r="P196" t="str">
            <v>10.188.31.65</v>
          </cell>
          <cell r="Q196" t="str">
            <v>/26</v>
          </cell>
          <cell r="R196">
            <v>825</v>
          </cell>
        </row>
        <row r="197">
          <cell r="E197" t="str">
            <v>AC162</v>
          </cell>
          <cell r="G197" t="str">
            <v>10.188.27.83</v>
          </cell>
          <cell r="H197" t="str">
            <v>10.188.27.65</v>
          </cell>
          <cell r="I197" t="str">
            <v>/26</v>
          </cell>
          <cell r="J197">
            <v>805</v>
          </cell>
          <cell r="K197" t="str">
            <v>10.188.29.83</v>
          </cell>
          <cell r="L197" t="str">
            <v>10.188.29.65</v>
          </cell>
          <cell r="M197" t="str">
            <v>/26</v>
          </cell>
          <cell r="N197">
            <v>815</v>
          </cell>
          <cell r="O197" t="str">
            <v>10.188.31.83</v>
          </cell>
          <cell r="P197" t="str">
            <v>10.188.31.65</v>
          </cell>
          <cell r="Q197" t="str">
            <v>/26</v>
          </cell>
          <cell r="R197">
            <v>825</v>
          </cell>
        </row>
        <row r="198">
          <cell r="E198" t="str">
            <v>AC162</v>
          </cell>
          <cell r="G198" t="str">
            <v>10.188.27.84</v>
          </cell>
          <cell r="H198" t="str">
            <v>10.188.27.65</v>
          </cell>
          <cell r="I198" t="str">
            <v>/26</v>
          </cell>
          <cell r="J198">
            <v>805</v>
          </cell>
          <cell r="K198" t="str">
            <v>10.188.29.84</v>
          </cell>
          <cell r="L198" t="str">
            <v>10.188.29.65</v>
          </cell>
          <cell r="M198" t="str">
            <v>/26</v>
          </cell>
          <cell r="N198">
            <v>815</v>
          </cell>
          <cell r="O198" t="str">
            <v>10.188.31.84</v>
          </cell>
          <cell r="P198" t="str">
            <v>10.188.31.65</v>
          </cell>
          <cell r="Q198" t="str">
            <v>/26</v>
          </cell>
          <cell r="R198">
            <v>825</v>
          </cell>
        </row>
        <row r="199">
          <cell r="E199" t="str">
            <v>AC162</v>
          </cell>
          <cell r="G199" t="str">
            <v>10.188.27.85</v>
          </cell>
          <cell r="H199" t="str">
            <v>10.188.27.65</v>
          </cell>
          <cell r="I199" t="str">
            <v>/26</v>
          </cell>
          <cell r="J199">
            <v>805</v>
          </cell>
          <cell r="K199" t="str">
            <v>10.188.29.85</v>
          </cell>
          <cell r="L199" t="str">
            <v>10.188.29.65</v>
          </cell>
          <cell r="M199" t="str">
            <v>/26</v>
          </cell>
          <cell r="N199">
            <v>815</v>
          </cell>
          <cell r="O199" t="str">
            <v>10.188.31.85</v>
          </cell>
          <cell r="P199" t="str">
            <v>10.188.31.65</v>
          </cell>
          <cell r="Q199" t="str">
            <v>/26</v>
          </cell>
          <cell r="R199">
            <v>825</v>
          </cell>
        </row>
        <row r="200">
          <cell r="E200" t="str">
            <v>AC162</v>
          </cell>
          <cell r="G200" t="str">
            <v>10.188.27.86</v>
          </cell>
          <cell r="H200" t="str">
            <v>10.188.27.65</v>
          </cell>
          <cell r="I200" t="str">
            <v>/26</v>
          </cell>
          <cell r="J200">
            <v>805</v>
          </cell>
          <cell r="K200" t="str">
            <v>10.188.29.86</v>
          </cell>
          <cell r="L200" t="str">
            <v>10.188.29.65</v>
          </cell>
          <cell r="M200" t="str">
            <v>/26</v>
          </cell>
          <cell r="N200">
            <v>815</v>
          </cell>
          <cell r="O200" t="str">
            <v>10.188.31.86</v>
          </cell>
          <cell r="P200" t="str">
            <v>10.188.31.65</v>
          </cell>
          <cell r="Q200" t="str">
            <v>/26</v>
          </cell>
          <cell r="R200">
            <v>825</v>
          </cell>
        </row>
        <row r="201">
          <cell r="E201" t="str">
            <v>AC162</v>
          </cell>
          <cell r="G201" t="str">
            <v>10.188.27.87</v>
          </cell>
          <cell r="H201" t="str">
            <v>10.188.27.65</v>
          </cell>
          <cell r="I201" t="str">
            <v>/26</v>
          </cell>
          <cell r="J201">
            <v>805</v>
          </cell>
          <cell r="K201" t="str">
            <v>10.188.29.87</v>
          </cell>
          <cell r="L201" t="str">
            <v>10.188.29.65</v>
          </cell>
          <cell r="M201" t="str">
            <v>/26</v>
          </cell>
          <cell r="N201">
            <v>815</v>
          </cell>
          <cell r="O201" t="str">
            <v>10.188.31.87</v>
          </cell>
          <cell r="P201" t="str">
            <v>10.188.31.65</v>
          </cell>
          <cell r="Q201" t="str">
            <v>/26</v>
          </cell>
          <cell r="R201">
            <v>825</v>
          </cell>
        </row>
        <row r="202">
          <cell r="E202" t="str">
            <v>AC162</v>
          </cell>
          <cell r="G202" t="str">
            <v>10.188.27.88</v>
          </cell>
          <cell r="H202" t="str">
            <v>10.188.27.65</v>
          </cell>
          <cell r="I202" t="str">
            <v>/26</v>
          </cell>
          <cell r="J202">
            <v>805</v>
          </cell>
          <cell r="K202" t="str">
            <v>10.188.29.88</v>
          </cell>
          <cell r="L202" t="str">
            <v>10.188.29.65</v>
          </cell>
          <cell r="M202" t="str">
            <v>/26</v>
          </cell>
          <cell r="N202">
            <v>815</v>
          </cell>
          <cell r="O202" t="str">
            <v>10.188.31.88</v>
          </cell>
          <cell r="P202" t="str">
            <v>10.188.31.65</v>
          </cell>
          <cell r="Q202" t="str">
            <v>/26</v>
          </cell>
          <cell r="R202">
            <v>825</v>
          </cell>
        </row>
        <row r="203">
          <cell r="E203" t="str">
            <v>AC162</v>
          </cell>
          <cell r="G203" t="str">
            <v>10.188.27.89</v>
          </cell>
          <cell r="H203" t="str">
            <v>10.188.27.65</v>
          </cell>
          <cell r="I203" t="str">
            <v>/26</v>
          </cell>
          <cell r="J203">
            <v>805</v>
          </cell>
          <cell r="K203" t="str">
            <v>10.188.29.89</v>
          </cell>
          <cell r="L203" t="str">
            <v>10.188.29.65</v>
          </cell>
          <cell r="M203" t="str">
            <v>/26</v>
          </cell>
          <cell r="N203">
            <v>815</v>
          </cell>
          <cell r="O203" t="str">
            <v>10.188.31.89</v>
          </cell>
          <cell r="P203" t="str">
            <v>10.188.31.65</v>
          </cell>
          <cell r="Q203" t="str">
            <v>/26</v>
          </cell>
          <cell r="R203">
            <v>825</v>
          </cell>
        </row>
        <row r="204">
          <cell r="E204" t="str">
            <v>AC162</v>
          </cell>
          <cell r="G204" t="str">
            <v>10.188.27.90</v>
          </cell>
          <cell r="H204" t="str">
            <v>10.188.27.65</v>
          </cell>
          <cell r="I204" t="str">
            <v>/26</v>
          </cell>
          <cell r="J204">
            <v>805</v>
          </cell>
          <cell r="K204" t="str">
            <v>10.188.29.90</v>
          </cell>
          <cell r="L204" t="str">
            <v>10.188.29.65</v>
          </cell>
          <cell r="M204" t="str">
            <v>/26</v>
          </cell>
          <cell r="N204">
            <v>815</v>
          </cell>
          <cell r="O204" t="str">
            <v>10.188.31.90</v>
          </cell>
          <cell r="P204" t="str">
            <v>10.188.31.65</v>
          </cell>
          <cell r="Q204" t="str">
            <v>/26</v>
          </cell>
          <cell r="R204">
            <v>825</v>
          </cell>
        </row>
        <row r="205">
          <cell r="E205" t="str">
            <v>AC162</v>
          </cell>
          <cell r="G205" t="str">
            <v>10.188.27.91</v>
          </cell>
          <cell r="H205" t="str">
            <v>10.188.27.65</v>
          </cell>
          <cell r="I205" t="str">
            <v>/26</v>
          </cell>
          <cell r="J205">
            <v>805</v>
          </cell>
          <cell r="K205" t="str">
            <v>10.188.29.91</v>
          </cell>
          <cell r="L205" t="str">
            <v>10.188.29.65</v>
          </cell>
          <cell r="M205" t="str">
            <v>/26</v>
          </cell>
          <cell r="N205">
            <v>815</v>
          </cell>
          <cell r="O205" t="str">
            <v>10.188.31.91</v>
          </cell>
          <cell r="P205" t="str">
            <v>10.188.31.65</v>
          </cell>
          <cell r="Q205" t="str">
            <v>/26</v>
          </cell>
          <cell r="R205">
            <v>825</v>
          </cell>
        </row>
        <row r="206">
          <cell r="E206" t="str">
            <v>AC162</v>
          </cell>
          <cell r="G206" t="str">
            <v>10.188.27.92</v>
          </cell>
          <cell r="H206" t="str">
            <v>10.188.27.65</v>
          </cell>
          <cell r="I206" t="str">
            <v>/26</v>
          </cell>
          <cell r="J206">
            <v>805</v>
          </cell>
          <cell r="K206" t="str">
            <v>10.188.29.92</v>
          </cell>
          <cell r="L206" t="str">
            <v>10.188.29.65</v>
          </cell>
          <cell r="M206" t="str">
            <v>/26</v>
          </cell>
          <cell r="N206">
            <v>815</v>
          </cell>
          <cell r="O206" t="str">
            <v>10.188.31.92</v>
          </cell>
          <cell r="P206" t="str">
            <v>10.188.31.65</v>
          </cell>
          <cell r="Q206" t="str">
            <v>/26</v>
          </cell>
          <cell r="R206">
            <v>825</v>
          </cell>
        </row>
        <row r="207">
          <cell r="E207" t="str">
            <v>AC162</v>
          </cell>
          <cell r="G207" t="str">
            <v>10.188.27.93</v>
          </cell>
          <cell r="H207" t="str">
            <v>10.188.27.65</v>
          </cell>
          <cell r="I207" t="str">
            <v>/26</v>
          </cell>
          <cell r="J207">
            <v>805</v>
          </cell>
          <cell r="K207" t="str">
            <v>10.188.29.93</v>
          </cell>
          <cell r="L207" t="str">
            <v>10.188.29.65</v>
          </cell>
          <cell r="M207" t="str">
            <v>/26</v>
          </cell>
          <cell r="N207">
            <v>815</v>
          </cell>
          <cell r="O207" t="str">
            <v>10.188.31.93</v>
          </cell>
          <cell r="P207" t="str">
            <v>10.188.31.65</v>
          </cell>
          <cell r="Q207" t="str">
            <v>/26</v>
          </cell>
          <cell r="R207">
            <v>825</v>
          </cell>
        </row>
        <row r="208">
          <cell r="E208" t="str">
            <v>AC162</v>
          </cell>
          <cell r="G208" t="str">
            <v>10.188.27.94</v>
          </cell>
          <cell r="H208" t="str">
            <v>10.188.27.65</v>
          </cell>
          <cell r="I208" t="str">
            <v>/26</v>
          </cell>
          <cell r="J208">
            <v>805</v>
          </cell>
          <cell r="K208" t="str">
            <v>10.188.29.94</v>
          </cell>
          <cell r="L208" t="str">
            <v>10.188.29.65</v>
          </cell>
          <cell r="M208" t="str">
            <v>/26</v>
          </cell>
          <cell r="N208">
            <v>815</v>
          </cell>
          <cell r="O208" t="str">
            <v>10.188.31.94</v>
          </cell>
          <cell r="P208" t="str">
            <v>10.188.31.65</v>
          </cell>
          <cell r="Q208" t="str">
            <v>/26</v>
          </cell>
          <cell r="R208">
            <v>825</v>
          </cell>
        </row>
        <row r="209">
          <cell r="E209" t="str">
            <v>AC162</v>
          </cell>
          <cell r="G209" t="str">
            <v>10.188.27.95</v>
          </cell>
          <cell r="H209" t="str">
            <v>10.188.27.65</v>
          </cell>
          <cell r="I209" t="str">
            <v>/26</v>
          </cell>
          <cell r="J209">
            <v>805</v>
          </cell>
          <cell r="K209" t="str">
            <v>10.188.29.95</v>
          </cell>
          <cell r="L209" t="str">
            <v>10.188.29.65</v>
          </cell>
          <cell r="M209" t="str">
            <v>/26</v>
          </cell>
          <cell r="N209">
            <v>815</v>
          </cell>
          <cell r="O209" t="str">
            <v>10.188.31.95</v>
          </cell>
          <cell r="P209" t="str">
            <v>10.188.31.65</v>
          </cell>
          <cell r="Q209" t="str">
            <v>/26</v>
          </cell>
          <cell r="R209">
            <v>825</v>
          </cell>
        </row>
        <row r="210">
          <cell r="E210" t="str">
            <v>AC162</v>
          </cell>
          <cell r="G210" t="str">
            <v>10.188.27.96</v>
          </cell>
          <cell r="H210" t="str">
            <v>10.188.27.65</v>
          </cell>
          <cell r="I210" t="str">
            <v>/26</v>
          </cell>
          <cell r="J210">
            <v>805</v>
          </cell>
          <cell r="K210" t="str">
            <v>10.188.29.96</v>
          </cell>
          <cell r="L210" t="str">
            <v>10.188.29.65</v>
          </cell>
          <cell r="M210" t="str">
            <v>/26</v>
          </cell>
          <cell r="N210">
            <v>815</v>
          </cell>
          <cell r="O210" t="str">
            <v>10.188.31.96</v>
          </cell>
          <cell r="P210" t="str">
            <v>10.188.31.65</v>
          </cell>
          <cell r="Q210" t="str">
            <v>/26</v>
          </cell>
          <cell r="R210">
            <v>825</v>
          </cell>
        </row>
        <row r="211">
          <cell r="E211" t="str">
            <v>AC162</v>
          </cell>
          <cell r="G211" t="str">
            <v>10.188.27.97</v>
          </cell>
          <cell r="H211" t="str">
            <v>10.188.27.65</v>
          </cell>
          <cell r="I211" t="str">
            <v>/26</v>
          </cell>
          <cell r="J211">
            <v>805</v>
          </cell>
          <cell r="K211" t="str">
            <v>10.188.29.97</v>
          </cell>
          <cell r="L211" t="str">
            <v>10.188.29.65</v>
          </cell>
          <cell r="M211" t="str">
            <v>/26</v>
          </cell>
          <cell r="N211">
            <v>815</v>
          </cell>
          <cell r="O211" t="str">
            <v>10.188.31.97</v>
          </cell>
          <cell r="P211" t="str">
            <v>10.188.31.65</v>
          </cell>
          <cell r="Q211" t="str">
            <v>/26</v>
          </cell>
          <cell r="R211">
            <v>825</v>
          </cell>
        </row>
        <row r="212">
          <cell r="E212" t="str">
            <v>AC162</v>
          </cell>
          <cell r="G212" t="str">
            <v>10.188.27.98</v>
          </cell>
          <cell r="H212" t="str">
            <v>10.188.27.65</v>
          </cell>
          <cell r="I212" t="str">
            <v>/26</v>
          </cell>
          <cell r="J212">
            <v>805</v>
          </cell>
          <cell r="K212" t="str">
            <v>10.188.29.98</v>
          </cell>
          <cell r="L212" t="str">
            <v>10.188.29.65</v>
          </cell>
          <cell r="M212" t="str">
            <v>/26</v>
          </cell>
          <cell r="N212">
            <v>815</v>
          </cell>
          <cell r="O212" t="str">
            <v>10.188.31.98</v>
          </cell>
          <cell r="P212" t="str">
            <v>10.188.31.65</v>
          </cell>
          <cell r="Q212" t="str">
            <v>/26</v>
          </cell>
          <cell r="R212">
            <v>825</v>
          </cell>
        </row>
        <row r="213">
          <cell r="E213" t="str">
            <v>AC162</v>
          </cell>
          <cell r="G213" t="str">
            <v>10.188.27.99</v>
          </cell>
          <cell r="H213" t="str">
            <v>10.188.27.65</v>
          </cell>
          <cell r="I213" t="str">
            <v>/26</v>
          </cell>
          <cell r="J213">
            <v>805</v>
          </cell>
          <cell r="K213" t="str">
            <v>10.188.29.99</v>
          </cell>
          <cell r="L213" t="str">
            <v>10.188.29.65</v>
          </cell>
          <cell r="M213" t="str">
            <v>/26</v>
          </cell>
          <cell r="N213">
            <v>815</v>
          </cell>
          <cell r="O213" t="str">
            <v>10.188.31.99</v>
          </cell>
          <cell r="P213" t="str">
            <v>10.188.31.65</v>
          </cell>
          <cell r="Q213" t="str">
            <v>/26</v>
          </cell>
          <cell r="R213">
            <v>825</v>
          </cell>
        </row>
        <row r="214">
          <cell r="E214" t="str">
            <v>AC162</v>
          </cell>
          <cell r="G214" t="str">
            <v>10.188.27.100</v>
          </cell>
          <cell r="H214" t="str">
            <v>10.188.27.65</v>
          </cell>
          <cell r="I214" t="str">
            <v>/26</v>
          </cell>
          <cell r="J214">
            <v>805</v>
          </cell>
          <cell r="K214" t="str">
            <v>10.188.29.100</v>
          </cell>
          <cell r="L214" t="str">
            <v>10.188.29.65</v>
          </cell>
          <cell r="M214" t="str">
            <v>/26</v>
          </cell>
          <cell r="N214">
            <v>815</v>
          </cell>
          <cell r="O214" t="str">
            <v>10.188.31.100</v>
          </cell>
          <cell r="P214" t="str">
            <v>10.188.31.65</v>
          </cell>
          <cell r="Q214" t="str">
            <v>/26</v>
          </cell>
          <cell r="R214">
            <v>825</v>
          </cell>
        </row>
        <row r="215">
          <cell r="E215" t="str">
            <v>AC162</v>
          </cell>
          <cell r="G215" t="str">
            <v>10.188.27.101</v>
          </cell>
          <cell r="H215" t="str">
            <v>10.188.27.65</v>
          </cell>
          <cell r="I215" t="str">
            <v>/26</v>
          </cell>
          <cell r="J215">
            <v>805</v>
          </cell>
          <cell r="K215" t="str">
            <v>10.188.29.101</v>
          </cell>
          <cell r="L215" t="str">
            <v>10.188.29.65</v>
          </cell>
          <cell r="M215" t="str">
            <v>/26</v>
          </cell>
          <cell r="N215">
            <v>815</v>
          </cell>
          <cell r="O215" t="str">
            <v>10.188.31.101</v>
          </cell>
          <cell r="P215" t="str">
            <v>10.188.31.65</v>
          </cell>
          <cell r="Q215" t="str">
            <v>/26</v>
          </cell>
          <cell r="R215">
            <v>825</v>
          </cell>
        </row>
        <row r="216">
          <cell r="E216" t="str">
            <v>AC162</v>
          </cell>
          <cell r="G216" t="str">
            <v>10.188.27.102</v>
          </cell>
          <cell r="H216" t="str">
            <v>10.188.27.65</v>
          </cell>
          <cell r="I216" t="str">
            <v>/26</v>
          </cell>
          <cell r="J216">
            <v>805</v>
          </cell>
          <cell r="K216" t="str">
            <v>10.188.29.102</v>
          </cell>
          <cell r="L216" t="str">
            <v>10.188.29.65</v>
          </cell>
          <cell r="M216" t="str">
            <v>/26</v>
          </cell>
          <cell r="N216">
            <v>815</v>
          </cell>
          <cell r="O216" t="str">
            <v>10.188.31.102</v>
          </cell>
          <cell r="P216" t="str">
            <v>10.188.31.65</v>
          </cell>
          <cell r="Q216" t="str">
            <v>/26</v>
          </cell>
          <cell r="R216">
            <v>825</v>
          </cell>
        </row>
        <row r="217">
          <cell r="E217" t="str">
            <v>AC162</v>
          </cell>
          <cell r="G217" t="str">
            <v>10.188.27.103</v>
          </cell>
          <cell r="H217" t="str">
            <v>10.188.27.65</v>
          </cell>
          <cell r="I217" t="str">
            <v>/26</v>
          </cell>
          <cell r="J217">
            <v>805</v>
          </cell>
          <cell r="K217" t="str">
            <v>10.188.29.103</v>
          </cell>
          <cell r="L217" t="str">
            <v>10.188.29.65</v>
          </cell>
          <cell r="M217" t="str">
            <v>/26</v>
          </cell>
          <cell r="N217">
            <v>815</v>
          </cell>
          <cell r="O217" t="str">
            <v>10.188.31.103</v>
          </cell>
          <cell r="P217" t="str">
            <v>10.188.31.65</v>
          </cell>
          <cell r="Q217" t="str">
            <v>/26</v>
          </cell>
          <cell r="R217">
            <v>825</v>
          </cell>
        </row>
        <row r="218">
          <cell r="E218" t="str">
            <v>AC162</v>
          </cell>
          <cell r="G218" t="str">
            <v>10.188.27.104</v>
          </cell>
          <cell r="H218" t="str">
            <v>10.188.27.65</v>
          </cell>
          <cell r="I218" t="str">
            <v>/26</v>
          </cell>
          <cell r="J218">
            <v>805</v>
          </cell>
          <cell r="K218" t="str">
            <v>10.188.29.104</v>
          </cell>
          <cell r="L218" t="str">
            <v>10.188.29.65</v>
          </cell>
          <cell r="M218" t="str">
            <v>/26</v>
          </cell>
          <cell r="N218">
            <v>815</v>
          </cell>
          <cell r="O218" t="str">
            <v>10.188.31.104</v>
          </cell>
          <cell r="P218" t="str">
            <v>10.188.31.65</v>
          </cell>
          <cell r="Q218" t="str">
            <v>/26</v>
          </cell>
          <cell r="R218">
            <v>825</v>
          </cell>
        </row>
        <row r="219">
          <cell r="E219" t="str">
            <v>AC162</v>
          </cell>
          <cell r="G219" t="str">
            <v>10.188.27.105</v>
          </cell>
          <cell r="H219" t="str">
            <v>10.188.27.65</v>
          </cell>
          <cell r="I219" t="str">
            <v>/26</v>
          </cell>
          <cell r="J219">
            <v>805</v>
          </cell>
          <cell r="K219" t="str">
            <v>10.188.29.105</v>
          </cell>
          <cell r="L219" t="str">
            <v>10.188.29.65</v>
          </cell>
          <cell r="M219" t="str">
            <v>/26</v>
          </cell>
          <cell r="N219">
            <v>815</v>
          </cell>
          <cell r="O219" t="str">
            <v>10.188.31.105</v>
          </cell>
          <cell r="P219" t="str">
            <v>10.188.31.65</v>
          </cell>
          <cell r="Q219" t="str">
            <v>/26</v>
          </cell>
          <cell r="R219">
            <v>825</v>
          </cell>
        </row>
        <row r="220">
          <cell r="E220" t="str">
            <v>AC162</v>
          </cell>
          <cell r="G220" t="str">
            <v>10.188.27.106</v>
          </cell>
          <cell r="H220" t="str">
            <v>10.188.27.65</v>
          </cell>
          <cell r="I220" t="str">
            <v>/26</v>
          </cell>
          <cell r="J220">
            <v>805</v>
          </cell>
          <cell r="K220" t="str">
            <v>10.188.29.106</v>
          </cell>
          <cell r="L220" t="str">
            <v>10.188.29.65</v>
          </cell>
          <cell r="M220" t="str">
            <v>/26</v>
          </cell>
          <cell r="N220">
            <v>815</v>
          </cell>
          <cell r="O220" t="str">
            <v>10.188.31.106</v>
          </cell>
          <cell r="P220" t="str">
            <v>10.188.31.65</v>
          </cell>
          <cell r="Q220" t="str">
            <v>/26</v>
          </cell>
          <cell r="R220">
            <v>825</v>
          </cell>
        </row>
        <row r="221">
          <cell r="E221" t="str">
            <v>AC162</v>
          </cell>
          <cell r="G221" t="str">
            <v>10.188.27.107</v>
          </cell>
          <cell r="H221" t="str">
            <v>10.188.27.65</v>
          </cell>
          <cell r="I221" t="str">
            <v>/26</v>
          </cell>
          <cell r="J221">
            <v>805</v>
          </cell>
          <cell r="K221" t="str">
            <v>10.188.29.107</v>
          </cell>
          <cell r="L221" t="str">
            <v>10.188.29.65</v>
          </cell>
          <cell r="M221" t="str">
            <v>/26</v>
          </cell>
          <cell r="N221">
            <v>815</v>
          </cell>
          <cell r="O221" t="str">
            <v>10.188.31.107</v>
          </cell>
          <cell r="P221" t="str">
            <v>10.188.31.65</v>
          </cell>
          <cell r="Q221" t="str">
            <v>/26</v>
          </cell>
          <cell r="R221">
            <v>825</v>
          </cell>
        </row>
        <row r="222">
          <cell r="E222" t="str">
            <v>AC162</v>
          </cell>
          <cell r="G222" t="str">
            <v>10.188.27.108</v>
          </cell>
          <cell r="H222" t="str">
            <v>10.188.27.65</v>
          </cell>
          <cell r="I222" t="str">
            <v>/26</v>
          </cell>
          <cell r="J222">
            <v>805</v>
          </cell>
          <cell r="K222" t="str">
            <v>10.188.29.108</v>
          </cell>
          <cell r="L222" t="str">
            <v>10.188.29.65</v>
          </cell>
          <cell r="M222" t="str">
            <v>/26</v>
          </cell>
          <cell r="N222">
            <v>815</v>
          </cell>
          <cell r="O222" t="str">
            <v>10.188.31.108</v>
          </cell>
          <cell r="P222" t="str">
            <v>10.188.31.65</v>
          </cell>
          <cell r="Q222" t="str">
            <v>/26</v>
          </cell>
          <cell r="R222">
            <v>825</v>
          </cell>
        </row>
        <row r="223">
          <cell r="E223" t="str">
            <v>AC162</v>
          </cell>
          <cell r="G223" t="str">
            <v>10.188.27.109</v>
          </cell>
          <cell r="H223" t="str">
            <v>10.188.27.65</v>
          </cell>
          <cell r="I223" t="str">
            <v>/26</v>
          </cell>
          <cell r="J223">
            <v>805</v>
          </cell>
          <cell r="K223" t="str">
            <v>10.188.29.109</v>
          </cell>
          <cell r="L223" t="str">
            <v>10.188.29.65</v>
          </cell>
          <cell r="M223" t="str">
            <v>/26</v>
          </cell>
          <cell r="N223">
            <v>815</v>
          </cell>
          <cell r="O223" t="str">
            <v>10.188.31.109</v>
          </cell>
          <cell r="P223" t="str">
            <v>10.188.31.65</v>
          </cell>
          <cell r="Q223" t="str">
            <v>/26</v>
          </cell>
          <cell r="R223">
            <v>825</v>
          </cell>
        </row>
        <row r="224">
          <cell r="E224" t="str">
            <v>AC162</v>
          </cell>
          <cell r="G224" t="str">
            <v>10.188.27.110</v>
          </cell>
          <cell r="H224" t="str">
            <v>10.188.27.65</v>
          </cell>
          <cell r="I224" t="str">
            <v>/26</v>
          </cell>
          <cell r="J224">
            <v>805</v>
          </cell>
          <cell r="K224" t="str">
            <v>10.188.29.110</v>
          </cell>
          <cell r="L224" t="str">
            <v>10.188.29.65</v>
          </cell>
          <cell r="M224" t="str">
            <v>/26</v>
          </cell>
          <cell r="N224">
            <v>815</v>
          </cell>
          <cell r="O224" t="str">
            <v>10.188.31.110</v>
          </cell>
          <cell r="P224" t="str">
            <v>10.188.31.65</v>
          </cell>
          <cell r="Q224" t="str">
            <v>/26</v>
          </cell>
          <cell r="R224">
            <v>825</v>
          </cell>
        </row>
        <row r="225">
          <cell r="E225" t="str">
            <v>AC162</v>
          </cell>
          <cell r="G225" t="str">
            <v>10.188.27.111</v>
          </cell>
          <cell r="H225" t="str">
            <v>10.188.27.65</v>
          </cell>
          <cell r="I225" t="str">
            <v>/26</v>
          </cell>
          <cell r="J225">
            <v>805</v>
          </cell>
          <cell r="K225" t="str">
            <v>10.188.29.111</v>
          </cell>
          <cell r="L225" t="str">
            <v>10.188.29.65</v>
          </cell>
          <cell r="M225" t="str">
            <v>/26</v>
          </cell>
          <cell r="N225">
            <v>815</v>
          </cell>
          <cell r="O225" t="str">
            <v>10.188.31.111</v>
          </cell>
          <cell r="P225" t="str">
            <v>10.188.31.65</v>
          </cell>
          <cell r="Q225" t="str">
            <v>/26</v>
          </cell>
          <cell r="R225">
            <v>825</v>
          </cell>
        </row>
        <row r="226">
          <cell r="E226" t="str">
            <v>AC162</v>
          </cell>
          <cell r="G226" t="str">
            <v>10.188.27.112</v>
          </cell>
          <cell r="H226" t="str">
            <v>10.188.27.65</v>
          </cell>
          <cell r="I226" t="str">
            <v>/26</v>
          </cell>
          <cell r="J226">
            <v>805</v>
          </cell>
          <cell r="K226" t="str">
            <v>10.188.29.112</v>
          </cell>
          <cell r="L226" t="str">
            <v>10.188.29.65</v>
          </cell>
          <cell r="M226" t="str">
            <v>/26</v>
          </cell>
          <cell r="N226">
            <v>815</v>
          </cell>
          <cell r="O226" t="str">
            <v>10.188.31.112</v>
          </cell>
          <cell r="P226" t="str">
            <v>10.188.31.65</v>
          </cell>
          <cell r="Q226" t="str">
            <v>/26</v>
          </cell>
          <cell r="R226">
            <v>825</v>
          </cell>
        </row>
        <row r="227">
          <cell r="E227" t="str">
            <v>AC162</v>
          </cell>
          <cell r="G227" t="str">
            <v>10.188.27.113</v>
          </cell>
          <cell r="H227" t="str">
            <v>10.188.27.65</v>
          </cell>
          <cell r="I227" t="str">
            <v>/26</v>
          </cell>
          <cell r="J227">
            <v>805</v>
          </cell>
          <cell r="K227" t="str">
            <v>10.188.29.113</v>
          </cell>
          <cell r="L227" t="str">
            <v>10.188.29.65</v>
          </cell>
          <cell r="M227" t="str">
            <v>/26</v>
          </cell>
          <cell r="N227">
            <v>815</v>
          </cell>
          <cell r="O227" t="str">
            <v>10.188.31.113</v>
          </cell>
          <cell r="P227" t="str">
            <v>10.188.31.65</v>
          </cell>
          <cell r="Q227" t="str">
            <v>/26</v>
          </cell>
          <cell r="R227">
            <v>825</v>
          </cell>
        </row>
        <row r="228">
          <cell r="E228" t="str">
            <v>AC162</v>
          </cell>
          <cell r="G228" t="str">
            <v>10.188.27.114</v>
          </cell>
          <cell r="H228" t="str">
            <v>10.188.27.65</v>
          </cell>
          <cell r="I228" t="str">
            <v>/26</v>
          </cell>
          <cell r="J228">
            <v>805</v>
          </cell>
          <cell r="K228" t="str">
            <v>10.188.29.114</v>
          </cell>
          <cell r="L228" t="str">
            <v>10.188.29.65</v>
          </cell>
          <cell r="M228" t="str">
            <v>/26</v>
          </cell>
          <cell r="N228">
            <v>815</v>
          </cell>
          <cell r="O228" t="str">
            <v>10.188.31.114</v>
          </cell>
          <cell r="P228" t="str">
            <v>10.188.31.65</v>
          </cell>
          <cell r="Q228" t="str">
            <v>/26</v>
          </cell>
          <cell r="R228">
            <v>825</v>
          </cell>
        </row>
        <row r="229">
          <cell r="E229" t="str">
            <v>AC162</v>
          </cell>
          <cell r="G229" t="str">
            <v>10.188.27.115</v>
          </cell>
          <cell r="H229" t="str">
            <v>10.188.27.65</v>
          </cell>
          <cell r="I229" t="str">
            <v>/26</v>
          </cell>
          <cell r="J229">
            <v>805</v>
          </cell>
          <cell r="K229" t="str">
            <v>10.188.29.115</v>
          </cell>
          <cell r="L229" t="str">
            <v>10.188.29.65</v>
          </cell>
          <cell r="M229" t="str">
            <v>/26</v>
          </cell>
          <cell r="N229">
            <v>815</v>
          </cell>
          <cell r="O229" t="str">
            <v>10.188.31.115</v>
          </cell>
          <cell r="P229" t="str">
            <v>10.188.31.65</v>
          </cell>
          <cell r="Q229" t="str">
            <v>/26</v>
          </cell>
          <cell r="R229">
            <v>825</v>
          </cell>
        </row>
        <row r="230">
          <cell r="E230" t="str">
            <v>AC162</v>
          </cell>
          <cell r="G230" t="str">
            <v>10.188.27.116</v>
          </cell>
          <cell r="H230" t="str">
            <v>10.188.27.65</v>
          </cell>
          <cell r="I230" t="str">
            <v>/26</v>
          </cell>
          <cell r="J230">
            <v>805</v>
          </cell>
          <cell r="K230" t="str">
            <v>10.188.29.116</v>
          </cell>
          <cell r="L230" t="str">
            <v>10.188.29.65</v>
          </cell>
          <cell r="M230" t="str">
            <v>/26</v>
          </cell>
          <cell r="N230">
            <v>815</v>
          </cell>
          <cell r="O230" t="str">
            <v>10.188.31.116</v>
          </cell>
          <cell r="P230" t="str">
            <v>10.188.31.65</v>
          </cell>
          <cell r="Q230" t="str">
            <v>/26</v>
          </cell>
          <cell r="R230">
            <v>825</v>
          </cell>
        </row>
        <row r="231">
          <cell r="E231" t="str">
            <v>AC162</v>
          </cell>
          <cell r="G231" t="str">
            <v>10.188.27.117</v>
          </cell>
          <cell r="H231" t="str">
            <v>10.188.27.65</v>
          </cell>
          <cell r="I231" t="str">
            <v>/26</v>
          </cell>
          <cell r="J231">
            <v>805</v>
          </cell>
          <cell r="K231" t="str">
            <v>10.188.29.117</v>
          </cell>
          <cell r="L231" t="str">
            <v>10.188.29.65</v>
          </cell>
          <cell r="M231" t="str">
            <v>/26</v>
          </cell>
          <cell r="N231">
            <v>815</v>
          </cell>
          <cell r="O231" t="str">
            <v>10.188.31.117</v>
          </cell>
          <cell r="P231" t="str">
            <v>10.188.31.65</v>
          </cell>
          <cell r="Q231" t="str">
            <v>/26</v>
          </cell>
          <cell r="R231">
            <v>825</v>
          </cell>
        </row>
        <row r="232">
          <cell r="E232" t="str">
            <v>AC162</v>
          </cell>
          <cell r="G232" t="str">
            <v>10.188.27.118</v>
          </cell>
          <cell r="H232" t="str">
            <v>10.188.27.65</v>
          </cell>
          <cell r="I232" t="str">
            <v>/26</v>
          </cell>
          <cell r="J232">
            <v>805</v>
          </cell>
          <cell r="K232" t="str">
            <v>10.188.29.118</v>
          </cell>
          <cell r="L232" t="str">
            <v>10.188.29.65</v>
          </cell>
          <cell r="M232" t="str">
            <v>/26</v>
          </cell>
          <cell r="N232">
            <v>815</v>
          </cell>
          <cell r="O232" t="str">
            <v>10.188.31.118</v>
          </cell>
          <cell r="P232" t="str">
            <v>10.188.31.65</v>
          </cell>
          <cell r="Q232" t="str">
            <v>/26</v>
          </cell>
          <cell r="R232">
            <v>825</v>
          </cell>
        </row>
        <row r="233">
          <cell r="E233" t="str">
            <v>AC162</v>
          </cell>
          <cell r="G233" t="str">
            <v>10.188.27.119</v>
          </cell>
          <cell r="H233" t="str">
            <v>10.188.27.65</v>
          </cell>
          <cell r="I233" t="str">
            <v>/26</v>
          </cell>
          <cell r="J233">
            <v>805</v>
          </cell>
          <cell r="K233" t="str">
            <v>10.188.29.119</v>
          </cell>
          <cell r="L233" t="str">
            <v>10.188.29.65</v>
          </cell>
          <cell r="M233" t="str">
            <v>/26</v>
          </cell>
          <cell r="N233">
            <v>815</v>
          </cell>
          <cell r="O233" t="str">
            <v>10.188.31.119</v>
          </cell>
          <cell r="P233" t="str">
            <v>10.188.31.65</v>
          </cell>
          <cell r="Q233" t="str">
            <v>/26</v>
          </cell>
          <cell r="R233">
            <v>825</v>
          </cell>
        </row>
        <row r="234">
          <cell r="E234" t="str">
            <v>AC162</v>
          </cell>
          <cell r="G234" t="str">
            <v>10.188.27.120</v>
          </cell>
          <cell r="H234" t="str">
            <v>10.188.27.65</v>
          </cell>
          <cell r="I234" t="str">
            <v>/26</v>
          </cell>
          <cell r="J234">
            <v>805</v>
          </cell>
          <cell r="K234" t="str">
            <v>10.188.29.120</v>
          </cell>
          <cell r="L234" t="str">
            <v>10.188.29.65</v>
          </cell>
          <cell r="M234" t="str">
            <v>/26</v>
          </cell>
          <cell r="N234">
            <v>815</v>
          </cell>
          <cell r="O234" t="str">
            <v>10.188.31.120</v>
          </cell>
          <cell r="P234" t="str">
            <v>10.188.31.65</v>
          </cell>
          <cell r="Q234" t="str">
            <v>/26</v>
          </cell>
          <cell r="R234">
            <v>825</v>
          </cell>
        </row>
        <row r="235">
          <cell r="E235" t="str">
            <v>AC162</v>
          </cell>
          <cell r="G235" t="str">
            <v>10.188.27.121</v>
          </cell>
          <cell r="H235" t="str">
            <v>10.188.27.65</v>
          </cell>
          <cell r="I235" t="str">
            <v>/26</v>
          </cell>
          <cell r="J235">
            <v>805</v>
          </cell>
          <cell r="K235" t="str">
            <v>10.188.29.121</v>
          </cell>
          <cell r="L235" t="str">
            <v>10.188.29.65</v>
          </cell>
          <cell r="M235" t="str">
            <v>/26</v>
          </cell>
          <cell r="N235">
            <v>815</v>
          </cell>
          <cell r="O235" t="str">
            <v>10.188.31.121</v>
          </cell>
          <cell r="P235" t="str">
            <v>10.188.31.65</v>
          </cell>
          <cell r="Q235" t="str">
            <v>/26</v>
          </cell>
          <cell r="R235">
            <v>825</v>
          </cell>
        </row>
        <row r="236">
          <cell r="E236" t="str">
            <v>AC162</v>
          </cell>
          <cell r="G236" t="str">
            <v>10.188.27.122</v>
          </cell>
          <cell r="H236" t="str">
            <v>10.188.27.65</v>
          </cell>
          <cell r="I236" t="str">
            <v>/26</v>
          </cell>
          <cell r="J236">
            <v>805</v>
          </cell>
          <cell r="K236" t="str">
            <v>10.188.29.122</v>
          </cell>
          <cell r="L236" t="str">
            <v>10.188.29.65</v>
          </cell>
          <cell r="M236" t="str">
            <v>/26</v>
          </cell>
          <cell r="N236">
            <v>815</v>
          </cell>
          <cell r="O236" t="str">
            <v>10.188.31.122</v>
          </cell>
          <cell r="P236" t="str">
            <v>10.188.31.65</v>
          </cell>
          <cell r="Q236" t="str">
            <v>/26</v>
          </cell>
          <cell r="R236">
            <v>825</v>
          </cell>
        </row>
        <row r="237">
          <cell r="E237" t="str">
            <v>AC162</v>
          </cell>
          <cell r="G237" t="str">
            <v>10.188.27.123</v>
          </cell>
          <cell r="H237" t="str">
            <v>10.188.27.65</v>
          </cell>
          <cell r="I237" t="str">
            <v>/26</v>
          </cell>
          <cell r="J237">
            <v>805</v>
          </cell>
          <cell r="K237" t="str">
            <v>10.188.29.123</v>
          </cell>
          <cell r="L237" t="str">
            <v>10.188.29.65</v>
          </cell>
          <cell r="M237" t="str">
            <v>/26</v>
          </cell>
          <cell r="N237">
            <v>815</v>
          </cell>
          <cell r="O237" t="str">
            <v>10.188.31.123</v>
          </cell>
          <cell r="P237" t="str">
            <v>10.188.31.65</v>
          </cell>
          <cell r="Q237" t="str">
            <v>/26</v>
          </cell>
          <cell r="R237">
            <v>825</v>
          </cell>
        </row>
        <row r="238">
          <cell r="E238" t="str">
            <v>AC162</v>
          </cell>
          <cell r="G238" t="str">
            <v>10.188.27.124</v>
          </cell>
          <cell r="H238" t="str">
            <v>10.188.27.65</v>
          </cell>
          <cell r="I238" t="str">
            <v>/26</v>
          </cell>
          <cell r="J238">
            <v>805</v>
          </cell>
          <cell r="K238" t="str">
            <v>10.188.29.124</v>
          </cell>
          <cell r="L238" t="str">
            <v>10.188.29.65</v>
          </cell>
          <cell r="M238" t="str">
            <v>/26</v>
          </cell>
          <cell r="N238">
            <v>815</v>
          </cell>
          <cell r="O238" t="str">
            <v>10.188.31.124</v>
          </cell>
          <cell r="P238" t="str">
            <v>10.188.31.65</v>
          </cell>
          <cell r="Q238" t="str">
            <v>/26</v>
          </cell>
          <cell r="R238">
            <v>825</v>
          </cell>
        </row>
        <row r="239">
          <cell r="E239" t="str">
            <v>AC162</v>
          </cell>
          <cell r="G239" t="str">
            <v>10.188.27.125</v>
          </cell>
          <cell r="H239" t="str">
            <v>10.188.27.65</v>
          </cell>
          <cell r="I239" t="str">
            <v>/26</v>
          </cell>
          <cell r="J239">
            <v>805</v>
          </cell>
          <cell r="K239" t="str">
            <v>10.188.29.125</v>
          </cell>
          <cell r="L239" t="str">
            <v>10.188.29.65</v>
          </cell>
          <cell r="M239" t="str">
            <v>/26</v>
          </cell>
          <cell r="N239">
            <v>815</v>
          </cell>
          <cell r="O239" t="str">
            <v>10.188.31.125</v>
          </cell>
          <cell r="P239" t="str">
            <v>10.188.31.65</v>
          </cell>
          <cell r="Q239" t="str">
            <v>/26</v>
          </cell>
          <cell r="R239">
            <v>825</v>
          </cell>
        </row>
        <row r="240">
          <cell r="E240" t="str">
            <v>AC162</v>
          </cell>
          <cell r="G240" t="str">
            <v>10.188.27.126</v>
          </cell>
          <cell r="H240" t="str">
            <v>10.188.27.65</v>
          </cell>
          <cell r="I240" t="str">
            <v>/26</v>
          </cell>
          <cell r="J240">
            <v>805</v>
          </cell>
          <cell r="K240" t="str">
            <v>10.188.29.126</v>
          </cell>
          <cell r="L240" t="str">
            <v>10.188.29.65</v>
          </cell>
          <cell r="M240" t="str">
            <v>/26</v>
          </cell>
          <cell r="N240">
            <v>815</v>
          </cell>
          <cell r="O240" t="str">
            <v>10.188.31.126</v>
          </cell>
          <cell r="P240" t="str">
            <v>10.188.31.65</v>
          </cell>
          <cell r="Q240" t="str">
            <v>/26</v>
          </cell>
          <cell r="R240">
            <v>825</v>
          </cell>
        </row>
        <row r="241">
          <cell r="E241" t="str">
            <v>AC162</v>
          </cell>
          <cell r="G241" t="str">
            <v>10.188.27.127</v>
          </cell>
          <cell r="H241" t="str">
            <v>10.188.27.65</v>
          </cell>
          <cell r="I241" t="str">
            <v>/26</v>
          </cell>
          <cell r="J241">
            <v>805</v>
          </cell>
          <cell r="K241" t="str">
            <v>10.188.29.127</v>
          </cell>
          <cell r="L241" t="str">
            <v>10.188.29.65</v>
          </cell>
          <cell r="M241" t="str">
            <v>/26</v>
          </cell>
          <cell r="N241">
            <v>815</v>
          </cell>
          <cell r="O241" t="str">
            <v>10.188.31.127</v>
          </cell>
          <cell r="P241" t="str">
            <v>10.188.31.65</v>
          </cell>
          <cell r="Q241" t="str">
            <v>/26</v>
          </cell>
          <cell r="R241">
            <v>825</v>
          </cell>
        </row>
        <row r="242">
          <cell r="E242" t="str">
            <v>AC164</v>
          </cell>
          <cell r="G242" t="str">
            <v>10.187.200.208</v>
          </cell>
          <cell r="H242" t="str">
            <v>10.187.200.209</v>
          </cell>
          <cell r="I242" t="str">
            <v>/28</v>
          </cell>
          <cell r="J242">
            <v>802</v>
          </cell>
          <cell r="K242" t="str">
            <v>10.187.202.208</v>
          </cell>
          <cell r="L242" t="str">
            <v>10.187.202.209</v>
          </cell>
          <cell r="M242" t="str">
            <v>/28</v>
          </cell>
          <cell r="N242">
            <v>812</v>
          </cell>
          <cell r="O242" t="str">
            <v>10.187.204.208</v>
          </cell>
          <cell r="P242" t="str">
            <v>10.187.204.209</v>
          </cell>
          <cell r="Q242" t="str">
            <v>/28</v>
          </cell>
          <cell r="R242">
            <v>822</v>
          </cell>
        </row>
        <row r="243">
          <cell r="E243" t="str">
            <v>AC164</v>
          </cell>
          <cell r="G243" t="str">
            <v>10.187.200.209</v>
          </cell>
          <cell r="H243" t="str">
            <v>10.187.200.209</v>
          </cell>
          <cell r="I243" t="str">
            <v>/28</v>
          </cell>
          <cell r="J243">
            <v>802</v>
          </cell>
          <cell r="K243" t="str">
            <v>10.187.202.209</v>
          </cell>
          <cell r="L243" t="str">
            <v>10.187.202.209</v>
          </cell>
          <cell r="M243" t="str">
            <v>/28</v>
          </cell>
          <cell r="N243">
            <v>812</v>
          </cell>
          <cell r="O243" t="str">
            <v>10.187.204.209</v>
          </cell>
          <cell r="P243" t="str">
            <v>10.187.204.209</v>
          </cell>
          <cell r="Q243" t="str">
            <v>/28</v>
          </cell>
          <cell r="R243">
            <v>822</v>
          </cell>
        </row>
        <row r="244">
          <cell r="E244" t="str">
            <v>AC164</v>
          </cell>
          <cell r="G244" t="str">
            <v>10.187.200.210</v>
          </cell>
          <cell r="H244" t="str">
            <v>10.187.200.209</v>
          </cell>
          <cell r="I244" t="str">
            <v>/28</v>
          </cell>
          <cell r="J244">
            <v>802</v>
          </cell>
          <cell r="K244" t="str">
            <v>10.187.202.210</v>
          </cell>
          <cell r="L244" t="str">
            <v>10.187.202.209</v>
          </cell>
          <cell r="M244" t="str">
            <v>/28</v>
          </cell>
          <cell r="N244">
            <v>812</v>
          </cell>
          <cell r="O244" t="str">
            <v>10.187.204.210</v>
          </cell>
          <cell r="P244" t="str">
            <v>10.187.204.209</v>
          </cell>
          <cell r="Q244" t="str">
            <v>/28</v>
          </cell>
          <cell r="R244">
            <v>822</v>
          </cell>
        </row>
        <row r="245">
          <cell r="E245" t="str">
            <v>AC164</v>
          </cell>
          <cell r="G245" t="str">
            <v>10.187.200.211</v>
          </cell>
          <cell r="H245" t="str">
            <v>10.187.200.209</v>
          </cell>
          <cell r="I245" t="str">
            <v>/28</v>
          </cell>
          <cell r="J245">
            <v>802</v>
          </cell>
          <cell r="K245" t="str">
            <v>10.187.202.211</v>
          </cell>
          <cell r="L245" t="str">
            <v>10.187.202.209</v>
          </cell>
          <cell r="M245" t="str">
            <v>/28</v>
          </cell>
          <cell r="N245">
            <v>812</v>
          </cell>
          <cell r="O245" t="str">
            <v>10.187.204.211</v>
          </cell>
          <cell r="P245" t="str">
            <v>10.187.204.209</v>
          </cell>
          <cell r="Q245" t="str">
            <v>/28</v>
          </cell>
          <cell r="R245">
            <v>822</v>
          </cell>
        </row>
        <row r="246">
          <cell r="E246" t="str">
            <v>AC164</v>
          </cell>
          <cell r="F246" t="str">
            <v>ET584</v>
          </cell>
          <cell r="G246" t="str">
            <v>10.187.200.212</v>
          </cell>
          <cell r="H246" t="str">
            <v>10.187.200.209</v>
          </cell>
          <cell r="I246" t="str">
            <v>/28</v>
          </cell>
          <cell r="J246">
            <v>802</v>
          </cell>
          <cell r="K246" t="str">
            <v>10.187.202.212</v>
          </cell>
          <cell r="L246" t="str">
            <v>10.187.202.209</v>
          </cell>
          <cell r="M246" t="str">
            <v>/28</v>
          </cell>
          <cell r="N246">
            <v>812</v>
          </cell>
          <cell r="O246" t="str">
            <v>10.187.204.212</v>
          </cell>
          <cell r="P246" t="str">
            <v>10.187.204.209</v>
          </cell>
          <cell r="Q246" t="str">
            <v>/28</v>
          </cell>
          <cell r="R246">
            <v>822</v>
          </cell>
        </row>
        <row r="247">
          <cell r="E247" t="str">
            <v>AC164</v>
          </cell>
          <cell r="F247" t="str">
            <v>AC211</v>
          </cell>
          <cell r="G247" t="str">
            <v>10.187.200.213</v>
          </cell>
          <cell r="H247" t="str">
            <v>10.187.200.209</v>
          </cell>
          <cell r="I247" t="str">
            <v>/28</v>
          </cell>
          <cell r="J247">
            <v>802</v>
          </cell>
          <cell r="K247" t="str">
            <v>10.187.202.213</v>
          </cell>
          <cell r="L247" t="str">
            <v>10.187.202.209</v>
          </cell>
          <cell r="M247" t="str">
            <v>/28</v>
          </cell>
          <cell r="N247">
            <v>812</v>
          </cell>
          <cell r="O247" t="str">
            <v>10.187.204.213</v>
          </cell>
          <cell r="P247" t="str">
            <v>10.187.204.209</v>
          </cell>
          <cell r="Q247" t="str">
            <v>/28</v>
          </cell>
          <cell r="R247">
            <v>822</v>
          </cell>
        </row>
        <row r="248">
          <cell r="E248" t="str">
            <v>AC164</v>
          </cell>
          <cell r="G248" t="str">
            <v>10.187.200.214</v>
          </cell>
          <cell r="H248" t="str">
            <v>10.187.200.209</v>
          </cell>
          <cell r="I248" t="str">
            <v>/28</v>
          </cell>
          <cell r="J248">
            <v>802</v>
          </cell>
          <cell r="K248" t="str">
            <v>10.187.202.214</v>
          </cell>
          <cell r="L248" t="str">
            <v>10.187.202.209</v>
          </cell>
          <cell r="M248" t="str">
            <v>/28</v>
          </cell>
          <cell r="N248">
            <v>812</v>
          </cell>
          <cell r="O248" t="str">
            <v>10.187.204.214</v>
          </cell>
          <cell r="P248" t="str">
            <v>10.187.204.209</v>
          </cell>
          <cell r="Q248" t="str">
            <v>/28</v>
          </cell>
          <cell r="R248">
            <v>822</v>
          </cell>
        </row>
        <row r="249">
          <cell r="E249" t="str">
            <v>AC164</v>
          </cell>
          <cell r="F249" t="str">
            <v>AC462</v>
          </cell>
          <cell r="G249" t="str">
            <v>10.187.200.215</v>
          </cell>
          <cell r="H249" t="str">
            <v>10.187.200.209</v>
          </cell>
          <cell r="I249" t="str">
            <v>/28</v>
          </cell>
          <cell r="J249">
            <v>802</v>
          </cell>
          <cell r="K249" t="str">
            <v>10.187.202.215</v>
          </cell>
          <cell r="L249" t="str">
            <v>10.187.202.209</v>
          </cell>
          <cell r="M249" t="str">
            <v>/28</v>
          </cell>
          <cell r="N249">
            <v>812</v>
          </cell>
          <cell r="O249" t="str">
            <v>10.187.204.215</v>
          </cell>
          <cell r="P249" t="str">
            <v>10.187.204.209</v>
          </cell>
          <cell r="Q249" t="str">
            <v>/28</v>
          </cell>
          <cell r="R249">
            <v>822</v>
          </cell>
        </row>
        <row r="250">
          <cell r="E250" t="str">
            <v>AC164</v>
          </cell>
          <cell r="F250" t="str">
            <v>AC554</v>
          </cell>
          <cell r="G250" t="str">
            <v>10.187.200.216</v>
          </cell>
          <cell r="H250" t="str">
            <v>10.187.200.209</v>
          </cell>
          <cell r="I250" t="str">
            <v>/28</v>
          </cell>
          <cell r="J250">
            <v>802</v>
          </cell>
          <cell r="K250" t="str">
            <v>10.187.202.216</v>
          </cell>
          <cell r="L250" t="str">
            <v>10.187.202.209</v>
          </cell>
          <cell r="M250" t="str">
            <v>/28</v>
          </cell>
          <cell r="N250">
            <v>812</v>
          </cell>
          <cell r="O250" t="str">
            <v>10.187.204.216</v>
          </cell>
          <cell r="P250" t="str">
            <v>10.187.204.209</v>
          </cell>
          <cell r="Q250" t="str">
            <v>/28</v>
          </cell>
          <cell r="R250">
            <v>822</v>
          </cell>
        </row>
        <row r="251">
          <cell r="E251" t="str">
            <v>AC164</v>
          </cell>
          <cell r="F251" t="str">
            <v>ET584</v>
          </cell>
          <cell r="G251" t="str">
            <v>10.187.200.217</v>
          </cell>
          <cell r="H251" t="str">
            <v>10.187.200.209</v>
          </cell>
          <cell r="I251" t="str">
            <v>/28</v>
          </cell>
          <cell r="J251">
            <v>802</v>
          </cell>
          <cell r="K251" t="str">
            <v>10.187.202.217</v>
          </cell>
          <cell r="L251" t="str">
            <v>10.187.202.209</v>
          </cell>
          <cell r="M251" t="str">
            <v>/28</v>
          </cell>
          <cell r="N251">
            <v>812</v>
          </cell>
          <cell r="O251" t="str">
            <v>10.187.204.217</v>
          </cell>
          <cell r="P251" t="str">
            <v>10.187.204.209</v>
          </cell>
          <cell r="Q251" t="str">
            <v>/28</v>
          </cell>
          <cell r="R251">
            <v>822</v>
          </cell>
        </row>
        <row r="252">
          <cell r="E252" t="str">
            <v>AC164</v>
          </cell>
          <cell r="F252" t="str">
            <v>AC932</v>
          </cell>
          <cell r="G252" t="str">
            <v>10.187.200.218</v>
          </cell>
          <cell r="H252" t="str">
            <v>10.187.200.209</v>
          </cell>
          <cell r="I252" t="str">
            <v>/28</v>
          </cell>
          <cell r="J252">
            <v>802</v>
          </cell>
          <cell r="K252" t="str">
            <v>10.187.202.218</v>
          </cell>
          <cell r="L252" t="str">
            <v>10.187.202.209</v>
          </cell>
          <cell r="M252" t="str">
            <v>/28</v>
          </cell>
          <cell r="N252">
            <v>812</v>
          </cell>
          <cell r="O252" t="str">
            <v>10.187.204.218</v>
          </cell>
          <cell r="P252" t="str">
            <v>10.187.204.209</v>
          </cell>
          <cell r="Q252" t="str">
            <v>/28</v>
          </cell>
          <cell r="R252">
            <v>822</v>
          </cell>
        </row>
        <row r="253">
          <cell r="E253" t="str">
            <v>AC164</v>
          </cell>
          <cell r="F253" t="str">
            <v>ET355</v>
          </cell>
          <cell r="G253" t="str">
            <v>10.187.200.219</v>
          </cell>
          <cell r="H253" t="str">
            <v>10.187.200.209</v>
          </cell>
          <cell r="I253" t="str">
            <v>/28</v>
          </cell>
          <cell r="J253">
            <v>802</v>
          </cell>
          <cell r="K253" t="str">
            <v>10.187.202.219</v>
          </cell>
          <cell r="L253" t="str">
            <v>10.187.202.209</v>
          </cell>
          <cell r="M253" t="str">
            <v>/28</v>
          </cell>
          <cell r="N253">
            <v>812</v>
          </cell>
          <cell r="O253" t="str">
            <v>10.187.204.219</v>
          </cell>
          <cell r="P253" t="str">
            <v>10.187.204.209</v>
          </cell>
          <cell r="Q253" t="str">
            <v>/28</v>
          </cell>
          <cell r="R253">
            <v>822</v>
          </cell>
        </row>
        <row r="254">
          <cell r="E254" t="str">
            <v>AC164</v>
          </cell>
          <cell r="F254" t="str">
            <v>ET356</v>
          </cell>
          <cell r="G254" t="str">
            <v>10.187.200.220</v>
          </cell>
          <cell r="H254" t="str">
            <v>10.187.200.209</v>
          </cell>
          <cell r="I254" t="str">
            <v>/28</v>
          </cell>
          <cell r="J254">
            <v>802</v>
          </cell>
          <cell r="K254" t="str">
            <v>10.187.202.220</v>
          </cell>
          <cell r="L254" t="str">
            <v>10.187.202.209</v>
          </cell>
          <cell r="M254" t="str">
            <v>/28</v>
          </cell>
          <cell r="N254">
            <v>812</v>
          </cell>
          <cell r="O254" t="str">
            <v>10.187.204.220</v>
          </cell>
          <cell r="P254" t="str">
            <v>10.187.204.209</v>
          </cell>
          <cell r="Q254" t="str">
            <v>/28</v>
          </cell>
          <cell r="R254">
            <v>822</v>
          </cell>
        </row>
        <row r="255">
          <cell r="E255" t="str">
            <v>AC164</v>
          </cell>
          <cell r="F255" t="str">
            <v>ET489</v>
          </cell>
          <cell r="G255" t="str">
            <v>10.187.200.221</v>
          </cell>
          <cell r="H255" t="str">
            <v>10.187.200.209</v>
          </cell>
          <cell r="I255" t="str">
            <v>/28</v>
          </cell>
          <cell r="J255">
            <v>802</v>
          </cell>
          <cell r="K255" t="str">
            <v>10.187.202.221</v>
          </cell>
          <cell r="L255" t="str">
            <v>10.187.202.209</v>
          </cell>
          <cell r="M255" t="str">
            <v>/28</v>
          </cell>
          <cell r="N255">
            <v>812</v>
          </cell>
          <cell r="O255" t="str">
            <v>10.187.204.221</v>
          </cell>
          <cell r="P255" t="str">
            <v>10.187.204.209</v>
          </cell>
          <cell r="Q255" t="str">
            <v>/28</v>
          </cell>
          <cell r="R255">
            <v>822</v>
          </cell>
        </row>
        <row r="256">
          <cell r="E256" t="str">
            <v>AC164</v>
          </cell>
          <cell r="F256" t="str">
            <v>AC164</v>
          </cell>
          <cell r="G256" t="str">
            <v>10.187.200.222</v>
          </cell>
          <cell r="H256" t="str">
            <v>10.187.200.209</v>
          </cell>
          <cell r="I256" t="str">
            <v>/28</v>
          </cell>
          <cell r="J256">
            <v>802</v>
          </cell>
          <cell r="K256" t="str">
            <v>10.187.202.222</v>
          </cell>
          <cell r="L256" t="str">
            <v>10.187.202.209</v>
          </cell>
          <cell r="M256" t="str">
            <v>/28</v>
          </cell>
          <cell r="N256">
            <v>812</v>
          </cell>
          <cell r="O256" t="str">
            <v>10.187.204.222</v>
          </cell>
          <cell r="P256" t="str">
            <v>10.187.204.209</v>
          </cell>
          <cell r="Q256" t="str">
            <v>/28</v>
          </cell>
          <cell r="R256">
            <v>822</v>
          </cell>
        </row>
        <row r="257">
          <cell r="E257" t="str">
            <v>AC164</v>
          </cell>
          <cell r="G257" t="str">
            <v>10.187.200.223</v>
          </cell>
          <cell r="H257" t="str">
            <v>10.187.200.209</v>
          </cell>
          <cell r="I257" t="str">
            <v>/28</v>
          </cell>
          <cell r="J257">
            <v>802</v>
          </cell>
          <cell r="K257" t="str">
            <v>10.187.202.223</v>
          </cell>
          <cell r="L257" t="str">
            <v>10.187.202.209</v>
          </cell>
          <cell r="M257" t="str">
            <v>/28</v>
          </cell>
          <cell r="N257">
            <v>812</v>
          </cell>
          <cell r="O257" t="str">
            <v>10.187.204.223</v>
          </cell>
          <cell r="P257" t="str">
            <v>10.187.204.209</v>
          </cell>
          <cell r="Q257" t="str">
            <v>/28</v>
          </cell>
          <cell r="R257">
            <v>822</v>
          </cell>
        </row>
        <row r="258">
          <cell r="E258" t="str">
            <v>AC164</v>
          </cell>
          <cell r="G258" t="str">
            <v>10.187.207.0</v>
          </cell>
          <cell r="H258" t="str">
            <v>10.187.207.1</v>
          </cell>
          <cell r="I258" t="str">
            <v>/28</v>
          </cell>
          <cell r="J258">
            <v>800</v>
          </cell>
          <cell r="K258" t="str">
            <v>10.187.207.64</v>
          </cell>
          <cell r="L258" t="str">
            <v>10.187.207.65</v>
          </cell>
          <cell r="M258" t="str">
            <v>/28</v>
          </cell>
          <cell r="N258">
            <v>810</v>
          </cell>
          <cell r="O258" t="str">
            <v>10.187.207.128</v>
          </cell>
          <cell r="P258" t="str">
            <v>10.187.207.129</v>
          </cell>
          <cell r="Q258" t="str">
            <v>/28</v>
          </cell>
          <cell r="R258">
            <v>820</v>
          </cell>
        </row>
        <row r="259">
          <cell r="E259" t="str">
            <v>AC164</v>
          </cell>
          <cell r="G259" t="str">
            <v>10.187.207.1</v>
          </cell>
          <cell r="H259" t="str">
            <v>10.187.207.1</v>
          </cell>
          <cell r="I259" t="str">
            <v>/28</v>
          </cell>
          <cell r="J259">
            <v>800</v>
          </cell>
          <cell r="K259" t="str">
            <v>10.187.207.65</v>
          </cell>
          <cell r="L259" t="str">
            <v>10.187.207.65</v>
          </cell>
          <cell r="M259" t="str">
            <v>/28</v>
          </cell>
          <cell r="N259">
            <v>810</v>
          </cell>
          <cell r="O259" t="str">
            <v>10.187.207.129</v>
          </cell>
          <cell r="P259" t="str">
            <v>10.187.207.129</v>
          </cell>
          <cell r="Q259" t="str">
            <v>/28</v>
          </cell>
          <cell r="R259">
            <v>820</v>
          </cell>
        </row>
        <row r="260">
          <cell r="E260" t="str">
            <v>AC164</v>
          </cell>
          <cell r="F260" t="str">
            <v>AC211</v>
          </cell>
          <cell r="G260" t="str">
            <v>10.187.207.2</v>
          </cell>
          <cell r="H260" t="str">
            <v>10.187.207.1</v>
          </cell>
          <cell r="I260" t="str">
            <v>/28</v>
          </cell>
          <cell r="J260">
            <v>800</v>
          </cell>
          <cell r="K260" t="str">
            <v>10.187.207.66</v>
          </cell>
          <cell r="L260" t="str">
            <v>10.187.207.65</v>
          </cell>
          <cell r="M260" t="str">
            <v>/28</v>
          </cell>
          <cell r="N260">
            <v>810</v>
          </cell>
          <cell r="O260" t="str">
            <v>10.187.207.130</v>
          </cell>
          <cell r="P260" t="str">
            <v>10.187.207.129</v>
          </cell>
          <cell r="Q260" t="str">
            <v>/28</v>
          </cell>
          <cell r="R260">
            <v>820</v>
          </cell>
        </row>
        <row r="261">
          <cell r="E261" t="str">
            <v>AC164</v>
          </cell>
          <cell r="F261" t="str">
            <v>AC803</v>
          </cell>
          <cell r="G261" t="str">
            <v>10.187.207.3</v>
          </cell>
          <cell r="H261" t="str">
            <v>10.187.207.1</v>
          </cell>
          <cell r="I261" t="str">
            <v>/28</v>
          </cell>
          <cell r="J261">
            <v>800</v>
          </cell>
          <cell r="K261" t="str">
            <v>10.187.207.67</v>
          </cell>
          <cell r="L261" t="str">
            <v>10.187.207.65</v>
          </cell>
          <cell r="M261" t="str">
            <v>/28</v>
          </cell>
          <cell r="N261">
            <v>810</v>
          </cell>
          <cell r="O261" t="str">
            <v>10.187.207.131</v>
          </cell>
          <cell r="P261" t="str">
            <v>10.187.207.129</v>
          </cell>
          <cell r="Q261" t="str">
            <v>/28</v>
          </cell>
          <cell r="R261">
            <v>820</v>
          </cell>
        </row>
        <row r="262">
          <cell r="E262" t="str">
            <v>AC164</v>
          </cell>
          <cell r="F262" t="str">
            <v>AC803</v>
          </cell>
          <cell r="G262" t="str">
            <v>10.187.207.4</v>
          </cell>
          <cell r="H262" t="str">
            <v>10.187.207.1</v>
          </cell>
          <cell r="I262" t="str">
            <v>/28</v>
          </cell>
          <cell r="J262">
            <v>800</v>
          </cell>
          <cell r="K262" t="str">
            <v>10.187.207.68</v>
          </cell>
          <cell r="L262" t="str">
            <v>10.187.207.65</v>
          </cell>
          <cell r="M262" t="str">
            <v>/28</v>
          </cell>
          <cell r="N262">
            <v>810</v>
          </cell>
          <cell r="O262" t="str">
            <v>10.187.207.132</v>
          </cell>
          <cell r="P262" t="str">
            <v>10.187.207.129</v>
          </cell>
          <cell r="Q262" t="str">
            <v>/28</v>
          </cell>
          <cell r="R262">
            <v>820</v>
          </cell>
        </row>
        <row r="263">
          <cell r="E263" t="str">
            <v>AC164</v>
          </cell>
          <cell r="F263" t="str">
            <v>ET571</v>
          </cell>
          <cell r="G263" t="str">
            <v>10.187.207.5</v>
          </cell>
          <cell r="H263" t="str">
            <v>10.187.207.1</v>
          </cell>
          <cell r="I263" t="str">
            <v>/28</v>
          </cell>
          <cell r="J263">
            <v>800</v>
          </cell>
          <cell r="K263" t="str">
            <v>10.187.207.69</v>
          </cell>
          <cell r="L263" t="str">
            <v>10.187.207.65</v>
          </cell>
          <cell r="M263" t="str">
            <v>/28</v>
          </cell>
          <cell r="N263">
            <v>810</v>
          </cell>
          <cell r="O263" t="str">
            <v>10.187.207.133</v>
          </cell>
          <cell r="P263" t="str">
            <v>10.187.207.129</v>
          </cell>
          <cell r="Q263" t="str">
            <v>/28</v>
          </cell>
          <cell r="R263">
            <v>820</v>
          </cell>
        </row>
        <row r="264">
          <cell r="E264" t="str">
            <v>AC164</v>
          </cell>
          <cell r="F264" t="str">
            <v>ET571</v>
          </cell>
          <cell r="G264" t="str">
            <v>10.187.207.6</v>
          </cell>
          <cell r="H264" t="str">
            <v>10.187.207.1</v>
          </cell>
          <cell r="I264" t="str">
            <v>/28</v>
          </cell>
          <cell r="J264">
            <v>800</v>
          </cell>
          <cell r="K264" t="str">
            <v>10.187.207.70</v>
          </cell>
          <cell r="L264" t="str">
            <v>10.187.207.65</v>
          </cell>
          <cell r="M264" t="str">
            <v>/28</v>
          </cell>
          <cell r="N264">
            <v>810</v>
          </cell>
          <cell r="O264" t="str">
            <v>10.187.207.134</v>
          </cell>
          <cell r="P264" t="str">
            <v>10.187.207.129</v>
          </cell>
          <cell r="Q264" t="str">
            <v>/28</v>
          </cell>
          <cell r="R264">
            <v>820</v>
          </cell>
        </row>
        <row r="265">
          <cell r="E265" t="str">
            <v>AC164</v>
          </cell>
          <cell r="G265" t="str">
            <v>10.187.207.7</v>
          </cell>
          <cell r="H265" t="str">
            <v>10.187.207.1</v>
          </cell>
          <cell r="I265" t="str">
            <v>/28</v>
          </cell>
          <cell r="J265">
            <v>800</v>
          </cell>
          <cell r="K265" t="str">
            <v>10.187.207.71</v>
          </cell>
          <cell r="L265" t="str">
            <v>10.187.207.65</v>
          </cell>
          <cell r="M265" t="str">
            <v>/28</v>
          </cell>
          <cell r="N265">
            <v>810</v>
          </cell>
          <cell r="O265" t="str">
            <v>10.187.207.135</v>
          </cell>
          <cell r="P265" t="str">
            <v>10.187.207.129</v>
          </cell>
          <cell r="Q265" t="str">
            <v>/28</v>
          </cell>
          <cell r="R265">
            <v>820</v>
          </cell>
        </row>
        <row r="266">
          <cell r="E266" t="str">
            <v>AC164</v>
          </cell>
          <cell r="G266" t="str">
            <v>10.187.207.8</v>
          </cell>
          <cell r="H266" t="str">
            <v>10.187.207.1</v>
          </cell>
          <cell r="I266" t="str">
            <v>/28</v>
          </cell>
          <cell r="J266">
            <v>800</v>
          </cell>
          <cell r="K266" t="str">
            <v>10.187.207.72</v>
          </cell>
          <cell r="L266" t="str">
            <v>10.187.207.65</v>
          </cell>
          <cell r="M266" t="str">
            <v>/28</v>
          </cell>
          <cell r="N266">
            <v>810</v>
          </cell>
          <cell r="O266" t="str">
            <v>10.187.207.136</v>
          </cell>
          <cell r="P266" t="str">
            <v>10.187.207.129</v>
          </cell>
          <cell r="Q266" t="str">
            <v>/28</v>
          </cell>
          <cell r="R266">
            <v>820</v>
          </cell>
        </row>
        <row r="267">
          <cell r="E267" t="str">
            <v>AC164</v>
          </cell>
          <cell r="F267" t="str">
            <v>AC462</v>
          </cell>
          <cell r="G267" t="str">
            <v>10.187.207.9</v>
          </cell>
          <cell r="H267" t="str">
            <v>10.187.207.1</v>
          </cell>
          <cell r="I267" t="str">
            <v>/28</v>
          </cell>
          <cell r="J267">
            <v>800</v>
          </cell>
          <cell r="K267" t="str">
            <v>10.187.207.73</v>
          </cell>
          <cell r="L267" t="str">
            <v>10.187.207.65</v>
          </cell>
          <cell r="M267" t="str">
            <v>/28</v>
          </cell>
          <cell r="N267">
            <v>810</v>
          </cell>
          <cell r="O267" t="str">
            <v>10.187.207.137</v>
          </cell>
          <cell r="P267" t="str">
            <v>10.187.207.129</v>
          </cell>
          <cell r="Q267" t="str">
            <v>/28</v>
          </cell>
          <cell r="R267">
            <v>820</v>
          </cell>
        </row>
        <row r="268">
          <cell r="E268" t="str">
            <v>AC164</v>
          </cell>
          <cell r="F268" t="str">
            <v>AC554</v>
          </cell>
          <cell r="G268" t="str">
            <v>10.187.207.10</v>
          </cell>
          <cell r="H268" t="str">
            <v>10.187.207.1</v>
          </cell>
          <cell r="I268" t="str">
            <v>/28</v>
          </cell>
          <cell r="J268">
            <v>800</v>
          </cell>
          <cell r="K268" t="str">
            <v>10.187.207.74</v>
          </cell>
          <cell r="L268" t="str">
            <v>10.187.207.65</v>
          </cell>
          <cell r="M268" t="str">
            <v>/28</v>
          </cell>
          <cell r="N268">
            <v>810</v>
          </cell>
          <cell r="O268" t="str">
            <v>10.187.207.138</v>
          </cell>
          <cell r="P268" t="str">
            <v>10.187.207.129</v>
          </cell>
          <cell r="Q268" t="str">
            <v>/28</v>
          </cell>
          <cell r="R268">
            <v>820</v>
          </cell>
        </row>
        <row r="269">
          <cell r="E269" t="str">
            <v>AC164</v>
          </cell>
          <cell r="G269" t="str">
            <v>10.187.207.11</v>
          </cell>
          <cell r="H269" t="str">
            <v>10.187.207.1</v>
          </cell>
          <cell r="I269" t="str">
            <v>/28</v>
          </cell>
          <cell r="J269">
            <v>800</v>
          </cell>
          <cell r="K269" t="str">
            <v>10.187.207.75</v>
          </cell>
          <cell r="L269" t="str">
            <v>10.187.207.65</v>
          </cell>
          <cell r="M269" t="str">
            <v>/28</v>
          </cell>
          <cell r="N269">
            <v>810</v>
          </cell>
          <cell r="O269" t="str">
            <v>10.187.207.139</v>
          </cell>
          <cell r="P269" t="str">
            <v>10.187.207.129</v>
          </cell>
          <cell r="Q269" t="str">
            <v>/28</v>
          </cell>
          <cell r="R269">
            <v>820</v>
          </cell>
        </row>
        <row r="270">
          <cell r="E270" t="str">
            <v>AC164</v>
          </cell>
          <cell r="F270" t="str">
            <v>ET716</v>
          </cell>
          <cell r="G270" t="str">
            <v>10.187.207.12</v>
          </cell>
          <cell r="H270" t="str">
            <v>10.187.207.1</v>
          </cell>
          <cell r="I270" t="str">
            <v>/28</v>
          </cell>
          <cell r="J270">
            <v>800</v>
          </cell>
          <cell r="K270" t="str">
            <v>10.187.207.76</v>
          </cell>
          <cell r="L270" t="str">
            <v>10.187.207.65</v>
          </cell>
          <cell r="M270" t="str">
            <v>/28</v>
          </cell>
          <cell r="N270">
            <v>810</v>
          </cell>
          <cell r="O270" t="str">
            <v>10.187.207.140</v>
          </cell>
          <cell r="P270" t="str">
            <v>10.187.207.129</v>
          </cell>
          <cell r="Q270" t="str">
            <v>/28</v>
          </cell>
          <cell r="R270">
            <v>820</v>
          </cell>
        </row>
        <row r="271">
          <cell r="E271" t="str">
            <v>AC164</v>
          </cell>
          <cell r="F271" t="str">
            <v>ET716</v>
          </cell>
          <cell r="G271" t="str">
            <v>10.187.207.13</v>
          </cell>
          <cell r="H271" t="str">
            <v>10.187.207.1</v>
          </cell>
          <cell r="I271" t="str">
            <v>/28</v>
          </cell>
          <cell r="J271">
            <v>800</v>
          </cell>
          <cell r="K271" t="str">
            <v>10.187.207.77</v>
          </cell>
          <cell r="L271" t="str">
            <v>10.187.207.65</v>
          </cell>
          <cell r="M271" t="str">
            <v>/28</v>
          </cell>
          <cell r="N271">
            <v>810</v>
          </cell>
          <cell r="O271" t="str">
            <v>10.187.207.141</v>
          </cell>
          <cell r="P271" t="str">
            <v>10.187.207.129</v>
          </cell>
          <cell r="Q271" t="str">
            <v>/28</v>
          </cell>
          <cell r="R271">
            <v>820</v>
          </cell>
        </row>
        <row r="272">
          <cell r="E272" t="str">
            <v>AC164</v>
          </cell>
          <cell r="F272" t="str">
            <v>AC533</v>
          </cell>
          <cell r="G272" t="str">
            <v>10.187.207.14</v>
          </cell>
          <cell r="H272" t="str">
            <v>10.187.207.1</v>
          </cell>
          <cell r="I272" t="str">
            <v>/28</v>
          </cell>
          <cell r="J272">
            <v>800</v>
          </cell>
          <cell r="K272" t="str">
            <v>10.187.207.78</v>
          </cell>
          <cell r="L272" t="str">
            <v>10.187.207.65</v>
          </cell>
          <cell r="M272" t="str">
            <v>/28</v>
          </cell>
          <cell r="N272">
            <v>810</v>
          </cell>
          <cell r="O272" t="str">
            <v>10.187.207.142</v>
          </cell>
          <cell r="P272" t="str">
            <v>10.187.207.129</v>
          </cell>
          <cell r="Q272" t="str">
            <v>/28</v>
          </cell>
          <cell r="R272">
            <v>820</v>
          </cell>
        </row>
        <row r="273">
          <cell r="E273" t="str">
            <v>AC164</v>
          </cell>
          <cell r="G273" t="str">
            <v>10.187.207.15</v>
          </cell>
          <cell r="H273" t="str">
            <v>10.187.207.1</v>
          </cell>
          <cell r="I273" t="str">
            <v>/28</v>
          </cell>
          <cell r="J273">
            <v>800</v>
          </cell>
          <cell r="K273" t="str">
            <v>10.187.207.79</v>
          </cell>
          <cell r="L273" t="str">
            <v>10.187.207.65</v>
          </cell>
          <cell r="M273" t="str">
            <v>/28</v>
          </cell>
          <cell r="N273">
            <v>810</v>
          </cell>
          <cell r="O273" t="str">
            <v>10.187.207.143</v>
          </cell>
          <cell r="P273" t="str">
            <v>10.187.207.129</v>
          </cell>
          <cell r="Q273" t="str">
            <v>/28</v>
          </cell>
          <cell r="R273">
            <v>820</v>
          </cell>
        </row>
        <row r="274">
          <cell r="E274" t="str">
            <v>AC164</v>
          </cell>
          <cell r="G274" t="str">
            <v>10.188.27.128</v>
          </cell>
          <cell r="H274" t="str">
            <v>10.188.27.129</v>
          </cell>
          <cell r="I274" t="str">
            <v>/26</v>
          </cell>
          <cell r="J274">
            <v>805</v>
          </cell>
          <cell r="K274" t="str">
            <v>10.188.29.128</v>
          </cell>
          <cell r="L274" t="str">
            <v>10.188.29.129</v>
          </cell>
          <cell r="M274" t="str">
            <v>/26</v>
          </cell>
          <cell r="N274">
            <v>815</v>
          </cell>
          <cell r="O274" t="str">
            <v>10.188.31.128</v>
          </cell>
          <cell r="P274" t="str">
            <v>10.188.31.129</v>
          </cell>
          <cell r="Q274" t="str">
            <v>/26</v>
          </cell>
          <cell r="R274">
            <v>825</v>
          </cell>
        </row>
        <row r="275">
          <cell r="E275" t="str">
            <v>AC164</v>
          </cell>
          <cell r="G275" t="str">
            <v>10.188.27.129</v>
          </cell>
          <cell r="H275" t="str">
            <v>10.188.27.129</v>
          </cell>
          <cell r="I275" t="str">
            <v>/26</v>
          </cell>
          <cell r="J275">
            <v>805</v>
          </cell>
          <cell r="K275" t="str">
            <v>10.188.29.129</v>
          </cell>
          <cell r="L275" t="str">
            <v>10.188.29.129</v>
          </cell>
          <cell r="M275" t="str">
            <v>/26</v>
          </cell>
          <cell r="N275">
            <v>815</v>
          </cell>
          <cell r="O275" t="str">
            <v>10.188.31.129</v>
          </cell>
          <cell r="P275" t="str">
            <v>10.188.31.129</v>
          </cell>
          <cell r="Q275" t="str">
            <v>/26</v>
          </cell>
          <cell r="R275">
            <v>825</v>
          </cell>
        </row>
        <row r="276">
          <cell r="E276" t="str">
            <v>AC164</v>
          </cell>
          <cell r="G276" t="str">
            <v>10.188.27.130</v>
          </cell>
          <cell r="H276" t="str">
            <v>10.188.27.129</v>
          </cell>
          <cell r="I276" t="str">
            <v>/26</v>
          </cell>
          <cell r="J276">
            <v>805</v>
          </cell>
          <cell r="K276" t="str">
            <v>10.188.29.130</v>
          </cell>
          <cell r="L276" t="str">
            <v>10.188.29.129</v>
          </cell>
          <cell r="M276" t="str">
            <v>/26</v>
          </cell>
          <cell r="N276">
            <v>815</v>
          </cell>
          <cell r="O276" t="str">
            <v>10.188.31.130</v>
          </cell>
          <cell r="P276" t="str">
            <v>10.188.31.129</v>
          </cell>
          <cell r="Q276" t="str">
            <v>/26</v>
          </cell>
          <cell r="R276">
            <v>825</v>
          </cell>
        </row>
        <row r="277">
          <cell r="E277" t="str">
            <v>AC164</v>
          </cell>
          <cell r="G277" t="str">
            <v>10.188.27.131</v>
          </cell>
          <cell r="H277" t="str">
            <v>10.188.27.129</v>
          </cell>
          <cell r="I277" t="str">
            <v>/26</v>
          </cell>
          <cell r="J277">
            <v>805</v>
          </cell>
          <cell r="K277" t="str">
            <v>10.188.29.131</v>
          </cell>
          <cell r="L277" t="str">
            <v>10.188.29.129</v>
          </cell>
          <cell r="M277" t="str">
            <v>/26</v>
          </cell>
          <cell r="N277">
            <v>815</v>
          </cell>
          <cell r="O277" t="str">
            <v>10.188.31.131</v>
          </cell>
          <cell r="P277" t="str">
            <v>10.188.31.129</v>
          </cell>
          <cell r="Q277" t="str">
            <v>/26</v>
          </cell>
          <cell r="R277">
            <v>825</v>
          </cell>
        </row>
        <row r="278">
          <cell r="E278" t="str">
            <v>AC164</v>
          </cell>
          <cell r="F278" t="str">
            <v>ET771</v>
          </cell>
          <cell r="G278" t="str">
            <v>10.188.27.132</v>
          </cell>
          <cell r="H278" t="str">
            <v>10.188.27.129</v>
          </cell>
          <cell r="I278" t="str">
            <v>/26</v>
          </cell>
          <cell r="J278">
            <v>805</v>
          </cell>
          <cell r="K278" t="str">
            <v>10.188.29.132</v>
          </cell>
          <cell r="L278" t="str">
            <v>10.188.29.129</v>
          </cell>
          <cell r="M278" t="str">
            <v>/26</v>
          </cell>
          <cell r="N278">
            <v>815</v>
          </cell>
          <cell r="O278" t="str">
            <v>10.188.31.132</v>
          </cell>
          <cell r="P278" t="str">
            <v>10.188.31.129</v>
          </cell>
          <cell r="Q278" t="str">
            <v>/26</v>
          </cell>
          <cell r="R278">
            <v>825</v>
          </cell>
        </row>
        <row r="279">
          <cell r="E279" t="str">
            <v>AC164</v>
          </cell>
          <cell r="F279" t="str">
            <v>ET771</v>
          </cell>
          <cell r="G279" t="str">
            <v>10.188.27.133</v>
          </cell>
          <cell r="H279" t="str">
            <v>10.188.27.129</v>
          </cell>
          <cell r="I279" t="str">
            <v>/26</v>
          </cell>
          <cell r="J279">
            <v>805</v>
          </cell>
          <cell r="K279" t="str">
            <v>10.188.29.133</v>
          </cell>
          <cell r="L279" t="str">
            <v>10.188.29.129</v>
          </cell>
          <cell r="M279" t="str">
            <v>/26</v>
          </cell>
          <cell r="N279">
            <v>815</v>
          </cell>
          <cell r="O279" t="str">
            <v>10.188.31.133</v>
          </cell>
          <cell r="P279" t="str">
            <v>10.188.31.129</v>
          </cell>
          <cell r="Q279" t="str">
            <v>/26</v>
          </cell>
          <cell r="R279">
            <v>825</v>
          </cell>
        </row>
        <row r="280">
          <cell r="E280" t="str">
            <v>AC164</v>
          </cell>
          <cell r="F280" t="str">
            <v>ET772</v>
          </cell>
          <cell r="G280" t="str">
            <v>10.188.27.134</v>
          </cell>
          <cell r="H280" t="str">
            <v>10.188.27.129</v>
          </cell>
          <cell r="I280" t="str">
            <v>/26</v>
          </cell>
          <cell r="J280">
            <v>805</v>
          </cell>
          <cell r="K280" t="str">
            <v>10.188.29.134</v>
          </cell>
          <cell r="L280" t="str">
            <v>10.188.29.129</v>
          </cell>
          <cell r="M280" t="str">
            <v>/26</v>
          </cell>
          <cell r="N280">
            <v>815</v>
          </cell>
          <cell r="O280" t="str">
            <v>10.188.31.134</v>
          </cell>
          <cell r="P280" t="str">
            <v>10.188.31.129</v>
          </cell>
          <cell r="Q280" t="str">
            <v>/26</v>
          </cell>
          <cell r="R280">
            <v>825</v>
          </cell>
        </row>
        <row r="281">
          <cell r="E281" t="str">
            <v>AC164</v>
          </cell>
          <cell r="F281" t="str">
            <v>ET772</v>
          </cell>
          <cell r="G281" t="str">
            <v>10.188.27.135</v>
          </cell>
          <cell r="H281" t="str">
            <v>10.188.27.129</v>
          </cell>
          <cell r="I281" t="str">
            <v>/26</v>
          </cell>
          <cell r="J281">
            <v>805</v>
          </cell>
          <cell r="K281" t="str">
            <v>10.188.29.135</v>
          </cell>
          <cell r="L281" t="str">
            <v>10.188.29.129</v>
          </cell>
          <cell r="M281" t="str">
            <v>/26</v>
          </cell>
          <cell r="N281">
            <v>815</v>
          </cell>
          <cell r="O281" t="str">
            <v>10.188.31.135</v>
          </cell>
          <cell r="P281" t="str">
            <v>10.188.31.129</v>
          </cell>
          <cell r="Q281" t="str">
            <v>/26</v>
          </cell>
          <cell r="R281">
            <v>825</v>
          </cell>
        </row>
        <row r="282">
          <cell r="E282" t="str">
            <v>AC164</v>
          </cell>
          <cell r="F282" t="str">
            <v>ET489</v>
          </cell>
          <cell r="G282" t="str">
            <v>10.188.27.136</v>
          </cell>
          <cell r="H282" t="str">
            <v>10.188.27.129</v>
          </cell>
          <cell r="I282" t="str">
            <v>/26</v>
          </cell>
          <cell r="J282">
            <v>805</v>
          </cell>
          <cell r="K282" t="str">
            <v>10.188.29.136</v>
          </cell>
          <cell r="L282" t="str">
            <v>10.188.29.129</v>
          </cell>
          <cell r="M282" t="str">
            <v>/26</v>
          </cell>
          <cell r="N282">
            <v>815</v>
          </cell>
          <cell r="O282" t="str">
            <v>10.188.31.136</v>
          </cell>
          <cell r="P282" t="str">
            <v>10.188.31.129</v>
          </cell>
          <cell r="Q282" t="str">
            <v>/26</v>
          </cell>
          <cell r="R282">
            <v>825</v>
          </cell>
        </row>
        <row r="283">
          <cell r="E283" t="str">
            <v>AC164</v>
          </cell>
          <cell r="F283" t="str">
            <v>AC534</v>
          </cell>
          <cell r="G283" t="str">
            <v>10.188.27.137</v>
          </cell>
          <cell r="H283" t="str">
            <v>10.188.27.129</v>
          </cell>
          <cell r="I283" t="str">
            <v>/26</v>
          </cell>
          <cell r="J283">
            <v>805</v>
          </cell>
          <cell r="K283" t="str">
            <v>10.188.29.137</v>
          </cell>
          <cell r="L283" t="str">
            <v>10.188.29.129</v>
          </cell>
          <cell r="M283" t="str">
            <v>/26</v>
          </cell>
          <cell r="N283">
            <v>815</v>
          </cell>
          <cell r="O283" t="str">
            <v>10.188.31.137</v>
          </cell>
          <cell r="P283" t="str">
            <v>10.188.31.129</v>
          </cell>
          <cell r="Q283" t="str">
            <v>/26</v>
          </cell>
          <cell r="R283">
            <v>825</v>
          </cell>
        </row>
        <row r="284">
          <cell r="E284" t="str">
            <v>AC164</v>
          </cell>
          <cell r="F284" t="str">
            <v>ET244</v>
          </cell>
          <cell r="G284" t="str">
            <v>10.188.27.138</v>
          </cell>
          <cell r="H284" t="str">
            <v>10.188.27.129</v>
          </cell>
          <cell r="I284" t="str">
            <v>/26</v>
          </cell>
          <cell r="J284">
            <v>805</v>
          </cell>
          <cell r="K284" t="str">
            <v>10.188.29.138</v>
          </cell>
          <cell r="L284" t="str">
            <v>10.188.29.129</v>
          </cell>
          <cell r="M284" t="str">
            <v>/26</v>
          </cell>
          <cell r="N284">
            <v>815</v>
          </cell>
          <cell r="O284" t="str">
            <v>10.188.31.138</v>
          </cell>
          <cell r="P284" t="str">
            <v>10.188.31.129</v>
          </cell>
          <cell r="Q284" t="str">
            <v>/26</v>
          </cell>
          <cell r="R284">
            <v>825</v>
          </cell>
        </row>
        <row r="285">
          <cell r="E285" t="str">
            <v>AC164</v>
          </cell>
          <cell r="F285" t="str">
            <v>ET245</v>
          </cell>
          <cell r="G285" t="str">
            <v>10.188.27.139</v>
          </cell>
          <cell r="H285" t="str">
            <v>10.188.27.129</v>
          </cell>
          <cell r="I285" t="str">
            <v>/26</v>
          </cell>
          <cell r="J285">
            <v>805</v>
          </cell>
          <cell r="K285" t="str">
            <v>10.188.29.139</v>
          </cell>
          <cell r="L285" t="str">
            <v>10.188.29.129</v>
          </cell>
          <cell r="M285" t="str">
            <v>/26</v>
          </cell>
          <cell r="N285">
            <v>815</v>
          </cell>
          <cell r="O285" t="str">
            <v>10.188.31.139</v>
          </cell>
          <cell r="P285" t="str">
            <v>10.188.31.129</v>
          </cell>
          <cell r="Q285" t="str">
            <v>/26</v>
          </cell>
          <cell r="R285">
            <v>825</v>
          </cell>
        </row>
        <row r="286">
          <cell r="E286" t="str">
            <v>AC164</v>
          </cell>
          <cell r="F286" t="str">
            <v>AC803</v>
          </cell>
          <cell r="G286" t="str">
            <v>10.188.27.140</v>
          </cell>
          <cell r="H286" t="str">
            <v>10.188.27.129</v>
          </cell>
          <cell r="I286" t="str">
            <v>/26</v>
          </cell>
          <cell r="J286">
            <v>805</v>
          </cell>
          <cell r="K286" t="str">
            <v>10.188.29.140</v>
          </cell>
          <cell r="L286" t="str">
            <v>10.188.29.129</v>
          </cell>
          <cell r="M286" t="str">
            <v>/26</v>
          </cell>
          <cell r="N286">
            <v>815</v>
          </cell>
          <cell r="O286" t="str">
            <v>10.188.31.140</v>
          </cell>
          <cell r="P286" t="str">
            <v>10.188.31.129</v>
          </cell>
          <cell r="Q286" t="str">
            <v>/26</v>
          </cell>
          <cell r="R286">
            <v>825</v>
          </cell>
        </row>
        <row r="287">
          <cell r="E287" t="str">
            <v>AC164</v>
          </cell>
          <cell r="F287" t="str">
            <v>AC803</v>
          </cell>
          <cell r="G287" t="str">
            <v>10.188.27.141</v>
          </cell>
          <cell r="H287" t="str">
            <v>10.188.27.129</v>
          </cell>
          <cell r="I287" t="str">
            <v>/26</v>
          </cell>
          <cell r="J287">
            <v>805</v>
          </cell>
          <cell r="K287" t="str">
            <v>10.188.29.141</v>
          </cell>
          <cell r="L287" t="str">
            <v>10.188.29.129</v>
          </cell>
          <cell r="M287" t="str">
            <v>/26</v>
          </cell>
          <cell r="N287">
            <v>815</v>
          </cell>
          <cell r="O287" t="str">
            <v>10.188.31.141</v>
          </cell>
          <cell r="P287" t="str">
            <v>10.188.31.129</v>
          </cell>
          <cell r="Q287" t="str">
            <v>/26</v>
          </cell>
          <cell r="R287">
            <v>825</v>
          </cell>
        </row>
        <row r="288">
          <cell r="E288" t="str">
            <v>AC164</v>
          </cell>
          <cell r="F288" t="str">
            <v>ET570</v>
          </cell>
          <cell r="G288" t="str">
            <v>10.188.27.142</v>
          </cell>
          <cell r="H288" t="str">
            <v>10.188.27.129</v>
          </cell>
          <cell r="I288" t="str">
            <v>/26</v>
          </cell>
          <cell r="J288">
            <v>805</v>
          </cell>
          <cell r="K288" t="str">
            <v>10.188.29.142</v>
          </cell>
          <cell r="L288" t="str">
            <v>10.188.29.129</v>
          </cell>
          <cell r="M288" t="str">
            <v>/26</v>
          </cell>
          <cell r="N288">
            <v>815</v>
          </cell>
          <cell r="O288" t="str">
            <v>10.188.31.142</v>
          </cell>
          <cell r="P288" t="str">
            <v>10.188.31.129</v>
          </cell>
          <cell r="Q288" t="str">
            <v>/26</v>
          </cell>
          <cell r="R288">
            <v>825</v>
          </cell>
        </row>
        <row r="289">
          <cell r="E289" t="str">
            <v>AC164</v>
          </cell>
          <cell r="F289" t="str">
            <v>ET570</v>
          </cell>
          <cell r="G289" t="str">
            <v>10.188.27.143</v>
          </cell>
          <cell r="H289" t="str">
            <v>10.188.27.129</v>
          </cell>
          <cell r="I289" t="str">
            <v>/26</v>
          </cell>
          <cell r="J289">
            <v>805</v>
          </cell>
          <cell r="K289" t="str">
            <v>10.188.29.143</v>
          </cell>
          <cell r="L289" t="str">
            <v>10.188.29.129</v>
          </cell>
          <cell r="M289" t="str">
            <v>/26</v>
          </cell>
          <cell r="N289">
            <v>815</v>
          </cell>
          <cell r="O289" t="str">
            <v>10.188.31.143</v>
          </cell>
          <cell r="P289" t="str">
            <v>10.188.31.129</v>
          </cell>
          <cell r="Q289" t="str">
            <v>/26</v>
          </cell>
          <cell r="R289">
            <v>825</v>
          </cell>
        </row>
        <row r="290">
          <cell r="E290" t="str">
            <v>AC164</v>
          </cell>
          <cell r="F290" t="str">
            <v>ET625</v>
          </cell>
          <cell r="G290" t="str">
            <v>10.188.27.144</v>
          </cell>
          <cell r="H290" t="str">
            <v>10.188.27.129</v>
          </cell>
          <cell r="I290" t="str">
            <v>/26</v>
          </cell>
          <cell r="J290">
            <v>805</v>
          </cell>
          <cell r="K290" t="str">
            <v>10.188.29.144</v>
          </cell>
          <cell r="L290" t="str">
            <v>10.188.29.129</v>
          </cell>
          <cell r="M290" t="str">
            <v>/26</v>
          </cell>
          <cell r="N290">
            <v>815</v>
          </cell>
          <cell r="O290" t="str">
            <v>10.188.31.144</v>
          </cell>
          <cell r="P290" t="str">
            <v>10.188.31.129</v>
          </cell>
          <cell r="Q290" t="str">
            <v>/26</v>
          </cell>
          <cell r="R290">
            <v>825</v>
          </cell>
        </row>
        <row r="291">
          <cell r="E291" t="str">
            <v>AC164</v>
          </cell>
          <cell r="F291" t="str">
            <v>ET625</v>
          </cell>
          <cell r="G291" t="str">
            <v>10.188.27.145</v>
          </cell>
          <cell r="H291" t="str">
            <v>10.188.27.129</v>
          </cell>
          <cell r="I291" t="str">
            <v>/26</v>
          </cell>
          <cell r="J291">
            <v>805</v>
          </cell>
          <cell r="K291" t="str">
            <v>10.188.29.145</v>
          </cell>
          <cell r="L291" t="str">
            <v>10.188.29.129</v>
          </cell>
          <cell r="M291" t="str">
            <v>/26</v>
          </cell>
          <cell r="N291">
            <v>815</v>
          </cell>
          <cell r="O291" t="str">
            <v>10.188.31.145</v>
          </cell>
          <cell r="P291" t="str">
            <v>10.188.31.129</v>
          </cell>
          <cell r="Q291" t="str">
            <v>/26</v>
          </cell>
          <cell r="R291">
            <v>825</v>
          </cell>
        </row>
        <row r="292">
          <cell r="E292" t="str">
            <v>AC164</v>
          </cell>
          <cell r="F292" t="str">
            <v>ET754</v>
          </cell>
          <cell r="G292" t="str">
            <v>10.188.27.146</v>
          </cell>
          <cell r="H292" t="str">
            <v>10.188.27.129</v>
          </cell>
          <cell r="I292" t="str">
            <v>/26</v>
          </cell>
          <cell r="J292">
            <v>805</v>
          </cell>
          <cell r="K292" t="str">
            <v>10.188.29.146</v>
          </cell>
          <cell r="L292" t="str">
            <v>10.188.29.129</v>
          </cell>
          <cell r="M292" t="str">
            <v>/26</v>
          </cell>
          <cell r="N292">
            <v>815</v>
          </cell>
          <cell r="O292" t="str">
            <v>10.188.31.146</v>
          </cell>
          <cell r="P292" t="str">
            <v>10.188.31.129</v>
          </cell>
          <cell r="Q292" t="str">
            <v>/26</v>
          </cell>
          <cell r="R292">
            <v>825</v>
          </cell>
        </row>
        <row r="293">
          <cell r="E293" t="str">
            <v>AC164</v>
          </cell>
          <cell r="F293" t="str">
            <v>ET754</v>
          </cell>
          <cell r="G293" t="str">
            <v>10.188.27.147</v>
          </cell>
          <cell r="H293" t="str">
            <v>10.188.27.129</v>
          </cell>
          <cell r="I293" t="str">
            <v>/26</v>
          </cell>
          <cell r="J293">
            <v>805</v>
          </cell>
          <cell r="K293" t="str">
            <v>10.188.29.147</v>
          </cell>
          <cell r="L293" t="str">
            <v>10.188.29.129</v>
          </cell>
          <cell r="M293" t="str">
            <v>/26</v>
          </cell>
          <cell r="N293">
            <v>815</v>
          </cell>
          <cell r="O293" t="str">
            <v>10.188.31.147</v>
          </cell>
          <cell r="P293" t="str">
            <v>10.188.31.129</v>
          </cell>
          <cell r="Q293" t="str">
            <v>/26</v>
          </cell>
          <cell r="R293">
            <v>825</v>
          </cell>
        </row>
        <row r="294">
          <cell r="E294" t="str">
            <v>AC164</v>
          </cell>
          <cell r="F294" t="str">
            <v/>
          </cell>
          <cell r="G294" t="str">
            <v>10.188.27.148</v>
          </cell>
          <cell r="H294" t="str">
            <v>10.188.27.129</v>
          </cell>
          <cell r="I294" t="str">
            <v>/26</v>
          </cell>
          <cell r="J294">
            <v>805</v>
          </cell>
          <cell r="K294" t="str">
            <v>10.188.29.148</v>
          </cell>
          <cell r="L294" t="str">
            <v>10.188.29.129</v>
          </cell>
          <cell r="M294" t="str">
            <v>/26</v>
          </cell>
          <cell r="N294">
            <v>815</v>
          </cell>
          <cell r="O294" t="str">
            <v>10.188.31.148</v>
          </cell>
          <cell r="P294" t="str">
            <v>10.188.31.129</v>
          </cell>
          <cell r="Q294" t="str">
            <v>/26</v>
          </cell>
          <cell r="R294">
            <v>825</v>
          </cell>
        </row>
        <row r="295">
          <cell r="E295" t="str">
            <v>AC164</v>
          </cell>
          <cell r="F295" t="str">
            <v/>
          </cell>
          <cell r="G295" t="str">
            <v>10.188.27.149</v>
          </cell>
          <cell r="H295" t="str">
            <v>10.188.27.129</v>
          </cell>
          <cell r="I295" t="str">
            <v>/26</v>
          </cell>
          <cell r="J295">
            <v>805</v>
          </cell>
          <cell r="K295" t="str">
            <v>10.188.29.149</v>
          </cell>
          <cell r="L295" t="str">
            <v>10.188.29.129</v>
          </cell>
          <cell r="M295" t="str">
            <v>/26</v>
          </cell>
          <cell r="N295">
            <v>815</v>
          </cell>
          <cell r="O295" t="str">
            <v>10.188.31.149</v>
          </cell>
          <cell r="P295" t="str">
            <v>10.188.31.129</v>
          </cell>
          <cell r="Q295" t="str">
            <v>/26</v>
          </cell>
          <cell r="R295">
            <v>825</v>
          </cell>
        </row>
        <row r="296">
          <cell r="E296" t="str">
            <v>AC164</v>
          </cell>
          <cell r="F296" t="str">
            <v>AC932</v>
          </cell>
          <cell r="G296" t="str">
            <v>10.188.27.150</v>
          </cell>
          <cell r="H296" t="str">
            <v>10.188.27.129</v>
          </cell>
          <cell r="I296" t="str">
            <v>/26</v>
          </cell>
          <cell r="J296">
            <v>805</v>
          </cell>
          <cell r="K296" t="str">
            <v>10.188.29.150</v>
          </cell>
          <cell r="L296" t="str">
            <v>10.188.29.129</v>
          </cell>
          <cell r="M296" t="str">
            <v>/26</v>
          </cell>
          <cell r="N296">
            <v>815</v>
          </cell>
          <cell r="O296" t="str">
            <v>10.188.31.150</v>
          </cell>
          <cell r="P296" t="str">
            <v>10.188.31.129</v>
          </cell>
          <cell r="Q296" t="str">
            <v>/26</v>
          </cell>
          <cell r="R296">
            <v>825</v>
          </cell>
        </row>
        <row r="297">
          <cell r="E297" t="str">
            <v>AC164</v>
          </cell>
          <cell r="G297" t="str">
            <v>10.188.27.151</v>
          </cell>
          <cell r="H297" t="str">
            <v>10.188.27.129</v>
          </cell>
          <cell r="I297" t="str">
            <v>/26</v>
          </cell>
          <cell r="J297">
            <v>805</v>
          </cell>
          <cell r="K297" t="str">
            <v>10.188.29.151</v>
          </cell>
          <cell r="L297" t="str">
            <v>10.188.29.129</v>
          </cell>
          <cell r="M297" t="str">
            <v>/26</v>
          </cell>
          <cell r="N297">
            <v>815</v>
          </cell>
          <cell r="O297" t="str">
            <v>10.188.31.151</v>
          </cell>
          <cell r="P297" t="str">
            <v>10.188.31.129</v>
          </cell>
          <cell r="Q297" t="str">
            <v>/26</v>
          </cell>
          <cell r="R297">
            <v>825</v>
          </cell>
        </row>
        <row r="298">
          <cell r="E298" t="str">
            <v>AC164</v>
          </cell>
          <cell r="F298" t="str">
            <v>ET840</v>
          </cell>
          <cell r="G298" t="str">
            <v>10.188.27.152</v>
          </cell>
          <cell r="H298" t="str">
            <v>10.188.27.129</v>
          </cell>
          <cell r="I298" t="str">
            <v>/26</v>
          </cell>
          <cell r="J298">
            <v>805</v>
          </cell>
          <cell r="K298" t="str">
            <v>10.188.29.152</v>
          </cell>
          <cell r="L298" t="str">
            <v>10.188.29.129</v>
          </cell>
          <cell r="M298" t="str">
            <v>/26</v>
          </cell>
          <cell r="N298">
            <v>815</v>
          </cell>
          <cell r="O298" t="str">
            <v>10.188.31.152</v>
          </cell>
          <cell r="P298" t="str">
            <v>10.188.31.129</v>
          </cell>
          <cell r="Q298" t="str">
            <v>/26</v>
          </cell>
          <cell r="R298">
            <v>825</v>
          </cell>
        </row>
        <row r="299">
          <cell r="E299" t="str">
            <v>AC164</v>
          </cell>
          <cell r="F299" t="str">
            <v>ET840</v>
          </cell>
          <cell r="G299" t="str">
            <v>10.188.27.153</v>
          </cell>
          <cell r="H299" t="str">
            <v>10.188.27.129</v>
          </cell>
          <cell r="I299" t="str">
            <v>/26</v>
          </cell>
          <cell r="J299">
            <v>805</v>
          </cell>
          <cell r="K299" t="str">
            <v>10.188.29.153</v>
          </cell>
          <cell r="L299" t="str">
            <v>10.188.29.129</v>
          </cell>
          <cell r="M299" t="str">
            <v>/26</v>
          </cell>
          <cell r="N299">
            <v>815</v>
          </cell>
          <cell r="O299" t="str">
            <v>10.188.31.153</v>
          </cell>
          <cell r="P299" t="str">
            <v>10.188.31.129</v>
          </cell>
          <cell r="Q299" t="str">
            <v>/26</v>
          </cell>
          <cell r="R299">
            <v>825</v>
          </cell>
        </row>
        <row r="300">
          <cell r="E300" t="str">
            <v>AC164</v>
          </cell>
          <cell r="F300" t="str">
            <v>IM024</v>
          </cell>
          <cell r="G300" t="str">
            <v>10.188.27.154</v>
          </cell>
          <cell r="H300" t="str">
            <v>10.188.27.129</v>
          </cell>
          <cell r="I300" t="str">
            <v>/26</v>
          </cell>
          <cell r="J300">
            <v>805</v>
          </cell>
          <cell r="K300" t="str">
            <v>10.188.29.154</v>
          </cell>
          <cell r="L300" t="str">
            <v>10.188.29.129</v>
          </cell>
          <cell r="M300" t="str">
            <v>/26</v>
          </cell>
          <cell r="N300">
            <v>815</v>
          </cell>
          <cell r="O300" t="str">
            <v>10.188.31.154</v>
          </cell>
          <cell r="P300" t="str">
            <v>10.188.31.129</v>
          </cell>
          <cell r="Q300" t="str">
            <v>/26</v>
          </cell>
          <cell r="R300">
            <v>825</v>
          </cell>
        </row>
        <row r="301">
          <cell r="E301" t="str">
            <v>AC164</v>
          </cell>
          <cell r="F301" t="str">
            <v>IM024</v>
          </cell>
          <cell r="G301" t="str">
            <v>10.188.27.155</v>
          </cell>
          <cell r="H301" t="str">
            <v>10.188.27.129</v>
          </cell>
          <cell r="I301" t="str">
            <v>/26</v>
          </cell>
          <cell r="J301">
            <v>805</v>
          </cell>
          <cell r="K301" t="str">
            <v>10.188.29.155</v>
          </cell>
          <cell r="L301" t="str">
            <v>10.188.29.129</v>
          </cell>
          <cell r="M301" t="str">
            <v>/26</v>
          </cell>
          <cell r="N301">
            <v>815</v>
          </cell>
          <cell r="O301" t="str">
            <v>10.188.31.155</v>
          </cell>
          <cell r="P301" t="str">
            <v>10.188.31.129</v>
          </cell>
          <cell r="Q301" t="str">
            <v>/26</v>
          </cell>
          <cell r="R301">
            <v>825</v>
          </cell>
        </row>
        <row r="302">
          <cell r="E302" t="str">
            <v>AC164</v>
          </cell>
          <cell r="F302" t="str">
            <v>IM547</v>
          </cell>
          <cell r="G302" t="str">
            <v>10.188.27.156</v>
          </cell>
          <cell r="H302" t="str">
            <v>10.188.27.129</v>
          </cell>
          <cell r="I302" t="str">
            <v>/26</v>
          </cell>
          <cell r="J302">
            <v>805</v>
          </cell>
          <cell r="K302" t="str">
            <v>10.188.29.156</v>
          </cell>
          <cell r="L302" t="str">
            <v>10.188.29.129</v>
          </cell>
          <cell r="M302" t="str">
            <v>/26</v>
          </cell>
          <cell r="N302">
            <v>815</v>
          </cell>
          <cell r="O302" t="str">
            <v>10.188.31.156</v>
          </cell>
          <cell r="P302" t="str">
            <v>10.188.31.129</v>
          </cell>
          <cell r="Q302" t="str">
            <v>/26</v>
          </cell>
          <cell r="R302">
            <v>825</v>
          </cell>
        </row>
        <row r="303">
          <cell r="E303" t="str">
            <v>AC164</v>
          </cell>
          <cell r="F303" t="str">
            <v>IM547</v>
          </cell>
          <cell r="G303" t="str">
            <v>10.188.27.157</v>
          </cell>
          <cell r="H303" t="str">
            <v>10.188.27.129</v>
          </cell>
          <cell r="I303" t="str">
            <v>/26</v>
          </cell>
          <cell r="J303">
            <v>805</v>
          </cell>
          <cell r="K303" t="str">
            <v>10.188.29.157</v>
          </cell>
          <cell r="L303" t="str">
            <v>10.188.29.129</v>
          </cell>
          <cell r="M303" t="str">
            <v>/26</v>
          </cell>
          <cell r="N303">
            <v>815</v>
          </cell>
          <cell r="O303" t="str">
            <v>10.188.31.157</v>
          </cell>
          <cell r="P303" t="str">
            <v>10.188.31.129</v>
          </cell>
          <cell r="Q303" t="str">
            <v>/26</v>
          </cell>
          <cell r="R303">
            <v>825</v>
          </cell>
        </row>
        <row r="304">
          <cell r="E304" t="str">
            <v>AC164</v>
          </cell>
          <cell r="F304" t="str">
            <v>IM551</v>
          </cell>
          <cell r="G304" t="str">
            <v>10.188.27.158</v>
          </cell>
          <cell r="H304" t="str">
            <v>10.188.27.129</v>
          </cell>
          <cell r="I304" t="str">
            <v>/26</v>
          </cell>
          <cell r="J304">
            <v>805</v>
          </cell>
          <cell r="K304" t="str">
            <v>10.188.29.158</v>
          </cell>
          <cell r="L304" t="str">
            <v>10.188.29.129</v>
          </cell>
          <cell r="M304" t="str">
            <v>/26</v>
          </cell>
          <cell r="N304">
            <v>815</v>
          </cell>
          <cell r="O304" t="str">
            <v>10.188.31.158</v>
          </cell>
          <cell r="P304" t="str">
            <v>10.188.31.129</v>
          </cell>
          <cell r="Q304" t="str">
            <v>/26</v>
          </cell>
          <cell r="R304">
            <v>825</v>
          </cell>
        </row>
        <row r="305">
          <cell r="E305" t="str">
            <v>AC164</v>
          </cell>
          <cell r="F305" t="str">
            <v>IM551</v>
          </cell>
          <cell r="G305" t="str">
            <v>10.188.27.159</v>
          </cell>
          <cell r="H305" t="str">
            <v>10.188.27.129</v>
          </cell>
          <cell r="I305" t="str">
            <v>/26</v>
          </cell>
          <cell r="J305">
            <v>805</v>
          </cell>
          <cell r="K305" t="str">
            <v>10.188.29.159</v>
          </cell>
          <cell r="L305" t="str">
            <v>10.188.29.129</v>
          </cell>
          <cell r="M305" t="str">
            <v>/26</v>
          </cell>
          <cell r="N305">
            <v>815</v>
          </cell>
          <cell r="O305" t="str">
            <v>10.188.31.159</v>
          </cell>
          <cell r="P305" t="str">
            <v>10.188.31.129</v>
          </cell>
          <cell r="Q305" t="str">
            <v>/26</v>
          </cell>
          <cell r="R305">
            <v>825</v>
          </cell>
        </row>
        <row r="306">
          <cell r="E306" t="str">
            <v>AC164</v>
          </cell>
          <cell r="G306" t="str">
            <v>10.188.27.160</v>
          </cell>
          <cell r="H306" t="str">
            <v>10.188.27.129</v>
          </cell>
          <cell r="I306" t="str">
            <v>/26</v>
          </cell>
          <cell r="J306">
            <v>805</v>
          </cell>
          <cell r="K306" t="str">
            <v>10.188.29.160</v>
          </cell>
          <cell r="L306" t="str">
            <v>10.188.29.129</v>
          </cell>
          <cell r="M306" t="str">
            <v>/26</v>
          </cell>
          <cell r="N306">
            <v>815</v>
          </cell>
          <cell r="O306" t="str">
            <v>10.188.31.160</v>
          </cell>
          <cell r="P306" t="str">
            <v>10.188.31.129</v>
          </cell>
          <cell r="Q306" t="str">
            <v>/26</v>
          </cell>
          <cell r="R306">
            <v>825</v>
          </cell>
        </row>
        <row r="307">
          <cell r="E307" t="str">
            <v>AC164</v>
          </cell>
          <cell r="G307" t="str">
            <v>10.188.27.161</v>
          </cell>
          <cell r="H307" t="str">
            <v>10.188.27.129</v>
          </cell>
          <cell r="I307" t="str">
            <v>/26</v>
          </cell>
          <cell r="J307">
            <v>805</v>
          </cell>
          <cell r="K307" t="str">
            <v>10.188.29.161</v>
          </cell>
          <cell r="L307" t="str">
            <v>10.188.29.129</v>
          </cell>
          <cell r="M307" t="str">
            <v>/26</v>
          </cell>
          <cell r="N307">
            <v>815</v>
          </cell>
          <cell r="O307" t="str">
            <v>10.188.31.161</v>
          </cell>
          <cell r="P307" t="str">
            <v>10.188.31.129</v>
          </cell>
          <cell r="Q307" t="str">
            <v>/26</v>
          </cell>
          <cell r="R307">
            <v>825</v>
          </cell>
        </row>
        <row r="308">
          <cell r="E308" t="str">
            <v>AC164</v>
          </cell>
          <cell r="G308" t="str">
            <v>10.188.27.162</v>
          </cell>
          <cell r="H308" t="str">
            <v>10.188.27.129</v>
          </cell>
          <cell r="I308" t="str">
            <v>/26</v>
          </cell>
          <cell r="J308">
            <v>805</v>
          </cell>
          <cell r="K308" t="str">
            <v>10.188.29.162</v>
          </cell>
          <cell r="L308" t="str">
            <v>10.188.29.129</v>
          </cell>
          <cell r="M308" t="str">
            <v>/26</v>
          </cell>
          <cell r="N308">
            <v>815</v>
          </cell>
          <cell r="O308" t="str">
            <v>10.188.31.162</v>
          </cell>
          <cell r="P308" t="str">
            <v>10.188.31.129</v>
          </cell>
          <cell r="Q308" t="str">
            <v>/26</v>
          </cell>
          <cell r="R308">
            <v>825</v>
          </cell>
        </row>
        <row r="309">
          <cell r="E309" t="str">
            <v>AC164</v>
          </cell>
          <cell r="G309" t="str">
            <v>10.188.27.163</v>
          </cell>
          <cell r="H309" t="str">
            <v>10.188.27.129</v>
          </cell>
          <cell r="I309" t="str">
            <v>/26</v>
          </cell>
          <cell r="J309">
            <v>805</v>
          </cell>
          <cell r="K309" t="str">
            <v>10.188.29.163</v>
          </cell>
          <cell r="L309" t="str">
            <v>10.188.29.129</v>
          </cell>
          <cell r="M309" t="str">
            <v>/26</v>
          </cell>
          <cell r="N309">
            <v>815</v>
          </cell>
          <cell r="O309" t="str">
            <v>10.188.31.163</v>
          </cell>
          <cell r="P309" t="str">
            <v>10.188.31.129</v>
          </cell>
          <cell r="Q309" t="str">
            <v>/26</v>
          </cell>
          <cell r="R309">
            <v>825</v>
          </cell>
        </row>
        <row r="310">
          <cell r="E310" t="str">
            <v>AC164</v>
          </cell>
          <cell r="G310" t="str">
            <v>10.188.27.164</v>
          </cell>
          <cell r="H310" t="str">
            <v>10.188.27.129</v>
          </cell>
          <cell r="I310" t="str">
            <v>/26</v>
          </cell>
          <cell r="J310">
            <v>805</v>
          </cell>
          <cell r="K310" t="str">
            <v>10.188.29.164</v>
          </cell>
          <cell r="L310" t="str">
            <v>10.188.29.129</v>
          </cell>
          <cell r="M310" t="str">
            <v>/26</v>
          </cell>
          <cell r="N310">
            <v>815</v>
          </cell>
          <cell r="O310" t="str">
            <v>10.188.31.164</v>
          </cell>
          <cell r="P310" t="str">
            <v>10.188.31.129</v>
          </cell>
          <cell r="Q310" t="str">
            <v>/26</v>
          </cell>
          <cell r="R310">
            <v>825</v>
          </cell>
        </row>
        <row r="311">
          <cell r="E311" t="str">
            <v>AC164</v>
          </cell>
          <cell r="G311" t="str">
            <v>10.188.27.165</v>
          </cell>
          <cell r="H311" t="str">
            <v>10.188.27.129</v>
          </cell>
          <cell r="I311" t="str">
            <v>/26</v>
          </cell>
          <cell r="J311">
            <v>805</v>
          </cell>
          <cell r="K311" t="str">
            <v>10.188.29.165</v>
          </cell>
          <cell r="L311" t="str">
            <v>10.188.29.129</v>
          </cell>
          <cell r="M311" t="str">
            <v>/26</v>
          </cell>
          <cell r="N311">
            <v>815</v>
          </cell>
          <cell r="O311" t="str">
            <v>10.188.31.165</v>
          </cell>
          <cell r="P311" t="str">
            <v>10.188.31.129</v>
          </cell>
          <cell r="Q311" t="str">
            <v>/26</v>
          </cell>
          <cell r="R311">
            <v>825</v>
          </cell>
        </row>
        <row r="312">
          <cell r="E312" t="str">
            <v>AC164</v>
          </cell>
          <cell r="G312" t="str">
            <v>10.188.27.166</v>
          </cell>
          <cell r="H312" t="str">
            <v>10.188.27.129</v>
          </cell>
          <cell r="I312" t="str">
            <v>/26</v>
          </cell>
          <cell r="J312">
            <v>805</v>
          </cell>
          <cell r="K312" t="str">
            <v>10.188.29.166</v>
          </cell>
          <cell r="L312" t="str">
            <v>10.188.29.129</v>
          </cell>
          <cell r="M312" t="str">
            <v>/26</v>
          </cell>
          <cell r="N312">
            <v>815</v>
          </cell>
          <cell r="O312" t="str">
            <v>10.188.31.166</v>
          </cell>
          <cell r="P312" t="str">
            <v>10.188.31.129</v>
          </cell>
          <cell r="Q312" t="str">
            <v>/26</v>
          </cell>
          <cell r="R312">
            <v>825</v>
          </cell>
        </row>
        <row r="313">
          <cell r="E313" t="str">
            <v>AC164</v>
          </cell>
          <cell r="G313" t="str">
            <v>10.188.27.167</v>
          </cell>
          <cell r="H313" t="str">
            <v>10.188.27.129</v>
          </cell>
          <cell r="I313" t="str">
            <v>/26</v>
          </cell>
          <cell r="J313">
            <v>805</v>
          </cell>
          <cell r="K313" t="str">
            <v>10.188.29.167</v>
          </cell>
          <cell r="L313" t="str">
            <v>10.188.29.129</v>
          </cell>
          <cell r="M313" t="str">
            <v>/26</v>
          </cell>
          <cell r="N313">
            <v>815</v>
          </cell>
          <cell r="O313" t="str">
            <v>10.188.31.167</v>
          </cell>
          <cell r="P313" t="str">
            <v>10.188.31.129</v>
          </cell>
          <cell r="Q313" t="str">
            <v>/26</v>
          </cell>
          <cell r="R313">
            <v>825</v>
          </cell>
        </row>
        <row r="314">
          <cell r="E314" t="str">
            <v>AC164</v>
          </cell>
          <cell r="G314" t="str">
            <v>10.188.27.168</v>
          </cell>
          <cell r="H314" t="str">
            <v>10.188.27.129</v>
          </cell>
          <cell r="I314" t="str">
            <v>/26</v>
          </cell>
          <cell r="J314">
            <v>805</v>
          </cell>
          <cell r="K314" t="str">
            <v>10.188.29.168</v>
          </cell>
          <cell r="L314" t="str">
            <v>10.188.29.129</v>
          </cell>
          <cell r="M314" t="str">
            <v>/26</v>
          </cell>
          <cell r="N314">
            <v>815</v>
          </cell>
          <cell r="O314" t="str">
            <v>10.188.31.168</v>
          </cell>
          <cell r="P314" t="str">
            <v>10.188.31.129</v>
          </cell>
          <cell r="Q314" t="str">
            <v>/26</v>
          </cell>
          <cell r="R314">
            <v>825</v>
          </cell>
        </row>
        <row r="315">
          <cell r="E315" t="str">
            <v>AC164</v>
          </cell>
          <cell r="G315" t="str">
            <v>10.188.27.169</v>
          </cell>
          <cell r="H315" t="str">
            <v>10.188.27.129</v>
          </cell>
          <cell r="I315" t="str">
            <v>/26</v>
          </cell>
          <cell r="J315">
            <v>805</v>
          </cell>
          <cell r="K315" t="str">
            <v>10.188.29.169</v>
          </cell>
          <cell r="L315" t="str">
            <v>10.188.29.129</v>
          </cell>
          <cell r="M315" t="str">
            <v>/26</v>
          </cell>
          <cell r="N315">
            <v>815</v>
          </cell>
          <cell r="O315" t="str">
            <v>10.188.31.169</v>
          </cell>
          <cell r="P315" t="str">
            <v>10.188.31.129</v>
          </cell>
          <cell r="Q315" t="str">
            <v>/26</v>
          </cell>
          <cell r="R315">
            <v>825</v>
          </cell>
        </row>
        <row r="316">
          <cell r="E316" t="str">
            <v>AC164</v>
          </cell>
          <cell r="G316" t="str">
            <v>10.188.27.170</v>
          </cell>
          <cell r="H316" t="str">
            <v>10.188.27.129</v>
          </cell>
          <cell r="I316" t="str">
            <v>/26</v>
          </cell>
          <cell r="J316">
            <v>805</v>
          </cell>
          <cell r="K316" t="str">
            <v>10.188.29.170</v>
          </cell>
          <cell r="L316" t="str">
            <v>10.188.29.129</v>
          </cell>
          <cell r="M316" t="str">
            <v>/26</v>
          </cell>
          <cell r="N316">
            <v>815</v>
          </cell>
          <cell r="O316" t="str">
            <v>10.188.31.170</v>
          </cell>
          <cell r="P316" t="str">
            <v>10.188.31.129</v>
          </cell>
          <cell r="Q316" t="str">
            <v>/26</v>
          </cell>
          <cell r="R316">
            <v>825</v>
          </cell>
        </row>
        <row r="317">
          <cell r="E317" t="str">
            <v>AC164</v>
          </cell>
          <cell r="G317" t="str">
            <v>10.188.27.171</v>
          </cell>
          <cell r="H317" t="str">
            <v>10.188.27.129</v>
          </cell>
          <cell r="I317" t="str">
            <v>/26</v>
          </cell>
          <cell r="J317">
            <v>805</v>
          </cell>
          <cell r="K317" t="str">
            <v>10.188.29.171</v>
          </cell>
          <cell r="L317" t="str">
            <v>10.188.29.129</v>
          </cell>
          <cell r="M317" t="str">
            <v>/26</v>
          </cell>
          <cell r="N317">
            <v>815</v>
          </cell>
          <cell r="O317" t="str">
            <v>10.188.31.171</v>
          </cell>
          <cell r="P317" t="str">
            <v>10.188.31.129</v>
          </cell>
          <cell r="Q317" t="str">
            <v>/26</v>
          </cell>
          <cell r="R317">
            <v>825</v>
          </cell>
        </row>
        <row r="318">
          <cell r="E318" t="str">
            <v>AC164</v>
          </cell>
          <cell r="G318" t="str">
            <v>10.188.27.172</v>
          </cell>
          <cell r="H318" t="str">
            <v>10.188.27.129</v>
          </cell>
          <cell r="I318" t="str">
            <v>/26</v>
          </cell>
          <cell r="J318">
            <v>805</v>
          </cell>
          <cell r="K318" t="str">
            <v>10.188.29.172</v>
          </cell>
          <cell r="L318" t="str">
            <v>10.188.29.129</v>
          </cell>
          <cell r="M318" t="str">
            <v>/26</v>
          </cell>
          <cell r="N318">
            <v>815</v>
          </cell>
          <cell r="O318" t="str">
            <v>10.188.31.172</v>
          </cell>
          <cell r="P318" t="str">
            <v>10.188.31.129</v>
          </cell>
          <cell r="Q318" t="str">
            <v>/26</v>
          </cell>
          <cell r="R318">
            <v>825</v>
          </cell>
        </row>
        <row r="319">
          <cell r="E319" t="str">
            <v>AC164</v>
          </cell>
          <cell r="G319" t="str">
            <v>10.188.27.173</v>
          </cell>
          <cell r="H319" t="str">
            <v>10.188.27.129</v>
          </cell>
          <cell r="I319" t="str">
            <v>/26</v>
          </cell>
          <cell r="J319">
            <v>805</v>
          </cell>
          <cell r="K319" t="str">
            <v>10.188.29.173</v>
          </cell>
          <cell r="L319" t="str">
            <v>10.188.29.129</v>
          </cell>
          <cell r="M319" t="str">
            <v>/26</v>
          </cell>
          <cell r="N319">
            <v>815</v>
          </cell>
          <cell r="O319" t="str">
            <v>10.188.31.173</v>
          </cell>
          <cell r="P319" t="str">
            <v>10.188.31.129</v>
          </cell>
          <cell r="Q319" t="str">
            <v>/26</v>
          </cell>
          <cell r="R319">
            <v>825</v>
          </cell>
        </row>
        <row r="320">
          <cell r="E320" t="str">
            <v>AC164</v>
          </cell>
          <cell r="G320" t="str">
            <v>10.188.27.174</v>
          </cell>
          <cell r="H320" t="str">
            <v>10.188.27.129</v>
          </cell>
          <cell r="I320" t="str">
            <v>/26</v>
          </cell>
          <cell r="J320">
            <v>805</v>
          </cell>
          <cell r="K320" t="str">
            <v>10.188.29.174</v>
          </cell>
          <cell r="L320" t="str">
            <v>10.188.29.129</v>
          </cell>
          <cell r="M320" t="str">
            <v>/26</v>
          </cell>
          <cell r="N320">
            <v>815</v>
          </cell>
          <cell r="O320" t="str">
            <v>10.188.31.174</v>
          </cell>
          <cell r="P320" t="str">
            <v>10.188.31.129</v>
          </cell>
          <cell r="Q320" t="str">
            <v>/26</v>
          </cell>
          <cell r="R320">
            <v>825</v>
          </cell>
        </row>
        <row r="321">
          <cell r="E321" t="str">
            <v>AC164</v>
          </cell>
          <cell r="G321" t="str">
            <v>10.188.27.175</v>
          </cell>
          <cell r="H321" t="str">
            <v>10.188.27.129</v>
          </cell>
          <cell r="I321" t="str">
            <v>/26</v>
          </cell>
          <cell r="J321">
            <v>805</v>
          </cell>
          <cell r="K321" t="str">
            <v>10.188.29.175</v>
          </cell>
          <cell r="L321" t="str">
            <v>10.188.29.129</v>
          </cell>
          <cell r="M321" t="str">
            <v>/26</v>
          </cell>
          <cell r="N321">
            <v>815</v>
          </cell>
          <cell r="O321" t="str">
            <v>10.188.31.175</v>
          </cell>
          <cell r="P321" t="str">
            <v>10.188.31.129</v>
          </cell>
          <cell r="Q321" t="str">
            <v>/26</v>
          </cell>
          <cell r="R321">
            <v>825</v>
          </cell>
        </row>
        <row r="322">
          <cell r="E322" t="str">
            <v>AC164</v>
          </cell>
          <cell r="G322" t="str">
            <v>10.188.27.176</v>
          </cell>
          <cell r="H322" t="str">
            <v>10.188.27.129</v>
          </cell>
          <cell r="I322" t="str">
            <v>/26</v>
          </cell>
          <cell r="J322">
            <v>805</v>
          </cell>
          <cell r="K322" t="str">
            <v>10.188.29.176</v>
          </cell>
          <cell r="L322" t="str">
            <v>10.188.29.129</v>
          </cell>
          <cell r="M322" t="str">
            <v>/26</v>
          </cell>
          <cell r="N322">
            <v>815</v>
          </cell>
          <cell r="O322" t="str">
            <v>10.188.31.176</v>
          </cell>
          <cell r="P322" t="str">
            <v>10.188.31.129</v>
          </cell>
          <cell r="Q322" t="str">
            <v>/26</v>
          </cell>
          <cell r="R322">
            <v>825</v>
          </cell>
        </row>
        <row r="323">
          <cell r="E323" t="str">
            <v>AC164</v>
          </cell>
          <cell r="G323" t="str">
            <v>10.188.27.177</v>
          </cell>
          <cell r="H323" t="str">
            <v>10.188.27.129</v>
          </cell>
          <cell r="I323" t="str">
            <v>/26</v>
          </cell>
          <cell r="J323">
            <v>805</v>
          </cell>
          <cell r="K323" t="str">
            <v>10.188.29.177</v>
          </cell>
          <cell r="L323" t="str">
            <v>10.188.29.129</v>
          </cell>
          <cell r="M323" t="str">
            <v>/26</v>
          </cell>
          <cell r="N323">
            <v>815</v>
          </cell>
          <cell r="O323" t="str">
            <v>10.188.31.177</v>
          </cell>
          <cell r="P323" t="str">
            <v>10.188.31.129</v>
          </cell>
          <cell r="Q323" t="str">
            <v>/26</v>
          </cell>
          <cell r="R323">
            <v>825</v>
          </cell>
        </row>
        <row r="324">
          <cell r="E324" t="str">
            <v>AC164</v>
          </cell>
          <cell r="G324" t="str">
            <v>10.188.27.178</v>
          </cell>
          <cell r="H324" t="str">
            <v>10.188.27.129</v>
          </cell>
          <cell r="I324" t="str">
            <v>/26</v>
          </cell>
          <cell r="J324">
            <v>805</v>
          </cell>
          <cell r="K324" t="str">
            <v>10.188.29.178</v>
          </cell>
          <cell r="L324" t="str">
            <v>10.188.29.129</v>
          </cell>
          <cell r="M324" t="str">
            <v>/26</v>
          </cell>
          <cell r="N324">
            <v>815</v>
          </cell>
          <cell r="O324" t="str">
            <v>10.188.31.178</v>
          </cell>
          <cell r="P324" t="str">
            <v>10.188.31.129</v>
          </cell>
          <cell r="Q324" t="str">
            <v>/26</v>
          </cell>
          <cell r="R324">
            <v>825</v>
          </cell>
        </row>
        <row r="325">
          <cell r="E325" t="str">
            <v>AC164</v>
          </cell>
          <cell r="G325" t="str">
            <v>10.188.27.179</v>
          </cell>
          <cell r="H325" t="str">
            <v>10.188.27.129</v>
          </cell>
          <cell r="I325" t="str">
            <v>/26</v>
          </cell>
          <cell r="J325">
            <v>805</v>
          </cell>
          <cell r="K325" t="str">
            <v>10.188.29.179</v>
          </cell>
          <cell r="L325" t="str">
            <v>10.188.29.129</v>
          </cell>
          <cell r="M325" t="str">
            <v>/26</v>
          </cell>
          <cell r="N325">
            <v>815</v>
          </cell>
          <cell r="O325" t="str">
            <v>10.188.31.179</v>
          </cell>
          <cell r="P325" t="str">
            <v>10.188.31.129</v>
          </cell>
          <cell r="Q325" t="str">
            <v>/26</v>
          </cell>
          <cell r="R325">
            <v>825</v>
          </cell>
        </row>
        <row r="326">
          <cell r="E326" t="str">
            <v>AC164</v>
          </cell>
          <cell r="G326" t="str">
            <v>10.188.27.180</v>
          </cell>
          <cell r="H326" t="str">
            <v>10.188.27.129</v>
          </cell>
          <cell r="I326" t="str">
            <v>/26</v>
          </cell>
          <cell r="J326">
            <v>805</v>
          </cell>
          <cell r="K326" t="str">
            <v>10.188.29.180</v>
          </cell>
          <cell r="L326" t="str">
            <v>10.188.29.129</v>
          </cell>
          <cell r="M326" t="str">
            <v>/26</v>
          </cell>
          <cell r="N326">
            <v>815</v>
          </cell>
          <cell r="O326" t="str">
            <v>10.188.31.180</v>
          </cell>
          <cell r="P326" t="str">
            <v>10.188.31.129</v>
          </cell>
          <cell r="Q326" t="str">
            <v>/26</v>
          </cell>
          <cell r="R326">
            <v>825</v>
          </cell>
        </row>
        <row r="327">
          <cell r="E327" t="str">
            <v>AC164</v>
          </cell>
          <cell r="G327" t="str">
            <v>10.188.27.181</v>
          </cell>
          <cell r="H327" t="str">
            <v>10.188.27.129</v>
          </cell>
          <cell r="I327" t="str">
            <v>/26</v>
          </cell>
          <cell r="J327">
            <v>805</v>
          </cell>
          <cell r="K327" t="str">
            <v>10.188.29.181</v>
          </cell>
          <cell r="L327" t="str">
            <v>10.188.29.129</v>
          </cell>
          <cell r="M327" t="str">
            <v>/26</v>
          </cell>
          <cell r="N327">
            <v>815</v>
          </cell>
          <cell r="O327" t="str">
            <v>10.188.31.181</v>
          </cell>
          <cell r="P327" t="str">
            <v>10.188.31.129</v>
          </cell>
          <cell r="Q327" t="str">
            <v>/26</v>
          </cell>
          <cell r="R327">
            <v>825</v>
          </cell>
        </row>
        <row r="328">
          <cell r="E328" t="str">
            <v>AC164</v>
          </cell>
          <cell r="G328" t="str">
            <v>10.188.27.182</v>
          </cell>
          <cell r="H328" t="str">
            <v>10.188.27.129</v>
          </cell>
          <cell r="I328" t="str">
            <v>/26</v>
          </cell>
          <cell r="J328">
            <v>805</v>
          </cell>
          <cell r="K328" t="str">
            <v>10.188.29.182</v>
          </cell>
          <cell r="L328" t="str">
            <v>10.188.29.129</v>
          </cell>
          <cell r="M328" t="str">
            <v>/26</v>
          </cell>
          <cell r="N328">
            <v>815</v>
          </cell>
          <cell r="O328" t="str">
            <v>10.188.31.182</v>
          </cell>
          <cell r="P328" t="str">
            <v>10.188.31.129</v>
          </cell>
          <cell r="Q328" t="str">
            <v>/26</v>
          </cell>
          <cell r="R328">
            <v>825</v>
          </cell>
        </row>
        <row r="329">
          <cell r="E329" t="str">
            <v>AC164</v>
          </cell>
          <cell r="G329" t="str">
            <v>10.188.27.183</v>
          </cell>
          <cell r="H329" t="str">
            <v>10.188.27.129</v>
          </cell>
          <cell r="I329" t="str">
            <v>/26</v>
          </cell>
          <cell r="J329">
            <v>805</v>
          </cell>
          <cell r="K329" t="str">
            <v>10.188.29.183</v>
          </cell>
          <cell r="L329" t="str">
            <v>10.188.29.129</v>
          </cell>
          <cell r="M329" t="str">
            <v>/26</v>
          </cell>
          <cell r="N329">
            <v>815</v>
          </cell>
          <cell r="O329" t="str">
            <v>10.188.31.183</v>
          </cell>
          <cell r="P329" t="str">
            <v>10.188.31.129</v>
          </cell>
          <cell r="Q329" t="str">
            <v>/26</v>
          </cell>
          <cell r="R329">
            <v>825</v>
          </cell>
        </row>
        <row r="330">
          <cell r="E330" t="str">
            <v>AC164</v>
          </cell>
          <cell r="G330" t="str">
            <v>10.188.27.184</v>
          </cell>
          <cell r="H330" t="str">
            <v>10.188.27.129</v>
          </cell>
          <cell r="I330" t="str">
            <v>/26</v>
          </cell>
          <cell r="J330">
            <v>805</v>
          </cell>
          <cell r="K330" t="str">
            <v>10.188.29.184</v>
          </cell>
          <cell r="L330" t="str">
            <v>10.188.29.129</v>
          </cell>
          <cell r="M330" t="str">
            <v>/26</v>
          </cell>
          <cell r="N330">
            <v>815</v>
          </cell>
          <cell r="O330" t="str">
            <v>10.188.31.184</v>
          </cell>
          <cell r="P330" t="str">
            <v>10.188.31.129</v>
          </cell>
          <cell r="Q330" t="str">
            <v>/26</v>
          </cell>
          <cell r="R330">
            <v>825</v>
          </cell>
        </row>
        <row r="331">
          <cell r="E331" t="str">
            <v>AC164</v>
          </cell>
          <cell r="G331" t="str">
            <v>10.188.27.185</v>
          </cell>
          <cell r="H331" t="str">
            <v>10.188.27.129</v>
          </cell>
          <cell r="I331" t="str">
            <v>/26</v>
          </cell>
          <cell r="J331">
            <v>805</v>
          </cell>
          <cell r="K331" t="str">
            <v>10.188.29.185</v>
          </cell>
          <cell r="L331" t="str">
            <v>10.188.29.129</v>
          </cell>
          <cell r="M331" t="str">
            <v>/26</v>
          </cell>
          <cell r="N331">
            <v>815</v>
          </cell>
          <cell r="O331" t="str">
            <v>10.188.31.185</v>
          </cell>
          <cell r="P331" t="str">
            <v>10.188.31.129</v>
          </cell>
          <cell r="Q331" t="str">
            <v>/26</v>
          </cell>
          <cell r="R331">
            <v>825</v>
          </cell>
        </row>
        <row r="332">
          <cell r="E332" t="str">
            <v>AC164</v>
          </cell>
          <cell r="G332" t="str">
            <v>10.188.27.186</v>
          </cell>
          <cell r="H332" t="str">
            <v>10.188.27.129</v>
          </cell>
          <cell r="I332" t="str">
            <v>/26</v>
          </cell>
          <cell r="J332">
            <v>805</v>
          </cell>
          <cell r="K332" t="str">
            <v>10.188.29.186</v>
          </cell>
          <cell r="L332" t="str">
            <v>10.188.29.129</v>
          </cell>
          <cell r="M332" t="str">
            <v>/26</v>
          </cell>
          <cell r="N332">
            <v>815</v>
          </cell>
          <cell r="O332" t="str">
            <v>10.188.31.186</v>
          </cell>
          <cell r="P332" t="str">
            <v>10.188.31.129</v>
          </cell>
          <cell r="Q332" t="str">
            <v>/26</v>
          </cell>
          <cell r="R332">
            <v>825</v>
          </cell>
        </row>
        <row r="333">
          <cell r="E333" t="str">
            <v>AC164</v>
          </cell>
          <cell r="G333" t="str">
            <v>10.188.27.187</v>
          </cell>
          <cell r="H333" t="str">
            <v>10.188.27.129</v>
          </cell>
          <cell r="I333" t="str">
            <v>/26</v>
          </cell>
          <cell r="J333">
            <v>805</v>
          </cell>
          <cell r="K333" t="str">
            <v>10.188.29.187</v>
          </cell>
          <cell r="L333" t="str">
            <v>10.188.29.129</v>
          </cell>
          <cell r="M333" t="str">
            <v>/26</v>
          </cell>
          <cell r="N333">
            <v>815</v>
          </cell>
          <cell r="O333" t="str">
            <v>10.188.31.187</v>
          </cell>
          <cell r="P333" t="str">
            <v>10.188.31.129</v>
          </cell>
          <cell r="Q333" t="str">
            <v>/26</v>
          </cell>
          <cell r="R333">
            <v>825</v>
          </cell>
        </row>
        <row r="334">
          <cell r="E334" t="str">
            <v>AC164</v>
          </cell>
          <cell r="G334" t="str">
            <v>10.188.27.188</v>
          </cell>
          <cell r="H334" t="str">
            <v>10.188.27.129</v>
          </cell>
          <cell r="I334" t="str">
            <v>/26</v>
          </cell>
          <cell r="J334">
            <v>805</v>
          </cell>
          <cell r="K334" t="str">
            <v>10.188.29.188</v>
          </cell>
          <cell r="L334" t="str">
            <v>10.188.29.129</v>
          </cell>
          <cell r="M334" t="str">
            <v>/26</v>
          </cell>
          <cell r="N334">
            <v>815</v>
          </cell>
          <cell r="O334" t="str">
            <v>10.188.31.188</v>
          </cell>
          <cell r="P334" t="str">
            <v>10.188.31.129</v>
          </cell>
          <cell r="Q334" t="str">
            <v>/26</v>
          </cell>
          <cell r="R334">
            <v>825</v>
          </cell>
        </row>
        <row r="335">
          <cell r="E335" t="str">
            <v>AC164</v>
          </cell>
          <cell r="G335" t="str">
            <v>10.188.27.189</v>
          </cell>
          <cell r="H335" t="str">
            <v>10.188.27.129</v>
          </cell>
          <cell r="I335" t="str">
            <v>/26</v>
          </cell>
          <cell r="J335">
            <v>805</v>
          </cell>
          <cell r="K335" t="str">
            <v>10.188.29.189</v>
          </cell>
          <cell r="L335" t="str">
            <v>10.188.29.129</v>
          </cell>
          <cell r="M335" t="str">
            <v>/26</v>
          </cell>
          <cell r="N335">
            <v>815</v>
          </cell>
          <cell r="O335" t="str">
            <v>10.188.31.189</v>
          </cell>
          <cell r="P335" t="str">
            <v>10.188.31.129</v>
          </cell>
          <cell r="Q335" t="str">
            <v>/26</v>
          </cell>
          <cell r="R335">
            <v>825</v>
          </cell>
        </row>
        <row r="336">
          <cell r="E336" t="str">
            <v>AC164</v>
          </cell>
          <cell r="G336" t="str">
            <v>10.188.27.190</v>
          </cell>
          <cell r="H336" t="str">
            <v>10.188.27.129</v>
          </cell>
          <cell r="I336" t="str">
            <v>/26</v>
          </cell>
          <cell r="J336">
            <v>805</v>
          </cell>
          <cell r="K336" t="str">
            <v>10.188.29.190</v>
          </cell>
          <cell r="L336" t="str">
            <v>10.188.29.129</v>
          </cell>
          <cell r="M336" t="str">
            <v>/26</v>
          </cell>
          <cell r="N336">
            <v>815</v>
          </cell>
          <cell r="O336" t="str">
            <v>10.188.31.190</v>
          </cell>
          <cell r="P336" t="str">
            <v>10.188.31.129</v>
          </cell>
          <cell r="Q336" t="str">
            <v>/26</v>
          </cell>
          <cell r="R336">
            <v>825</v>
          </cell>
        </row>
        <row r="337">
          <cell r="E337" t="str">
            <v>AC164</v>
          </cell>
          <cell r="G337" t="str">
            <v>10.188.27.191</v>
          </cell>
          <cell r="H337" t="str">
            <v>10.188.27.129</v>
          </cell>
          <cell r="I337" t="str">
            <v>/26</v>
          </cell>
          <cell r="J337">
            <v>805</v>
          </cell>
          <cell r="K337" t="str">
            <v>10.188.29.191</v>
          </cell>
          <cell r="L337" t="str">
            <v>10.188.29.129</v>
          </cell>
          <cell r="M337" t="str">
            <v>/26</v>
          </cell>
          <cell r="N337">
            <v>815</v>
          </cell>
          <cell r="O337" t="str">
            <v>10.188.31.191</v>
          </cell>
          <cell r="P337" t="str">
            <v>10.188.31.129</v>
          </cell>
          <cell r="Q337" t="str">
            <v>/26</v>
          </cell>
          <cell r="R337">
            <v>825</v>
          </cell>
        </row>
        <row r="338">
          <cell r="E338" t="str">
            <v>AC192</v>
          </cell>
          <cell r="G338" t="str">
            <v>10.187.200.144</v>
          </cell>
          <cell r="H338" t="str">
            <v>10.187.200.145</v>
          </cell>
          <cell r="I338" t="str">
            <v>/28</v>
          </cell>
          <cell r="J338">
            <v>802</v>
          </cell>
          <cell r="K338" t="str">
            <v>10.187.202.144</v>
          </cell>
          <cell r="L338" t="str">
            <v>10.187.202.145</v>
          </cell>
          <cell r="M338" t="str">
            <v>/28</v>
          </cell>
          <cell r="N338">
            <v>812</v>
          </cell>
          <cell r="O338" t="str">
            <v>10.187.204.144</v>
          </cell>
          <cell r="P338" t="str">
            <v>10.187.204.145</v>
          </cell>
          <cell r="Q338" t="str">
            <v>/28</v>
          </cell>
          <cell r="R338">
            <v>822</v>
          </cell>
        </row>
        <row r="339">
          <cell r="E339" t="str">
            <v>AC192</v>
          </cell>
          <cell r="G339" t="str">
            <v>10.187.200.145</v>
          </cell>
          <cell r="H339" t="str">
            <v>10.187.200.145</v>
          </cell>
          <cell r="I339" t="str">
            <v>/28</v>
          </cell>
          <cell r="J339">
            <v>802</v>
          </cell>
          <cell r="K339" t="str">
            <v>10.187.202.145</v>
          </cell>
          <cell r="L339" t="str">
            <v>10.187.202.145</v>
          </cell>
          <cell r="M339" t="str">
            <v>/28</v>
          </cell>
          <cell r="N339">
            <v>812</v>
          </cell>
          <cell r="O339" t="str">
            <v>10.187.204.145</v>
          </cell>
          <cell r="P339" t="str">
            <v>10.187.204.145</v>
          </cell>
          <cell r="Q339" t="str">
            <v>/28</v>
          </cell>
          <cell r="R339">
            <v>822</v>
          </cell>
        </row>
        <row r="340">
          <cell r="E340" t="str">
            <v>AC192</v>
          </cell>
          <cell r="F340" t="str">
            <v>AC814</v>
          </cell>
          <cell r="G340" t="str">
            <v>10.187.200.146</v>
          </cell>
          <cell r="H340" t="str">
            <v>10.187.200.145</v>
          </cell>
          <cell r="I340" t="str">
            <v>/28</v>
          </cell>
          <cell r="J340">
            <v>802</v>
          </cell>
          <cell r="K340" t="str">
            <v>10.187.202.146</v>
          </cell>
          <cell r="L340" t="str">
            <v>10.187.202.145</v>
          </cell>
          <cell r="M340" t="str">
            <v>/28</v>
          </cell>
          <cell r="N340">
            <v>812</v>
          </cell>
          <cell r="O340" t="str">
            <v>10.187.204.146</v>
          </cell>
          <cell r="P340" t="str">
            <v>10.187.204.145</v>
          </cell>
          <cell r="Q340" t="str">
            <v>/28</v>
          </cell>
          <cell r="R340">
            <v>822</v>
          </cell>
        </row>
        <row r="341">
          <cell r="E341" t="str">
            <v>AC192</v>
          </cell>
          <cell r="F341" t="str">
            <v>AC814</v>
          </cell>
          <cell r="G341" t="str">
            <v>10.187.200.147</v>
          </cell>
          <cell r="H341" t="str">
            <v>10.187.200.145</v>
          </cell>
          <cell r="I341" t="str">
            <v>/28</v>
          </cell>
          <cell r="J341">
            <v>802</v>
          </cell>
          <cell r="K341" t="str">
            <v>10.187.202.147</v>
          </cell>
          <cell r="L341" t="str">
            <v>10.187.202.145</v>
          </cell>
          <cell r="M341" t="str">
            <v>/28</v>
          </cell>
          <cell r="N341">
            <v>812</v>
          </cell>
          <cell r="O341" t="str">
            <v>10.187.204.147</v>
          </cell>
          <cell r="P341" t="str">
            <v>10.187.204.145</v>
          </cell>
          <cell r="Q341" t="str">
            <v>/28</v>
          </cell>
          <cell r="R341">
            <v>822</v>
          </cell>
        </row>
        <row r="342">
          <cell r="E342" t="str">
            <v>AC192</v>
          </cell>
          <cell r="F342" t="str">
            <v>AC192</v>
          </cell>
          <cell r="G342" t="str">
            <v>10.187.200.148</v>
          </cell>
          <cell r="H342" t="str">
            <v>10.187.200.145</v>
          </cell>
          <cell r="I342" t="str">
            <v>/28</v>
          </cell>
          <cell r="J342">
            <v>802</v>
          </cell>
          <cell r="K342" t="str">
            <v>10.187.202.148</v>
          </cell>
          <cell r="L342" t="str">
            <v>10.187.202.145</v>
          </cell>
          <cell r="M342" t="str">
            <v>/28</v>
          </cell>
          <cell r="N342">
            <v>812</v>
          </cell>
          <cell r="O342" t="str">
            <v>10.187.204.148</v>
          </cell>
          <cell r="P342" t="str">
            <v>10.187.204.145</v>
          </cell>
          <cell r="Q342" t="str">
            <v>/28</v>
          </cell>
          <cell r="R342">
            <v>822</v>
          </cell>
        </row>
        <row r="343">
          <cell r="E343" t="str">
            <v>AC192</v>
          </cell>
          <cell r="F343" t="str">
            <v>AC193</v>
          </cell>
          <cell r="G343" t="str">
            <v>10.187.200.149</v>
          </cell>
          <cell r="H343" t="str">
            <v>10.187.200.145</v>
          </cell>
          <cell r="I343" t="str">
            <v>/28</v>
          </cell>
          <cell r="J343">
            <v>802</v>
          </cell>
          <cell r="K343" t="str">
            <v>10.187.202.149</v>
          </cell>
          <cell r="L343" t="str">
            <v>10.187.202.145</v>
          </cell>
          <cell r="M343" t="str">
            <v>/28</v>
          </cell>
          <cell r="N343">
            <v>812</v>
          </cell>
          <cell r="O343" t="str">
            <v>10.187.204.149</v>
          </cell>
          <cell r="P343" t="str">
            <v>10.187.204.145</v>
          </cell>
          <cell r="Q343" t="str">
            <v>/28</v>
          </cell>
          <cell r="R343">
            <v>822</v>
          </cell>
        </row>
        <row r="344">
          <cell r="E344" t="str">
            <v>AC192</v>
          </cell>
          <cell r="F344" t="str">
            <v>AC531</v>
          </cell>
          <cell r="G344" t="str">
            <v>10.187.200.150</v>
          </cell>
          <cell r="H344" t="str">
            <v>10.187.200.145</v>
          </cell>
          <cell r="I344" t="str">
            <v>/28</v>
          </cell>
          <cell r="J344">
            <v>802</v>
          </cell>
          <cell r="K344" t="str">
            <v>10.187.202.150</v>
          </cell>
          <cell r="L344" t="str">
            <v>10.187.202.145</v>
          </cell>
          <cell r="M344" t="str">
            <v>/28</v>
          </cell>
          <cell r="N344">
            <v>812</v>
          </cell>
          <cell r="O344" t="str">
            <v>10.187.204.150</v>
          </cell>
          <cell r="P344" t="str">
            <v>10.187.204.145</v>
          </cell>
          <cell r="Q344" t="str">
            <v>/28</v>
          </cell>
          <cell r="R344">
            <v>822</v>
          </cell>
        </row>
        <row r="345">
          <cell r="E345" t="str">
            <v>AC192</v>
          </cell>
          <cell r="F345" t="str">
            <v>AC934</v>
          </cell>
          <cell r="G345" t="str">
            <v>10.187.200.151</v>
          </cell>
          <cell r="H345" t="str">
            <v>10.187.200.145</v>
          </cell>
          <cell r="I345" t="str">
            <v>/28</v>
          </cell>
          <cell r="J345">
            <v>802</v>
          </cell>
          <cell r="K345" t="str">
            <v>10.187.202.151</v>
          </cell>
          <cell r="L345" t="str">
            <v>10.187.202.145</v>
          </cell>
          <cell r="M345" t="str">
            <v>/28</v>
          </cell>
          <cell r="N345">
            <v>812</v>
          </cell>
          <cell r="O345" t="str">
            <v>10.187.204.151</v>
          </cell>
          <cell r="P345" t="str">
            <v>10.187.204.145</v>
          </cell>
          <cell r="Q345" t="str">
            <v>/28</v>
          </cell>
          <cell r="R345">
            <v>822</v>
          </cell>
        </row>
        <row r="346">
          <cell r="E346" t="str">
            <v>AC192</v>
          </cell>
          <cell r="F346" t="str">
            <v>ET338</v>
          </cell>
          <cell r="G346" t="str">
            <v>10.187.200.152</v>
          </cell>
          <cell r="H346" t="str">
            <v>10.187.200.145</v>
          </cell>
          <cell r="I346" t="str">
            <v>/28</v>
          </cell>
          <cell r="J346">
            <v>802</v>
          </cell>
          <cell r="K346" t="str">
            <v>10.187.202.152</v>
          </cell>
          <cell r="L346" t="str">
            <v>10.187.202.145</v>
          </cell>
          <cell r="M346" t="str">
            <v>/28</v>
          </cell>
          <cell r="N346">
            <v>812</v>
          </cell>
          <cell r="O346" t="str">
            <v>10.187.204.152</v>
          </cell>
          <cell r="P346" t="str">
            <v>10.187.204.145</v>
          </cell>
          <cell r="Q346" t="str">
            <v>/28</v>
          </cell>
          <cell r="R346">
            <v>822</v>
          </cell>
        </row>
        <row r="347">
          <cell r="E347" t="str">
            <v>AC192</v>
          </cell>
          <cell r="F347" t="str">
            <v>ET339</v>
          </cell>
          <cell r="G347" t="str">
            <v>10.187.200.153</v>
          </cell>
          <cell r="H347" t="str">
            <v>10.187.200.145</v>
          </cell>
          <cell r="I347" t="str">
            <v>/28</v>
          </cell>
          <cell r="J347">
            <v>802</v>
          </cell>
          <cell r="K347" t="str">
            <v>10.187.202.153</v>
          </cell>
          <cell r="L347" t="str">
            <v>10.187.202.145</v>
          </cell>
          <cell r="M347" t="str">
            <v>/28</v>
          </cell>
          <cell r="N347">
            <v>812</v>
          </cell>
          <cell r="O347" t="str">
            <v>10.187.204.153</v>
          </cell>
          <cell r="P347" t="str">
            <v>10.187.204.145</v>
          </cell>
          <cell r="Q347" t="str">
            <v>/28</v>
          </cell>
          <cell r="R347">
            <v>822</v>
          </cell>
        </row>
        <row r="348">
          <cell r="E348" t="str">
            <v>AC192</v>
          </cell>
          <cell r="F348" t="str">
            <v>AC744</v>
          </cell>
          <cell r="G348" t="str">
            <v>10.187.200.154</v>
          </cell>
          <cell r="H348" t="str">
            <v>10.187.200.145</v>
          </cell>
          <cell r="I348" t="str">
            <v>/28</v>
          </cell>
          <cell r="J348">
            <v>802</v>
          </cell>
          <cell r="K348" t="str">
            <v>10.187.202.154</v>
          </cell>
          <cell r="L348" t="str">
            <v>10.187.202.145</v>
          </cell>
          <cell r="M348" t="str">
            <v>/28</v>
          </cell>
          <cell r="N348">
            <v>812</v>
          </cell>
          <cell r="O348" t="str">
            <v>10.187.204.154</v>
          </cell>
          <cell r="P348" t="str">
            <v>10.187.204.145</v>
          </cell>
          <cell r="Q348" t="str">
            <v>/28</v>
          </cell>
          <cell r="R348">
            <v>822</v>
          </cell>
        </row>
        <row r="349">
          <cell r="E349" t="str">
            <v>AC192</v>
          </cell>
          <cell r="F349" t="str">
            <v>ET338</v>
          </cell>
          <cell r="G349" t="str">
            <v>10.187.200.155</v>
          </cell>
          <cell r="H349" t="str">
            <v>10.187.200.145</v>
          </cell>
          <cell r="I349" t="str">
            <v>/28</v>
          </cell>
          <cell r="J349">
            <v>802</v>
          </cell>
          <cell r="K349" t="str">
            <v>10.187.202.155</v>
          </cell>
          <cell r="L349" t="str">
            <v>10.187.202.145</v>
          </cell>
          <cell r="M349" t="str">
            <v>/28</v>
          </cell>
          <cell r="N349">
            <v>812</v>
          </cell>
          <cell r="O349" t="str">
            <v>10.187.204.155</v>
          </cell>
          <cell r="P349" t="str">
            <v>10.187.204.145</v>
          </cell>
          <cell r="Q349" t="str">
            <v>/28</v>
          </cell>
          <cell r="R349">
            <v>822</v>
          </cell>
        </row>
        <row r="350">
          <cell r="E350" t="str">
            <v>AC192</v>
          </cell>
          <cell r="F350" t="str">
            <v>AC278</v>
          </cell>
          <cell r="G350" t="str">
            <v>10.187.200.156</v>
          </cell>
          <cell r="H350" t="str">
            <v>10.187.200.145</v>
          </cell>
          <cell r="I350" t="str">
            <v>/28</v>
          </cell>
          <cell r="J350">
            <v>802</v>
          </cell>
          <cell r="K350" t="str">
            <v>10.187.202.156</v>
          </cell>
          <cell r="L350" t="str">
            <v>10.187.202.145</v>
          </cell>
          <cell r="M350" t="str">
            <v>/28</v>
          </cell>
          <cell r="N350">
            <v>812</v>
          </cell>
          <cell r="O350" t="str">
            <v>10.187.204.156</v>
          </cell>
          <cell r="P350" t="str">
            <v>10.187.204.145</v>
          </cell>
          <cell r="Q350" t="str">
            <v>/28</v>
          </cell>
          <cell r="R350">
            <v>822</v>
          </cell>
        </row>
        <row r="351">
          <cell r="E351" t="str">
            <v>AC192</v>
          </cell>
          <cell r="F351" t="str">
            <v>AC278</v>
          </cell>
          <cell r="G351" t="str">
            <v>10.187.200.157</v>
          </cell>
          <cell r="H351" t="str">
            <v>10.187.200.145</v>
          </cell>
          <cell r="I351" t="str">
            <v>/28</v>
          </cell>
          <cell r="J351">
            <v>802</v>
          </cell>
          <cell r="K351" t="str">
            <v>10.187.202.157</v>
          </cell>
          <cell r="L351" t="str">
            <v>10.187.202.145</v>
          </cell>
          <cell r="M351" t="str">
            <v>/28</v>
          </cell>
          <cell r="N351">
            <v>812</v>
          </cell>
          <cell r="O351" t="str">
            <v>10.187.204.157</v>
          </cell>
          <cell r="P351" t="str">
            <v>10.187.204.145</v>
          </cell>
          <cell r="Q351" t="str">
            <v>/28</v>
          </cell>
          <cell r="R351">
            <v>822</v>
          </cell>
        </row>
        <row r="352">
          <cell r="E352" t="str">
            <v>AC192</v>
          </cell>
          <cell r="G352" t="str">
            <v>10.187.200.158</v>
          </cell>
          <cell r="H352" t="str">
            <v>10.187.200.145</v>
          </cell>
          <cell r="I352" t="str">
            <v>/28</v>
          </cell>
          <cell r="J352">
            <v>802</v>
          </cell>
          <cell r="K352" t="str">
            <v>10.187.202.158</v>
          </cell>
          <cell r="L352" t="str">
            <v>10.187.202.145</v>
          </cell>
          <cell r="M352" t="str">
            <v>/28</v>
          </cell>
          <cell r="N352">
            <v>812</v>
          </cell>
          <cell r="O352" t="str">
            <v>10.187.204.158</v>
          </cell>
          <cell r="P352" t="str">
            <v>10.187.204.145</v>
          </cell>
          <cell r="Q352" t="str">
            <v>/28</v>
          </cell>
          <cell r="R352">
            <v>822</v>
          </cell>
        </row>
        <row r="353">
          <cell r="E353" t="str">
            <v>AC192</v>
          </cell>
          <cell r="G353" t="str">
            <v>10.187.200.159</v>
          </cell>
          <cell r="H353" t="str">
            <v>10.187.200.145</v>
          </cell>
          <cell r="I353" t="str">
            <v>/28</v>
          </cell>
          <cell r="J353">
            <v>802</v>
          </cell>
          <cell r="K353" t="str">
            <v>10.187.202.159</v>
          </cell>
          <cell r="L353" t="str">
            <v>10.187.202.145</v>
          </cell>
          <cell r="M353" t="str">
            <v>/28</v>
          </cell>
          <cell r="N353">
            <v>812</v>
          </cell>
          <cell r="O353" t="str">
            <v>10.187.204.159</v>
          </cell>
          <cell r="P353" t="str">
            <v>10.187.204.145</v>
          </cell>
          <cell r="Q353" t="str">
            <v>/28</v>
          </cell>
          <cell r="R353">
            <v>822</v>
          </cell>
        </row>
        <row r="354">
          <cell r="E354" t="str">
            <v>AC192</v>
          </cell>
          <cell r="G354" t="str">
            <v>10.188.27.192</v>
          </cell>
          <cell r="H354" t="str">
            <v>10.188.27.193</v>
          </cell>
          <cell r="I354" t="str">
            <v>/26</v>
          </cell>
          <cell r="J354">
            <v>805</v>
          </cell>
          <cell r="K354" t="str">
            <v>10.188.29.192</v>
          </cell>
          <cell r="L354" t="str">
            <v>10.188.29.193</v>
          </cell>
          <cell r="M354" t="str">
            <v>/26</v>
          </cell>
          <cell r="N354">
            <v>815</v>
          </cell>
          <cell r="O354" t="str">
            <v>10.188.31.192</v>
          </cell>
          <cell r="P354" t="str">
            <v>10.188.31.193</v>
          </cell>
          <cell r="Q354" t="str">
            <v>/26</v>
          </cell>
          <cell r="R354">
            <v>825</v>
          </cell>
        </row>
        <row r="355">
          <cell r="E355" t="str">
            <v>AC192</v>
          </cell>
          <cell r="G355" t="str">
            <v>10.188.27.193</v>
          </cell>
          <cell r="H355" t="str">
            <v>10.188.27.193</v>
          </cell>
          <cell r="I355" t="str">
            <v>/26</v>
          </cell>
          <cell r="J355">
            <v>805</v>
          </cell>
          <cell r="K355" t="str">
            <v>10.188.29.193</v>
          </cell>
          <cell r="L355" t="str">
            <v>10.188.29.193</v>
          </cell>
          <cell r="M355" t="str">
            <v>/26</v>
          </cell>
          <cell r="N355">
            <v>815</v>
          </cell>
          <cell r="O355" t="str">
            <v>10.188.31.193</v>
          </cell>
          <cell r="P355" t="str">
            <v>10.188.31.193</v>
          </cell>
          <cell r="Q355" t="str">
            <v>/26</v>
          </cell>
          <cell r="R355">
            <v>825</v>
          </cell>
        </row>
        <row r="356">
          <cell r="E356" t="str">
            <v>AC192</v>
          </cell>
          <cell r="F356" t="str">
            <v>AC531</v>
          </cell>
          <cell r="G356" t="str">
            <v>10.188.27.194</v>
          </cell>
          <cell r="H356" t="str">
            <v>10.188.27.193</v>
          </cell>
          <cell r="I356" t="str">
            <v>/26</v>
          </cell>
          <cell r="J356">
            <v>805</v>
          </cell>
          <cell r="K356" t="str">
            <v>10.188.29.194</v>
          </cell>
          <cell r="L356" t="str">
            <v>10.188.29.193</v>
          </cell>
          <cell r="M356" t="str">
            <v>/26</v>
          </cell>
          <cell r="N356">
            <v>815</v>
          </cell>
          <cell r="O356" t="str">
            <v>10.188.31.194</v>
          </cell>
          <cell r="P356" t="str">
            <v>10.188.31.193</v>
          </cell>
          <cell r="Q356" t="str">
            <v>/26</v>
          </cell>
          <cell r="R356">
            <v>825</v>
          </cell>
        </row>
        <row r="357">
          <cell r="E357" t="str">
            <v>AC192</v>
          </cell>
          <cell r="F357" t="str">
            <v>AC532</v>
          </cell>
          <cell r="G357" t="str">
            <v>10.188.27.195</v>
          </cell>
          <cell r="H357" t="str">
            <v>10.188.27.193</v>
          </cell>
          <cell r="I357" t="str">
            <v>/26</v>
          </cell>
          <cell r="J357">
            <v>805</v>
          </cell>
          <cell r="K357" t="str">
            <v>10.188.29.195</v>
          </cell>
          <cell r="L357" t="str">
            <v>10.188.29.193</v>
          </cell>
          <cell r="M357" t="str">
            <v>/26</v>
          </cell>
          <cell r="N357">
            <v>815</v>
          </cell>
          <cell r="O357" t="str">
            <v>10.188.31.195</v>
          </cell>
          <cell r="P357" t="str">
            <v>10.188.31.193</v>
          </cell>
          <cell r="Q357" t="str">
            <v>/26</v>
          </cell>
          <cell r="R357">
            <v>825</v>
          </cell>
        </row>
        <row r="358">
          <cell r="E358" t="str">
            <v>AC192</v>
          </cell>
          <cell r="F358" t="str">
            <v>AC934</v>
          </cell>
          <cell r="G358" t="str">
            <v>10.188.27.196</v>
          </cell>
          <cell r="H358" t="str">
            <v>10.188.27.193</v>
          </cell>
          <cell r="I358" t="str">
            <v>/26</v>
          </cell>
          <cell r="J358">
            <v>805</v>
          </cell>
          <cell r="K358" t="str">
            <v>10.188.29.196</v>
          </cell>
          <cell r="L358" t="str">
            <v>10.188.29.193</v>
          </cell>
          <cell r="M358" t="str">
            <v>/26</v>
          </cell>
          <cell r="N358">
            <v>815</v>
          </cell>
          <cell r="O358" t="str">
            <v>10.188.31.196</v>
          </cell>
          <cell r="P358" t="str">
            <v>10.188.31.193</v>
          </cell>
          <cell r="Q358" t="str">
            <v>/26</v>
          </cell>
          <cell r="R358">
            <v>825</v>
          </cell>
        </row>
        <row r="359">
          <cell r="E359" t="str">
            <v>AC192</v>
          </cell>
          <cell r="F359" t="str">
            <v>AC934</v>
          </cell>
          <cell r="G359" t="str">
            <v>10.188.27.197</v>
          </cell>
          <cell r="H359" t="str">
            <v>10.188.27.193</v>
          </cell>
          <cell r="I359" t="str">
            <v>/26</v>
          </cell>
          <cell r="J359">
            <v>805</v>
          </cell>
          <cell r="K359" t="str">
            <v>10.188.29.197</v>
          </cell>
          <cell r="L359" t="str">
            <v>10.188.29.193</v>
          </cell>
          <cell r="M359" t="str">
            <v>/26</v>
          </cell>
          <cell r="N359">
            <v>815</v>
          </cell>
          <cell r="O359" t="str">
            <v>10.188.31.197</v>
          </cell>
          <cell r="P359" t="str">
            <v>10.188.31.193</v>
          </cell>
          <cell r="Q359" t="str">
            <v>/26</v>
          </cell>
          <cell r="R359">
            <v>825</v>
          </cell>
        </row>
        <row r="360">
          <cell r="E360" t="str">
            <v>AC192</v>
          </cell>
          <cell r="F360" t="str">
            <v>ET169</v>
          </cell>
          <cell r="G360" t="str">
            <v>10.188.27.198</v>
          </cell>
          <cell r="H360" t="str">
            <v>10.188.27.193</v>
          </cell>
          <cell r="I360" t="str">
            <v>/26</v>
          </cell>
          <cell r="J360">
            <v>805</v>
          </cell>
          <cell r="K360" t="str">
            <v>10.188.29.198</v>
          </cell>
          <cell r="L360" t="str">
            <v>10.188.29.193</v>
          </cell>
          <cell r="M360" t="str">
            <v>/26</v>
          </cell>
          <cell r="N360">
            <v>815</v>
          </cell>
          <cell r="O360" t="str">
            <v>10.188.31.198</v>
          </cell>
          <cell r="P360" t="str">
            <v>10.188.31.193</v>
          </cell>
          <cell r="Q360" t="str">
            <v>/26</v>
          </cell>
          <cell r="R360">
            <v>825</v>
          </cell>
        </row>
        <row r="361">
          <cell r="E361" t="str">
            <v>AC192</v>
          </cell>
          <cell r="F361" t="str">
            <v>ET676</v>
          </cell>
          <cell r="G361" t="str">
            <v>10.188.27.199</v>
          </cell>
          <cell r="H361" t="str">
            <v>10.188.27.193</v>
          </cell>
          <cell r="I361" t="str">
            <v>/26</v>
          </cell>
          <cell r="J361">
            <v>805</v>
          </cell>
          <cell r="K361" t="str">
            <v>10.188.29.199</v>
          </cell>
          <cell r="L361" t="str">
            <v>10.188.29.193</v>
          </cell>
          <cell r="M361" t="str">
            <v>/26</v>
          </cell>
          <cell r="N361">
            <v>815</v>
          </cell>
          <cell r="O361" t="str">
            <v>10.188.31.199</v>
          </cell>
          <cell r="P361" t="str">
            <v>10.188.31.193</v>
          </cell>
          <cell r="Q361" t="str">
            <v>/26</v>
          </cell>
          <cell r="R361">
            <v>825</v>
          </cell>
        </row>
        <row r="362">
          <cell r="E362" t="str">
            <v>AC192</v>
          </cell>
          <cell r="F362" t="str">
            <v>ET676</v>
          </cell>
          <cell r="G362" t="str">
            <v>10.188.27.200</v>
          </cell>
          <cell r="H362" t="str">
            <v>10.188.27.193</v>
          </cell>
          <cell r="I362" t="str">
            <v>/26</v>
          </cell>
          <cell r="J362">
            <v>805</v>
          </cell>
          <cell r="K362" t="str">
            <v>10.188.29.200</v>
          </cell>
          <cell r="L362" t="str">
            <v>10.188.29.193</v>
          </cell>
          <cell r="M362" t="str">
            <v>/26</v>
          </cell>
          <cell r="N362">
            <v>815</v>
          </cell>
          <cell r="O362" t="str">
            <v>10.188.31.200</v>
          </cell>
          <cell r="P362" t="str">
            <v>10.188.31.193</v>
          </cell>
          <cell r="Q362" t="str">
            <v>/26</v>
          </cell>
          <cell r="R362">
            <v>825</v>
          </cell>
        </row>
        <row r="363">
          <cell r="E363" t="str">
            <v>AC192</v>
          </cell>
          <cell r="F363" t="str">
            <v>ET724</v>
          </cell>
          <cell r="G363" t="str">
            <v>10.188.27.201</v>
          </cell>
          <cell r="H363" t="str">
            <v>10.188.27.193</v>
          </cell>
          <cell r="I363" t="str">
            <v>/26</v>
          </cell>
          <cell r="J363">
            <v>805</v>
          </cell>
          <cell r="K363" t="str">
            <v>10.188.29.201</v>
          </cell>
          <cell r="L363" t="str">
            <v>10.188.29.193</v>
          </cell>
          <cell r="M363" t="str">
            <v>/26</v>
          </cell>
          <cell r="N363">
            <v>815</v>
          </cell>
          <cell r="O363" t="str">
            <v>10.188.31.201</v>
          </cell>
          <cell r="P363" t="str">
            <v>10.188.31.193</v>
          </cell>
          <cell r="Q363" t="str">
            <v>/26</v>
          </cell>
          <cell r="R363">
            <v>825</v>
          </cell>
        </row>
        <row r="364">
          <cell r="E364" t="str">
            <v>AC192</v>
          </cell>
          <cell r="F364" t="str">
            <v>ET724</v>
          </cell>
          <cell r="G364" t="str">
            <v>10.188.27.202</v>
          </cell>
          <cell r="H364" t="str">
            <v>10.188.27.193</v>
          </cell>
          <cell r="I364" t="str">
            <v>/26</v>
          </cell>
          <cell r="J364">
            <v>805</v>
          </cell>
          <cell r="K364" t="str">
            <v>10.188.29.202</v>
          </cell>
          <cell r="L364" t="str">
            <v>10.188.29.193</v>
          </cell>
          <cell r="M364" t="str">
            <v>/26</v>
          </cell>
          <cell r="N364">
            <v>815</v>
          </cell>
          <cell r="O364" t="str">
            <v>10.188.31.202</v>
          </cell>
          <cell r="P364" t="str">
            <v>10.188.31.193</v>
          </cell>
          <cell r="Q364" t="str">
            <v>/26</v>
          </cell>
          <cell r="R364">
            <v>825</v>
          </cell>
        </row>
        <row r="365">
          <cell r="E365" t="str">
            <v>AC192</v>
          </cell>
          <cell r="F365" t="str">
            <v>ET169</v>
          </cell>
          <cell r="G365" t="str">
            <v>10.188.27.203</v>
          </cell>
          <cell r="H365" t="str">
            <v>10.188.27.193</v>
          </cell>
          <cell r="I365" t="str">
            <v>/26</v>
          </cell>
          <cell r="J365">
            <v>805</v>
          </cell>
          <cell r="K365" t="str">
            <v>10.188.29.203</v>
          </cell>
          <cell r="L365" t="str">
            <v>10.188.29.193</v>
          </cell>
          <cell r="M365" t="str">
            <v>/26</v>
          </cell>
          <cell r="N365">
            <v>815</v>
          </cell>
          <cell r="O365" t="str">
            <v>10.188.31.203</v>
          </cell>
          <cell r="P365" t="str">
            <v>10.188.31.193</v>
          </cell>
          <cell r="Q365" t="str">
            <v>/26</v>
          </cell>
          <cell r="R365">
            <v>825</v>
          </cell>
        </row>
        <row r="366">
          <cell r="E366" t="str">
            <v>AC192</v>
          </cell>
          <cell r="F366" t="str">
            <v>ET549</v>
          </cell>
          <cell r="G366" t="str">
            <v>10.188.27.204</v>
          </cell>
          <cell r="H366" t="str">
            <v>10.188.27.193</v>
          </cell>
          <cell r="I366" t="str">
            <v>/26</v>
          </cell>
          <cell r="J366">
            <v>805</v>
          </cell>
          <cell r="K366" t="str">
            <v>10.188.29.204</v>
          </cell>
          <cell r="L366" t="str">
            <v>10.188.29.193</v>
          </cell>
          <cell r="M366" t="str">
            <v>/26</v>
          </cell>
          <cell r="N366">
            <v>815</v>
          </cell>
          <cell r="O366" t="str">
            <v>10.188.31.204</v>
          </cell>
          <cell r="P366" t="str">
            <v>10.188.31.193</v>
          </cell>
          <cell r="Q366" t="str">
            <v>/26</v>
          </cell>
          <cell r="R366">
            <v>825</v>
          </cell>
        </row>
        <row r="367">
          <cell r="E367" t="str">
            <v>AC192</v>
          </cell>
          <cell r="F367" t="str">
            <v>ET549</v>
          </cell>
          <cell r="G367" t="str">
            <v>10.188.27.205</v>
          </cell>
          <cell r="H367" t="str">
            <v>10.188.27.193</v>
          </cell>
          <cell r="I367" t="str">
            <v>/26</v>
          </cell>
          <cell r="J367">
            <v>805</v>
          </cell>
          <cell r="K367" t="str">
            <v>10.188.29.205</v>
          </cell>
          <cell r="L367" t="str">
            <v>10.188.29.193</v>
          </cell>
          <cell r="M367" t="str">
            <v>/26</v>
          </cell>
          <cell r="N367">
            <v>815</v>
          </cell>
          <cell r="O367" t="str">
            <v>10.188.31.205</v>
          </cell>
          <cell r="P367" t="str">
            <v>10.188.31.193</v>
          </cell>
          <cell r="Q367" t="str">
            <v>/26</v>
          </cell>
          <cell r="R367">
            <v>825</v>
          </cell>
        </row>
        <row r="368">
          <cell r="E368" t="str">
            <v>AC192</v>
          </cell>
          <cell r="F368" t="str">
            <v>AC544</v>
          </cell>
          <cell r="G368" t="str">
            <v>10.188.27.206</v>
          </cell>
          <cell r="H368" t="str">
            <v>10.188.27.193</v>
          </cell>
          <cell r="I368" t="str">
            <v>/26</v>
          </cell>
          <cell r="J368">
            <v>805</v>
          </cell>
          <cell r="K368" t="str">
            <v>10.188.29.206</v>
          </cell>
          <cell r="L368" t="str">
            <v>10.188.29.193</v>
          </cell>
          <cell r="M368" t="str">
            <v>/26</v>
          </cell>
          <cell r="N368">
            <v>815</v>
          </cell>
          <cell r="O368" t="str">
            <v>10.188.31.206</v>
          </cell>
          <cell r="P368" t="str">
            <v>10.188.31.193</v>
          </cell>
          <cell r="Q368" t="str">
            <v>/26</v>
          </cell>
          <cell r="R368">
            <v>825</v>
          </cell>
        </row>
        <row r="369">
          <cell r="E369" t="str">
            <v>AC192</v>
          </cell>
          <cell r="F369" t="str">
            <v>ET105</v>
          </cell>
          <cell r="G369" t="str">
            <v>10.188.27.207</v>
          </cell>
          <cell r="H369" t="str">
            <v>10.188.27.193</v>
          </cell>
          <cell r="I369" t="str">
            <v>/26</v>
          </cell>
          <cell r="J369">
            <v>805</v>
          </cell>
          <cell r="K369" t="str">
            <v>10.188.29.207</v>
          </cell>
          <cell r="L369" t="str">
            <v>10.188.29.193</v>
          </cell>
          <cell r="M369" t="str">
            <v>/26</v>
          </cell>
          <cell r="N369">
            <v>815</v>
          </cell>
          <cell r="O369" t="str">
            <v>10.188.31.207</v>
          </cell>
          <cell r="P369" t="str">
            <v>10.188.31.193</v>
          </cell>
          <cell r="Q369" t="str">
            <v>/26</v>
          </cell>
          <cell r="R369">
            <v>825</v>
          </cell>
        </row>
        <row r="370">
          <cell r="E370" t="str">
            <v>AC192</v>
          </cell>
          <cell r="G370" t="str">
            <v>10.188.27.208</v>
          </cell>
          <cell r="H370" t="str">
            <v>10.188.27.193</v>
          </cell>
          <cell r="I370" t="str">
            <v>/26</v>
          </cell>
          <cell r="J370">
            <v>805</v>
          </cell>
          <cell r="K370" t="str">
            <v>10.188.29.208</v>
          </cell>
          <cell r="L370" t="str">
            <v>10.188.29.193</v>
          </cell>
          <cell r="M370" t="str">
            <v>/26</v>
          </cell>
          <cell r="N370">
            <v>815</v>
          </cell>
          <cell r="O370" t="str">
            <v>10.188.31.208</v>
          </cell>
          <cell r="P370" t="str">
            <v>10.188.31.193</v>
          </cell>
          <cell r="Q370" t="str">
            <v>/26</v>
          </cell>
          <cell r="R370">
            <v>825</v>
          </cell>
        </row>
        <row r="371">
          <cell r="E371" t="str">
            <v>AC192</v>
          </cell>
          <cell r="G371" t="str">
            <v>10.188.27.209</v>
          </cell>
          <cell r="H371" t="str">
            <v>10.188.27.193</v>
          </cell>
          <cell r="I371" t="str">
            <v>/26</v>
          </cell>
          <cell r="J371">
            <v>805</v>
          </cell>
          <cell r="K371" t="str">
            <v>10.188.29.209</v>
          </cell>
          <cell r="L371" t="str">
            <v>10.188.29.193</v>
          </cell>
          <cell r="M371" t="str">
            <v>/26</v>
          </cell>
          <cell r="N371">
            <v>815</v>
          </cell>
          <cell r="O371" t="str">
            <v>10.188.31.209</v>
          </cell>
          <cell r="P371" t="str">
            <v>10.188.31.193</v>
          </cell>
          <cell r="Q371" t="str">
            <v>/26</v>
          </cell>
          <cell r="R371">
            <v>825</v>
          </cell>
        </row>
        <row r="372">
          <cell r="E372" t="str">
            <v>AC192</v>
          </cell>
          <cell r="F372" t="str">
            <v>ET137</v>
          </cell>
          <cell r="G372" t="str">
            <v>10.188.27.210</v>
          </cell>
          <cell r="H372" t="str">
            <v>10.188.27.193</v>
          </cell>
          <cell r="I372" t="str">
            <v>/26</v>
          </cell>
          <cell r="J372">
            <v>805</v>
          </cell>
          <cell r="K372" t="str">
            <v>10.188.29.210</v>
          </cell>
          <cell r="L372" t="str">
            <v>10.188.29.193</v>
          </cell>
          <cell r="M372" t="str">
            <v>/26</v>
          </cell>
          <cell r="N372">
            <v>815</v>
          </cell>
          <cell r="O372" t="str">
            <v>10.188.31.210</v>
          </cell>
          <cell r="P372" t="str">
            <v>10.188.31.193</v>
          </cell>
          <cell r="Q372" t="str">
            <v>/26</v>
          </cell>
          <cell r="R372">
            <v>825</v>
          </cell>
        </row>
        <row r="373">
          <cell r="E373" t="str">
            <v>AC192</v>
          </cell>
          <cell r="F373" t="str">
            <v>ET137</v>
          </cell>
          <cell r="G373" t="str">
            <v>10.188.27.211</v>
          </cell>
          <cell r="H373" t="str">
            <v>10.188.27.193</v>
          </cell>
          <cell r="I373" t="str">
            <v>/26</v>
          </cell>
          <cell r="J373">
            <v>805</v>
          </cell>
          <cell r="K373" t="str">
            <v>10.188.29.211</v>
          </cell>
          <cell r="L373" t="str">
            <v>10.188.29.193</v>
          </cell>
          <cell r="M373" t="str">
            <v>/26</v>
          </cell>
          <cell r="N373">
            <v>815</v>
          </cell>
          <cell r="O373" t="str">
            <v>10.188.31.211</v>
          </cell>
          <cell r="P373" t="str">
            <v>10.188.31.193</v>
          </cell>
          <cell r="Q373" t="str">
            <v>/26</v>
          </cell>
          <cell r="R373">
            <v>825</v>
          </cell>
        </row>
        <row r="374">
          <cell r="E374" t="str">
            <v>AC192</v>
          </cell>
          <cell r="F374" t="str">
            <v>IM154</v>
          </cell>
          <cell r="G374" t="str">
            <v>10.188.27.212</v>
          </cell>
          <cell r="H374" t="str">
            <v>10.188.27.193</v>
          </cell>
          <cell r="I374" t="str">
            <v>/26</v>
          </cell>
          <cell r="J374">
            <v>805</v>
          </cell>
          <cell r="K374" t="str">
            <v>10.188.29.212</v>
          </cell>
          <cell r="L374" t="str">
            <v>10.188.29.193</v>
          </cell>
          <cell r="M374" t="str">
            <v>/26</v>
          </cell>
          <cell r="N374">
            <v>815</v>
          </cell>
          <cell r="O374" t="str">
            <v>10.188.31.212</v>
          </cell>
          <cell r="P374" t="str">
            <v>10.188.31.193</v>
          </cell>
          <cell r="Q374" t="str">
            <v>/26</v>
          </cell>
          <cell r="R374">
            <v>825</v>
          </cell>
        </row>
        <row r="375">
          <cell r="E375" t="str">
            <v>AC192</v>
          </cell>
          <cell r="F375" t="str">
            <v>IM154</v>
          </cell>
          <cell r="G375" t="str">
            <v>10.188.27.213</v>
          </cell>
          <cell r="H375" t="str">
            <v>10.188.27.193</v>
          </cell>
          <cell r="I375" t="str">
            <v>/26</v>
          </cell>
          <cell r="J375">
            <v>805</v>
          </cell>
          <cell r="K375" t="str">
            <v>10.188.29.213</v>
          </cell>
          <cell r="L375" t="str">
            <v>10.188.29.193</v>
          </cell>
          <cell r="M375" t="str">
            <v>/26</v>
          </cell>
          <cell r="N375">
            <v>815</v>
          </cell>
          <cell r="O375" t="str">
            <v>10.188.31.213</v>
          </cell>
          <cell r="P375" t="str">
            <v>10.188.31.193</v>
          </cell>
          <cell r="Q375" t="str">
            <v>/26</v>
          </cell>
          <cell r="R375">
            <v>825</v>
          </cell>
        </row>
        <row r="376">
          <cell r="E376" t="str">
            <v>AC192</v>
          </cell>
          <cell r="F376" t="str">
            <v>IM173</v>
          </cell>
          <cell r="G376" t="str">
            <v>10.188.27.214</v>
          </cell>
          <cell r="H376" t="str">
            <v>10.188.27.193</v>
          </cell>
          <cell r="I376" t="str">
            <v>/26</v>
          </cell>
          <cell r="J376">
            <v>805</v>
          </cell>
          <cell r="K376" t="str">
            <v>10.188.29.214</v>
          </cell>
          <cell r="L376" t="str">
            <v>10.188.29.193</v>
          </cell>
          <cell r="M376" t="str">
            <v>/26</v>
          </cell>
          <cell r="N376">
            <v>815</v>
          </cell>
          <cell r="O376" t="str">
            <v>10.188.31.214</v>
          </cell>
          <cell r="P376" t="str">
            <v>10.188.31.193</v>
          </cell>
          <cell r="Q376" t="str">
            <v>/26</v>
          </cell>
          <cell r="R376">
            <v>825</v>
          </cell>
        </row>
        <row r="377">
          <cell r="E377" t="str">
            <v>AC192</v>
          </cell>
          <cell r="F377" t="str">
            <v>IM173</v>
          </cell>
          <cell r="G377" t="str">
            <v>10.188.27.215</v>
          </cell>
          <cell r="H377" t="str">
            <v>10.188.27.193</v>
          </cell>
          <cell r="I377" t="str">
            <v>/26</v>
          </cell>
          <cell r="J377">
            <v>805</v>
          </cell>
          <cell r="K377" t="str">
            <v>10.188.29.215</v>
          </cell>
          <cell r="L377" t="str">
            <v>10.188.29.193</v>
          </cell>
          <cell r="M377" t="str">
            <v>/26</v>
          </cell>
          <cell r="N377">
            <v>815</v>
          </cell>
          <cell r="O377" t="str">
            <v>10.188.31.215</v>
          </cell>
          <cell r="P377" t="str">
            <v>10.188.31.193</v>
          </cell>
          <cell r="Q377" t="str">
            <v>/26</v>
          </cell>
          <cell r="R377">
            <v>825</v>
          </cell>
        </row>
        <row r="378">
          <cell r="E378" t="str">
            <v>AC192</v>
          </cell>
          <cell r="F378" t="str">
            <v>IM150</v>
          </cell>
          <cell r="G378" t="str">
            <v>10.188.27.216</v>
          </cell>
          <cell r="H378" t="str">
            <v>10.188.27.193</v>
          </cell>
          <cell r="I378" t="str">
            <v>/26</v>
          </cell>
          <cell r="J378">
            <v>805</v>
          </cell>
          <cell r="K378" t="str">
            <v>10.188.29.216</v>
          </cell>
          <cell r="L378" t="str">
            <v>10.188.29.193</v>
          </cell>
          <cell r="M378" t="str">
            <v>/26</v>
          </cell>
          <cell r="N378">
            <v>815</v>
          </cell>
          <cell r="O378" t="str">
            <v>10.188.31.216</v>
          </cell>
          <cell r="P378" t="str">
            <v>10.188.31.193</v>
          </cell>
          <cell r="Q378" t="str">
            <v>/26</v>
          </cell>
          <cell r="R378">
            <v>825</v>
          </cell>
        </row>
        <row r="379">
          <cell r="E379" t="str">
            <v>AC192</v>
          </cell>
          <cell r="F379" t="str">
            <v>IM150</v>
          </cell>
          <cell r="G379" t="str">
            <v>10.188.27.217</v>
          </cell>
          <cell r="H379" t="str">
            <v>10.188.27.193</v>
          </cell>
          <cell r="I379" t="str">
            <v>/26</v>
          </cell>
          <cell r="J379">
            <v>805</v>
          </cell>
          <cell r="K379" t="str">
            <v>10.188.29.217</v>
          </cell>
          <cell r="L379" t="str">
            <v>10.188.29.193</v>
          </cell>
          <cell r="M379" t="str">
            <v>/26</v>
          </cell>
          <cell r="N379">
            <v>815</v>
          </cell>
          <cell r="O379" t="str">
            <v>10.188.31.217</v>
          </cell>
          <cell r="P379" t="str">
            <v>10.188.31.193</v>
          </cell>
          <cell r="Q379" t="str">
            <v>/26</v>
          </cell>
          <cell r="R379">
            <v>825</v>
          </cell>
        </row>
        <row r="380">
          <cell r="E380" t="str">
            <v>AC192</v>
          </cell>
          <cell r="G380" t="str">
            <v>10.188.27.218</v>
          </cell>
          <cell r="H380" t="str">
            <v>10.188.27.193</v>
          </cell>
          <cell r="I380" t="str">
            <v>/26</v>
          </cell>
          <cell r="J380">
            <v>805</v>
          </cell>
          <cell r="K380" t="str">
            <v>10.188.29.218</v>
          </cell>
          <cell r="L380" t="str">
            <v>10.188.29.193</v>
          </cell>
          <cell r="M380" t="str">
            <v>/26</v>
          </cell>
          <cell r="N380">
            <v>815</v>
          </cell>
          <cell r="O380" t="str">
            <v>10.188.31.218</v>
          </cell>
          <cell r="P380" t="str">
            <v>10.188.31.193</v>
          </cell>
          <cell r="Q380" t="str">
            <v>/26</v>
          </cell>
          <cell r="R380">
            <v>825</v>
          </cell>
        </row>
        <row r="381">
          <cell r="E381" t="str">
            <v>AC192</v>
          </cell>
          <cell r="G381" t="str">
            <v>10.188.27.219</v>
          </cell>
          <cell r="H381" t="str">
            <v>10.188.27.193</v>
          </cell>
          <cell r="I381" t="str">
            <v>/26</v>
          </cell>
          <cell r="J381">
            <v>805</v>
          </cell>
          <cell r="K381" t="str">
            <v>10.188.29.219</v>
          </cell>
          <cell r="L381" t="str">
            <v>10.188.29.193</v>
          </cell>
          <cell r="M381" t="str">
            <v>/26</v>
          </cell>
          <cell r="N381">
            <v>815</v>
          </cell>
          <cell r="O381" t="str">
            <v>10.188.31.219</v>
          </cell>
          <cell r="P381" t="str">
            <v>10.188.31.193</v>
          </cell>
          <cell r="Q381" t="str">
            <v>/26</v>
          </cell>
          <cell r="R381">
            <v>825</v>
          </cell>
        </row>
        <row r="382">
          <cell r="E382" t="str">
            <v>AC192</v>
          </cell>
          <cell r="G382" t="str">
            <v>10.188.27.220</v>
          </cell>
          <cell r="H382" t="str">
            <v>10.188.27.193</v>
          </cell>
          <cell r="I382" t="str">
            <v>/26</v>
          </cell>
          <cell r="J382">
            <v>805</v>
          </cell>
          <cell r="K382" t="str">
            <v>10.188.29.220</v>
          </cell>
          <cell r="L382" t="str">
            <v>10.188.29.193</v>
          </cell>
          <cell r="M382" t="str">
            <v>/26</v>
          </cell>
          <cell r="N382">
            <v>815</v>
          </cell>
          <cell r="O382" t="str">
            <v>10.188.31.220</v>
          </cell>
          <cell r="P382" t="str">
            <v>10.188.31.193</v>
          </cell>
          <cell r="Q382" t="str">
            <v>/26</v>
          </cell>
          <cell r="R382">
            <v>825</v>
          </cell>
        </row>
        <row r="383">
          <cell r="E383" t="str">
            <v>AC192</v>
          </cell>
          <cell r="G383" t="str">
            <v>10.188.27.221</v>
          </cell>
          <cell r="H383" t="str">
            <v>10.188.27.193</v>
          </cell>
          <cell r="I383" t="str">
            <v>/26</v>
          </cell>
          <cell r="J383">
            <v>805</v>
          </cell>
          <cell r="K383" t="str">
            <v>10.188.29.221</v>
          </cell>
          <cell r="L383" t="str">
            <v>10.188.29.193</v>
          </cell>
          <cell r="M383" t="str">
            <v>/26</v>
          </cell>
          <cell r="N383">
            <v>815</v>
          </cell>
          <cell r="O383" t="str">
            <v>10.188.31.221</v>
          </cell>
          <cell r="P383" t="str">
            <v>10.188.31.193</v>
          </cell>
          <cell r="Q383" t="str">
            <v>/26</v>
          </cell>
          <cell r="R383">
            <v>825</v>
          </cell>
        </row>
        <row r="384">
          <cell r="E384" t="str">
            <v>AC192</v>
          </cell>
          <cell r="G384" t="str">
            <v>10.188.27.222</v>
          </cell>
          <cell r="H384" t="str">
            <v>10.188.27.193</v>
          </cell>
          <cell r="I384" t="str">
            <v>/26</v>
          </cell>
          <cell r="J384">
            <v>805</v>
          </cell>
          <cell r="K384" t="str">
            <v>10.188.29.222</v>
          </cell>
          <cell r="L384" t="str">
            <v>10.188.29.193</v>
          </cell>
          <cell r="M384" t="str">
            <v>/26</v>
          </cell>
          <cell r="N384">
            <v>815</v>
          </cell>
          <cell r="O384" t="str">
            <v>10.188.31.222</v>
          </cell>
          <cell r="P384" t="str">
            <v>10.188.31.193</v>
          </cell>
          <cell r="Q384" t="str">
            <v>/26</v>
          </cell>
          <cell r="R384">
            <v>825</v>
          </cell>
        </row>
        <row r="385">
          <cell r="E385" t="str">
            <v>AC192</v>
          </cell>
          <cell r="G385" t="str">
            <v>10.188.27.223</v>
          </cell>
          <cell r="H385" t="str">
            <v>10.188.27.193</v>
          </cell>
          <cell r="I385" t="str">
            <v>/26</v>
          </cell>
          <cell r="J385">
            <v>805</v>
          </cell>
          <cell r="K385" t="str">
            <v>10.188.29.223</v>
          </cell>
          <cell r="L385" t="str">
            <v>10.188.29.193</v>
          </cell>
          <cell r="M385" t="str">
            <v>/26</v>
          </cell>
          <cell r="N385">
            <v>815</v>
          </cell>
          <cell r="O385" t="str">
            <v>10.188.31.223</v>
          </cell>
          <cell r="P385" t="str">
            <v>10.188.31.193</v>
          </cell>
          <cell r="Q385" t="str">
            <v>/26</v>
          </cell>
          <cell r="R385">
            <v>825</v>
          </cell>
        </row>
        <row r="386">
          <cell r="E386" t="str">
            <v>AC192</v>
          </cell>
          <cell r="G386" t="str">
            <v>10.188.27.224</v>
          </cell>
          <cell r="H386" t="str">
            <v>10.188.27.193</v>
          </cell>
          <cell r="I386" t="str">
            <v>/26</v>
          </cell>
          <cell r="J386">
            <v>805</v>
          </cell>
          <cell r="K386" t="str">
            <v>10.188.29.224</v>
          </cell>
          <cell r="L386" t="str">
            <v>10.188.29.193</v>
          </cell>
          <cell r="M386" t="str">
            <v>/26</v>
          </cell>
          <cell r="N386">
            <v>815</v>
          </cell>
          <cell r="O386" t="str">
            <v>10.188.31.224</v>
          </cell>
          <cell r="P386" t="str">
            <v>10.188.31.193</v>
          </cell>
          <cell r="Q386" t="str">
            <v>/26</v>
          </cell>
          <cell r="R386">
            <v>825</v>
          </cell>
        </row>
        <row r="387">
          <cell r="E387" t="str">
            <v>AC192</v>
          </cell>
          <cell r="G387" t="str">
            <v>10.188.27.225</v>
          </cell>
          <cell r="H387" t="str">
            <v>10.188.27.193</v>
          </cell>
          <cell r="I387" t="str">
            <v>/26</v>
          </cell>
          <cell r="J387">
            <v>805</v>
          </cell>
          <cell r="K387" t="str">
            <v>10.188.29.225</v>
          </cell>
          <cell r="L387" t="str">
            <v>10.188.29.193</v>
          </cell>
          <cell r="M387" t="str">
            <v>/26</v>
          </cell>
          <cell r="N387">
            <v>815</v>
          </cell>
          <cell r="O387" t="str">
            <v>10.188.31.225</v>
          </cell>
          <cell r="P387" t="str">
            <v>10.188.31.193</v>
          </cell>
          <cell r="Q387" t="str">
            <v>/26</v>
          </cell>
          <cell r="R387">
            <v>825</v>
          </cell>
        </row>
        <row r="388">
          <cell r="E388" t="str">
            <v>AC192</v>
          </cell>
          <cell r="G388" t="str">
            <v>10.188.27.226</v>
          </cell>
          <cell r="H388" t="str">
            <v>10.188.27.193</v>
          </cell>
          <cell r="I388" t="str">
            <v>/26</v>
          </cell>
          <cell r="J388">
            <v>805</v>
          </cell>
          <cell r="K388" t="str">
            <v>10.188.29.226</v>
          </cell>
          <cell r="L388" t="str">
            <v>10.188.29.193</v>
          </cell>
          <cell r="M388" t="str">
            <v>/26</v>
          </cell>
          <cell r="N388">
            <v>815</v>
          </cell>
          <cell r="O388" t="str">
            <v>10.188.31.226</v>
          </cell>
          <cell r="P388" t="str">
            <v>10.188.31.193</v>
          </cell>
          <cell r="Q388" t="str">
            <v>/26</v>
          </cell>
          <cell r="R388">
            <v>825</v>
          </cell>
        </row>
        <row r="389">
          <cell r="E389" t="str">
            <v>AC192</v>
          </cell>
          <cell r="G389" t="str">
            <v>10.188.27.227</v>
          </cell>
          <cell r="H389" t="str">
            <v>10.188.27.193</v>
          </cell>
          <cell r="I389" t="str">
            <v>/26</v>
          </cell>
          <cell r="J389">
            <v>805</v>
          </cell>
          <cell r="K389" t="str">
            <v>10.188.29.227</v>
          </cell>
          <cell r="L389" t="str">
            <v>10.188.29.193</v>
          </cell>
          <cell r="M389" t="str">
            <v>/26</v>
          </cell>
          <cell r="N389">
            <v>815</v>
          </cell>
          <cell r="O389" t="str">
            <v>10.188.31.227</v>
          </cell>
          <cell r="P389" t="str">
            <v>10.188.31.193</v>
          </cell>
          <cell r="Q389" t="str">
            <v>/26</v>
          </cell>
          <cell r="R389">
            <v>825</v>
          </cell>
        </row>
        <row r="390">
          <cell r="E390" t="str">
            <v>AC192</v>
          </cell>
          <cell r="G390" t="str">
            <v>10.188.27.228</v>
          </cell>
          <cell r="H390" t="str">
            <v>10.188.27.193</v>
          </cell>
          <cell r="I390" t="str">
            <v>/26</v>
          </cell>
          <cell r="J390">
            <v>805</v>
          </cell>
          <cell r="K390" t="str">
            <v>10.188.29.228</v>
          </cell>
          <cell r="L390" t="str">
            <v>10.188.29.193</v>
          </cell>
          <cell r="M390" t="str">
            <v>/26</v>
          </cell>
          <cell r="N390">
            <v>815</v>
          </cell>
          <cell r="O390" t="str">
            <v>10.188.31.228</v>
          </cell>
          <cell r="P390" t="str">
            <v>10.188.31.193</v>
          </cell>
          <cell r="Q390" t="str">
            <v>/26</v>
          </cell>
          <cell r="R390">
            <v>825</v>
          </cell>
        </row>
        <row r="391">
          <cell r="E391" t="str">
            <v>AC192</v>
          </cell>
          <cell r="G391" t="str">
            <v>10.188.27.229</v>
          </cell>
          <cell r="H391" t="str">
            <v>10.188.27.193</v>
          </cell>
          <cell r="I391" t="str">
            <v>/26</v>
          </cell>
          <cell r="J391">
            <v>805</v>
          </cell>
          <cell r="K391" t="str">
            <v>10.188.29.229</v>
          </cell>
          <cell r="L391" t="str">
            <v>10.188.29.193</v>
          </cell>
          <cell r="M391" t="str">
            <v>/26</v>
          </cell>
          <cell r="N391">
            <v>815</v>
          </cell>
          <cell r="O391" t="str">
            <v>10.188.31.229</v>
          </cell>
          <cell r="P391" t="str">
            <v>10.188.31.193</v>
          </cell>
          <cell r="Q391" t="str">
            <v>/26</v>
          </cell>
          <cell r="R391">
            <v>825</v>
          </cell>
        </row>
        <row r="392">
          <cell r="E392" t="str">
            <v>AC192</v>
          </cell>
          <cell r="G392" t="str">
            <v>10.188.27.230</v>
          </cell>
          <cell r="H392" t="str">
            <v>10.188.27.193</v>
          </cell>
          <cell r="I392" t="str">
            <v>/26</v>
          </cell>
          <cell r="J392">
            <v>805</v>
          </cell>
          <cell r="K392" t="str">
            <v>10.188.29.230</v>
          </cell>
          <cell r="L392" t="str">
            <v>10.188.29.193</v>
          </cell>
          <cell r="M392" t="str">
            <v>/26</v>
          </cell>
          <cell r="N392">
            <v>815</v>
          </cell>
          <cell r="O392" t="str">
            <v>10.188.31.230</v>
          </cell>
          <cell r="P392" t="str">
            <v>10.188.31.193</v>
          </cell>
          <cell r="Q392" t="str">
            <v>/26</v>
          </cell>
          <cell r="R392">
            <v>825</v>
          </cell>
        </row>
        <row r="393">
          <cell r="E393" t="str">
            <v>AC192</v>
          </cell>
          <cell r="G393" t="str">
            <v>10.188.27.231</v>
          </cell>
          <cell r="H393" t="str">
            <v>10.188.27.193</v>
          </cell>
          <cell r="I393" t="str">
            <v>/26</v>
          </cell>
          <cell r="J393">
            <v>805</v>
          </cell>
          <cell r="K393" t="str">
            <v>10.188.29.231</v>
          </cell>
          <cell r="L393" t="str">
            <v>10.188.29.193</v>
          </cell>
          <cell r="M393" t="str">
            <v>/26</v>
          </cell>
          <cell r="N393">
            <v>815</v>
          </cell>
          <cell r="O393" t="str">
            <v>10.188.31.231</v>
          </cell>
          <cell r="P393" t="str">
            <v>10.188.31.193</v>
          </cell>
          <cell r="Q393" t="str">
            <v>/26</v>
          </cell>
          <cell r="R393">
            <v>825</v>
          </cell>
        </row>
        <row r="394">
          <cell r="E394" t="str">
            <v>AC192</v>
          </cell>
          <cell r="G394" t="str">
            <v>10.188.27.232</v>
          </cell>
          <cell r="H394" t="str">
            <v>10.188.27.193</v>
          </cell>
          <cell r="I394" t="str">
            <v>/26</v>
          </cell>
          <cell r="J394">
            <v>805</v>
          </cell>
          <cell r="K394" t="str">
            <v>10.188.29.232</v>
          </cell>
          <cell r="L394" t="str">
            <v>10.188.29.193</v>
          </cell>
          <cell r="M394" t="str">
            <v>/26</v>
          </cell>
          <cell r="N394">
            <v>815</v>
          </cell>
          <cell r="O394" t="str">
            <v>10.188.31.232</v>
          </cell>
          <cell r="P394" t="str">
            <v>10.188.31.193</v>
          </cell>
          <cell r="Q394" t="str">
            <v>/26</v>
          </cell>
          <cell r="R394">
            <v>825</v>
          </cell>
        </row>
        <row r="395">
          <cell r="E395" t="str">
            <v>AC192</v>
          </cell>
          <cell r="G395" t="str">
            <v>10.188.27.233</v>
          </cell>
          <cell r="H395" t="str">
            <v>10.188.27.193</v>
          </cell>
          <cell r="I395" t="str">
            <v>/26</v>
          </cell>
          <cell r="J395">
            <v>805</v>
          </cell>
          <cell r="K395" t="str">
            <v>10.188.29.233</v>
          </cell>
          <cell r="L395" t="str">
            <v>10.188.29.193</v>
          </cell>
          <cell r="M395" t="str">
            <v>/26</v>
          </cell>
          <cell r="N395">
            <v>815</v>
          </cell>
          <cell r="O395" t="str">
            <v>10.188.31.233</v>
          </cell>
          <cell r="P395" t="str">
            <v>10.188.31.193</v>
          </cell>
          <cell r="Q395" t="str">
            <v>/26</v>
          </cell>
          <cell r="R395">
            <v>825</v>
          </cell>
        </row>
        <row r="396">
          <cell r="E396" t="str">
            <v>AC192</v>
          </cell>
          <cell r="G396" t="str">
            <v>10.188.27.234</v>
          </cell>
          <cell r="H396" t="str">
            <v>10.188.27.193</v>
          </cell>
          <cell r="I396" t="str">
            <v>/26</v>
          </cell>
          <cell r="J396">
            <v>805</v>
          </cell>
          <cell r="K396" t="str">
            <v>10.188.29.234</v>
          </cell>
          <cell r="L396" t="str">
            <v>10.188.29.193</v>
          </cell>
          <cell r="M396" t="str">
            <v>/26</v>
          </cell>
          <cell r="N396">
            <v>815</v>
          </cell>
          <cell r="O396" t="str">
            <v>10.188.31.234</v>
          </cell>
          <cell r="P396" t="str">
            <v>10.188.31.193</v>
          </cell>
          <cell r="Q396" t="str">
            <v>/26</v>
          </cell>
          <cell r="R396">
            <v>825</v>
          </cell>
        </row>
        <row r="397">
          <cell r="E397" t="str">
            <v>AC192</v>
          </cell>
          <cell r="G397" t="str">
            <v>10.188.27.235</v>
          </cell>
          <cell r="H397" t="str">
            <v>10.188.27.193</v>
          </cell>
          <cell r="I397" t="str">
            <v>/26</v>
          </cell>
          <cell r="J397">
            <v>805</v>
          </cell>
          <cell r="K397" t="str">
            <v>10.188.29.235</v>
          </cell>
          <cell r="L397" t="str">
            <v>10.188.29.193</v>
          </cell>
          <cell r="M397" t="str">
            <v>/26</v>
          </cell>
          <cell r="N397">
            <v>815</v>
          </cell>
          <cell r="O397" t="str">
            <v>10.188.31.235</v>
          </cell>
          <cell r="P397" t="str">
            <v>10.188.31.193</v>
          </cell>
          <cell r="Q397" t="str">
            <v>/26</v>
          </cell>
          <cell r="R397">
            <v>825</v>
          </cell>
        </row>
        <row r="398">
          <cell r="E398" t="str">
            <v>AC192</v>
          </cell>
          <cell r="G398" t="str">
            <v>10.188.27.236</v>
          </cell>
          <cell r="H398" t="str">
            <v>10.188.27.193</v>
          </cell>
          <cell r="I398" t="str">
            <v>/26</v>
          </cell>
          <cell r="J398">
            <v>805</v>
          </cell>
          <cell r="K398" t="str">
            <v>10.188.29.236</v>
          </cell>
          <cell r="L398" t="str">
            <v>10.188.29.193</v>
          </cell>
          <cell r="M398" t="str">
            <v>/26</v>
          </cell>
          <cell r="N398">
            <v>815</v>
          </cell>
          <cell r="O398" t="str">
            <v>10.188.31.236</v>
          </cell>
          <cell r="P398" t="str">
            <v>10.188.31.193</v>
          </cell>
          <cell r="Q398" t="str">
            <v>/26</v>
          </cell>
          <cell r="R398">
            <v>825</v>
          </cell>
        </row>
        <row r="399">
          <cell r="E399" t="str">
            <v>AC192</v>
          </cell>
          <cell r="G399" t="str">
            <v>10.188.27.237</v>
          </cell>
          <cell r="H399" t="str">
            <v>10.188.27.193</v>
          </cell>
          <cell r="I399" t="str">
            <v>/26</v>
          </cell>
          <cell r="J399">
            <v>805</v>
          </cell>
          <cell r="K399" t="str">
            <v>10.188.29.237</v>
          </cell>
          <cell r="L399" t="str">
            <v>10.188.29.193</v>
          </cell>
          <cell r="M399" t="str">
            <v>/26</v>
          </cell>
          <cell r="N399">
            <v>815</v>
          </cell>
          <cell r="O399" t="str">
            <v>10.188.31.237</v>
          </cell>
          <cell r="P399" t="str">
            <v>10.188.31.193</v>
          </cell>
          <cell r="Q399" t="str">
            <v>/26</v>
          </cell>
          <cell r="R399">
            <v>825</v>
          </cell>
        </row>
        <row r="400">
          <cell r="E400" t="str">
            <v>AC192</v>
          </cell>
          <cell r="G400" t="str">
            <v>10.188.27.238</v>
          </cell>
          <cell r="H400" t="str">
            <v>10.188.27.193</v>
          </cell>
          <cell r="I400" t="str">
            <v>/26</v>
          </cell>
          <cell r="J400">
            <v>805</v>
          </cell>
          <cell r="K400" t="str">
            <v>10.188.29.238</v>
          </cell>
          <cell r="L400" t="str">
            <v>10.188.29.193</v>
          </cell>
          <cell r="M400" t="str">
            <v>/26</v>
          </cell>
          <cell r="N400">
            <v>815</v>
          </cell>
          <cell r="O400" t="str">
            <v>10.188.31.238</v>
          </cell>
          <cell r="P400" t="str">
            <v>10.188.31.193</v>
          </cell>
          <cell r="Q400" t="str">
            <v>/26</v>
          </cell>
          <cell r="R400">
            <v>825</v>
          </cell>
        </row>
        <row r="401">
          <cell r="E401" t="str">
            <v>AC192</v>
          </cell>
          <cell r="G401" t="str">
            <v>10.188.27.239</v>
          </cell>
          <cell r="H401" t="str">
            <v>10.188.27.193</v>
          </cell>
          <cell r="I401" t="str">
            <v>/26</v>
          </cell>
          <cell r="J401">
            <v>805</v>
          </cell>
          <cell r="K401" t="str">
            <v>10.188.29.239</v>
          </cell>
          <cell r="L401" t="str">
            <v>10.188.29.193</v>
          </cell>
          <cell r="M401" t="str">
            <v>/26</v>
          </cell>
          <cell r="N401">
            <v>815</v>
          </cell>
          <cell r="O401" t="str">
            <v>10.188.31.239</v>
          </cell>
          <cell r="P401" t="str">
            <v>10.188.31.193</v>
          </cell>
          <cell r="Q401" t="str">
            <v>/26</v>
          </cell>
          <cell r="R401">
            <v>825</v>
          </cell>
        </row>
        <row r="402">
          <cell r="E402" t="str">
            <v>AC192</v>
          </cell>
          <cell r="G402" t="str">
            <v>10.188.27.240</v>
          </cell>
          <cell r="H402" t="str">
            <v>10.188.27.193</v>
          </cell>
          <cell r="I402" t="str">
            <v>/26</v>
          </cell>
          <cell r="J402">
            <v>805</v>
          </cell>
          <cell r="K402" t="str">
            <v>10.188.29.240</v>
          </cell>
          <cell r="L402" t="str">
            <v>10.188.29.193</v>
          </cell>
          <cell r="M402" t="str">
            <v>/26</v>
          </cell>
          <cell r="N402">
            <v>815</v>
          </cell>
          <cell r="O402" t="str">
            <v>10.188.31.240</v>
          </cell>
          <cell r="P402" t="str">
            <v>10.188.31.193</v>
          </cell>
          <cell r="Q402" t="str">
            <v>/26</v>
          </cell>
          <cell r="R402">
            <v>825</v>
          </cell>
        </row>
        <row r="403">
          <cell r="E403" t="str">
            <v>AC192</v>
          </cell>
          <cell r="G403" t="str">
            <v>10.188.27.241</v>
          </cell>
          <cell r="H403" t="str">
            <v>10.188.27.193</v>
          </cell>
          <cell r="I403" t="str">
            <v>/26</v>
          </cell>
          <cell r="J403">
            <v>805</v>
          </cell>
          <cell r="K403" t="str">
            <v>10.188.29.241</v>
          </cell>
          <cell r="L403" t="str">
            <v>10.188.29.193</v>
          </cell>
          <cell r="M403" t="str">
            <v>/26</v>
          </cell>
          <cell r="N403">
            <v>815</v>
          </cell>
          <cell r="O403" t="str">
            <v>10.188.31.241</v>
          </cell>
          <cell r="P403" t="str">
            <v>10.188.31.193</v>
          </cell>
          <cell r="Q403" t="str">
            <v>/26</v>
          </cell>
          <cell r="R403">
            <v>825</v>
          </cell>
        </row>
        <row r="404">
          <cell r="E404" t="str">
            <v>AC192</v>
          </cell>
          <cell r="G404" t="str">
            <v>10.188.27.242</v>
          </cell>
          <cell r="H404" t="str">
            <v>10.188.27.193</v>
          </cell>
          <cell r="I404" t="str">
            <v>/26</v>
          </cell>
          <cell r="J404">
            <v>805</v>
          </cell>
          <cell r="K404" t="str">
            <v>10.188.29.242</v>
          </cell>
          <cell r="L404" t="str">
            <v>10.188.29.193</v>
          </cell>
          <cell r="M404" t="str">
            <v>/26</v>
          </cell>
          <cell r="N404">
            <v>815</v>
          </cell>
          <cell r="O404" t="str">
            <v>10.188.31.242</v>
          </cell>
          <cell r="P404" t="str">
            <v>10.188.31.193</v>
          </cell>
          <cell r="Q404" t="str">
            <v>/26</v>
          </cell>
          <cell r="R404">
            <v>825</v>
          </cell>
        </row>
        <row r="405">
          <cell r="E405" t="str">
            <v>AC192</v>
          </cell>
          <cell r="G405" t="str">
            <v>10.188.27.243</v>
          </cell>
          <cell r="H405" t="str">
            <v>10.188.27.193</v>
          </cell>
          <cell r="I405" t="str">
            <v>/26</v>
          </cell>
          <cell r="J405">
            <v>805</v>
          </cell>
          <cell r="K405" t="str">
            <v>10.188.29.243</v>
          </cell>
          <cell r="L405" t="str">
            <v>10.188.29.193</v>
          </cell>
          <cell r="M405" t="str">
            <v>/26</v>
          </cell>
          <cell r="N405">
            <v>815</v>
          </cell>
          <cell r="O405" t="str">
            <v>10.188.31.243</v>
          </cell>
          <cell r="P405" t="str">
            <v>10.188.31.193</v>
          </cell>
          <cell r="Q405" t="str">
            <v>/26</v>
          </cell>
          <cell r="R405">
            <v>825</v>
          </cell>
        </row>
        <row r="406">
          <cell r="E406" t="str">
            <v>AC192</v>
          </cell>
          <cell r="G406" t="str">
            <v>10.188.27.244</v>
          </cell>
          <cell r="H406" t="str">
            <v>10.188.27.193</v>
          </cell>
          <cell r="I406" t="str">
            <v>/26</v>
          </cell>
          <cell r="J406">
            <v>805</v>
          </cell>
          <cell r="K406" t="str">
            <v>10.188.29.244</v>
          </cell>
          <cell r="L406" t="str">
            <v>10.188.29.193</v>
          </cell>
          <cell r="M406" t="str">
            <v>/26</v>
          </cell>
          <cell r="N406">
            <v>815</v>
          </cell>
          <cell r="O406" t="str">
            <v>10.188.31.244</v>
          </cell>
          <cell r="P406" t="str">
            <v>10.188.31.193</v>
          </cell>
          <cell r="Q406" t="str">
            <v>/26</v>
          </cell>
          <cell r="R406">
            <v>825</v>
          </cell>
        </row>
        <row r="407">
          <cell r="E407" t="str">
            <v>AC192</v>
          </cell>
          <cell r="G407" t="str">
            <v>10.188.27.245</v>
          </cell>
          <cell r="H407" t="str">
            <v>10.188.27.193</v>
          </cell>
          <cell r="I407" t="str">
            <v>/26</v>
          </cell>
          <cell r="J407">
            <v>805</v>
          </cell>
          <cell r="K407" t="str">
            <v>10.188.29.245</v>
          </cell>
          <cell r="L407" t="str">
            <v>10.188.29.193</v>
          </cell>
          <cell r="M407" t="str">
            <v>/26</v>
          </cell>
          <cell r="N407">
            <v>815</v>
          </cell>
          <cell r="O407" t="str">
            <v>10.188.31.245</v>
          </cell>
          <cell r="P407" t="str">
            <v>10.188.31.193</v>
          </cell>
          <cell r="Q407" t="str">
            <v>/26</v>
          </cell>
          <cell r="R407">
            <v>825</v>
          </cell>
        </row>
        <row r="408">
          <cell r="E408" t="str">
            <v>AC192</v>
          </cell>
          <cell r="G408" t="str">
            <v>10.188.27.246</v>
          </cell>
          <cell r="H408" t="str">
            <v>10.188.27.193</v>
          </cell>
          <cell r="I408" t="str">
            <v>/26</v>
          </cell>
          <cell r="J408">
            <v>805</v>
          </cell>
          <cell r="K408" t="str">
            <v>10.188.29.246</v>
          </cell>
          <cell r="L408" t="str">
            <v>10.188.29.193</v>
          </cell>
          <cell r="M408" t="str">
            <v>/26</v>
          </cell>
          <cell r="N408">
            <v>815</v>
          </cell>
          <cell r="O408" t="str">
            <v>10.188.31.246</v>
          </cell>
          <cell r="P408" t="str">
            <v>10.188.31.193</v>
          </cell>
          <cell r="Q408" t="str">
            <v>/26</v>
          </cell>
          <cell r="R408">
            <v>825</v>
          </cell>
        </row>
        <row r="409">
          <cell r="E409" t="str">
            <v>AC192</v>
          </cell>
          <cell r="G409" t="str">
            <v>10.188.27.247</v>
          </cell>
          <cell r="H409" t="str">
            <v>10.188.27.193</v>
          </cell>
          <cell r="I409" t="str">
            <v>/26</v>
          </cell>
          <cell r="J409">
            <v>805</v>
          </cell>
          <cell r="K409" t="str">
            <v>10.188.29.247</v>
          </cell>
          <cell r="L409" t="str">
            <v>10.188.29.193</v>
          </cell>
          <cell r="M409" t="str">
            <v>/26</v>
          </cell>
          <cell r="N409">
            <v>815</v>
          </cell>
          <cell r="O409" t="str">
            <v>10.188.31.247</v>
          </cell>
          <cell r="P409" t="str">
            <v>10.188.31.193</v>
          </cell>
          <cell r="Q409" t="str">
            <v>/26</v>
          </cell>
          <cell r="R409">
            <v>825</v>
          </cell>
        </row>
        <row r="410">
          <cell r="E410" t="str">
            <v>AC192</v>
          </cell>
          <cell r="G410" t="str">
            <v>10.188.27.248</v>
          </cell>
          <cell r="H410" t="str">
            <v>10.188.27.193</v>
          </cell>
          <cell r="I410" t="str">
            <v>/26</v>
          </cell>
          <cell r="J410">
            <v>805</v>
          </cell>
          <cell r="K410" t="str">
            <v>10.188.29.248</v>
          </cell>
          <cell r="L410" t="str">
            <v>10.188.29.193</v>
          </cell>
          <cell r="M410" t="str">
            <v>/26</v>
          </cell>
          <cell r="N410">
            <v>815</v>
          </cell>
          <cell r="O410" t="str">
            <v>10.188.31.248</v>
          </cell>
          <cell r="P410" t="str">
            <v>10.188.31.193</v>
          </cell>
          <cell r="Q410" t="str">
            <v>/26</v>
          </cell>
          <cell r="R410">
            <v>825</v>
          </cell>
        </row>
        <row r="411">
          <cell r="E411" t="str">
            <v>AC192</v>
          </cell>
          <cell r="G411" t="str">
            <v>10.188.27.249</v>
          </cell>
          <cell r="H411" t="str">
            <v>10.188.27.193</v>
          </cell>
          <cell r="I411" t="str">
            <v>/26</v>
          </cell>
          <cell r="J411">
            <v>805</v>
          </cell>
          <cell r="K411" t="str">
            <v>10.188.29.249</v>
          </cell>
          <cell r="L411" t="str">
            <v>10.188.29.193</v>
          </cell>
          <cell r="M411" t="str">
            <v>/26</v>
          </cell>
          <cell r="N411">
            <v>815</v>
          </cell>
          <cell r="O411" t="str">
            <v>10.188.31.249</v>
          </cell>
          <cell r="P411" t="str">
            <v>10.188.31.193</v>
          </cell>
          <cell r="Q411" t="str">
            <v>/26</v>
          </cell>
          <cell r="R411">
            <v>825</v>
          </cell>
        </row>
        <row r="412">
          <cell r="E412" t="str">
            <v>AC192</v>
          </cell>
          <cell r="G412" t="str">
            <v>10.188.27.250</v>
          </cell>
          <cell r="H412" t="str">
            <v>10.188.27.193</v>
          </cell>
          <cell r="I412" t="str">
            <v>/26</v>
          </cell>
          <cell r="J412">
            <v>805</v>
          </cell>
          <cell r="K412" t="str">
            <v>10.188.29.250</v>
          </cell>
          <cell r="L412" t="str">
            <v>10.188.29.193</v>
          </cell>
          <cell r="M412" t="str">
            <v>/26</v>
          </cell>
          <cell r="N412">
            <v>815</v>
          </cell>
          <cell r="O412" t="str">
            <v>10.188.31.250</v>
          </cell>
          <cell r="P412" t="str">
            <v>10.188.31.193</v>
          </cell>
          <cell r="Q412" t="str">
            <v>/26</v>
          </cell>
          <cell r="R412">
            <v>825</v>
          </cell>
        </row>
        <row r="413">
          <cell r="E413" t="str">
            <v>AC192</v>
          </cell>
          <cell r="G413" t="str">
            <v>10.188.27.251</v>
          </cell>
          <cell r="H413" t="str">
            <v>10.188.27.193</v>
          </cell>
          <cell r="I413" t="str">
            <v>/26</v>
          </cell>
          <cell r="J413">
            <v>805</v>
          </cell>
          <cell r="K413" t="str">
            <v>10.188.29.251</v>
          </cell>
          <cell r="L413" t="str">
            <v>10.188.29.193</v>
          </cell>
          <cell r="M413" t="str">
            <v>/26</v>
          </cell>
          <cell r="N413">
            <v>815</v>
          </cell>
          <cell r="O413" t="str">
            <v>10.188.31.251</v>
          </cell>
          <cell r="P413" t="str">
            <v>10.188.31.193</v>
          </cell>
          <cell r="Q413" t="str">
            <v>/26</v>
          </cell>
          <cell r="R413">
            <v>825</v>
          </cell>
        </row>
        <row r="414">
          <cell r="E414" t="str">
            <v>AC192</v>
          </cell>
          <cell r="G414" t="str">
            <v>10.188.27.252</v>
          </cell>
          <cell r="H414" t="str">
            <v>10.188.27.193</v>
          </cell>
          <cell r="I414" t="str">
            <v>/26</v>
          </cell>
          <cell r="J414">
            <v>805</v>
          </cell>
          <cell r="K414" t="str">
            <v>10.188.29.252</v>
          </cell>
          <cell r="L414" t="str">
            <v>10.188.29.193</v>
          </cell>
          <cell r="M414" t="str">
            <v>/26</v>
          </cell>
          <cell r="N414">
            <v>815</v>
          </cell>
          <cell r="O414" t="str">
            <v>10.188.31.252</v>
          </cell>
          <cell r="P414" t="str">
            <v>10.188.31.193</v>
          </cell>
          <cell r="Q414" t="str">
            <v>/26</v>
          </cell>
          <cell r="R414">
            <v>825</v>
          </cell>
        </row>
        <row r="415">
          <cell r="E415" t="str">
            <v>AC192</v>
          </cell>
          <cell r="G415" t="str">
            <v>10.188.27.253</v>
          </cell>
          <cell r="H415" t="str">
            <v>10.188.27.193</v>
          </cell>
          <cell r="I415" t="str">
            <v>/26</v>
          </cell>
          <cell r="J415">
            <v>805</v>
          </cell>
          <cell r="K415" t="str">
            <v>10.188.29.253</v>
          </cell>
          <cell r="L415" t="str">
            <v>10.188.29.193</v>
          </cell>
          <cell r="M415" t="str">
            <v>/26</v>
          </cell>
          <cell r="N415">
            <v>815</v>
          </cell>
          <cell r="O415" t="str">
            <v>10.188.31.253</v>
          </cell>
          <cell r="P415" t="str">
            <v>10.188.31.193</v>
          </cell>
          <cell r="Q415" t="str">
            <v>/26</v>
          </cell>
          <cell r="R415">
            <v>825</v>
          </cell>
        </row>
        <row r="416">
          <cell r="E416" t="str">
            <v>AC192</v>
          </cell>
          <cell r="G416" t="str">
            <v>10.188.27.254</v>
          </cell>
          <cell r="H416" t="str">
            <v>10.188.27.193</v>
          </cell>
          <cell r="I416" t="str">
            <v>/26</v>
          </cell>
          <cell r="J416">
            <v>805</v>
          </cell>
          <cell r="K416" t="str">
            <v>10.188.29.254</v>
          </cell>
          <cell r="L416" t="str">
            <v>10.188.29.193</v>
          </cell>
          <cell r="M416" t="str">
            <v>/26</v>
          </cell>
          <cell r="N416">
            <v>815</v>
          </cell>
          <cell r="O416" t="str">
            <v>10.188.31.254</v>
          </cell>
          <cell r="P416" t="str">
            <v>10.188.31.193</v>
          </cell>
          <cell r="Q416" t="str">
            <v>/26</v>
          </cell>
          <cell r="R416">
            <v>825</v>
          </cell>
        </row>
        <row r="417">
          <cell r="E417" t="str">
            <v>AC192</v>
          </cell>
          <cell r="G417" t="str">
            <v>10.188.27.255</v>
          </cell>
          <cell r="H417" t="str">
            <v>10.188.27.193</v>
          </cell>
          <cell r="I417" t="str">
            <v>/26</v>
          </cell>
          <cell r="J417">
            <v>805</v>
          </cell>
          <cell r="K417" t="str">
            <v>10.188.29.255</v>
          </cell>
          <cell r="L417" t="str">
            <v>10.188.29.193</v>
          </cell>
          <cell r="M417" t="str">
            <v>/26</v>
          </cell>
          <cell r="N417">
            <v>815</v>
          </cell>
          <cell r="O417" t="str">
            <v>10.188.31.255</v>
          </cell>
          <cell r="P417" t="str">
            <v>10.188.31.193</v>
          </cell>
          <cell r="Q417" t="str">
            <v>/26</v>
          </cell>
          <cell r="R417">
            <v>825</v>
          </cell>
        </row>
        <row r="418">
          <cell r="E418" t="str">
            <v>AC195</v>
          </cell>
          <cell r="G418" t="str">
            <v>10.187.200.128</v>
          </cell>
          <cell r="H418" t="str">
            <v>10.187.200.129</v>
          </cell>
          <cell r="I418" t="str">
            <v>/28</v>
          </cell>
          <cell r="J418">
            <v>802</v>
          </cell>
          <cell r="K418" t="str">
            <v>10.187.202.128</v>
          </cell>
          <cell r="L418" t="str">
            <v>10.187.202.129</v>
          </cell>
          <cell r="M418" t="str">
            <v>/28</v>
          </cell>
          <cell r="N418">
            <v>812</v>
          </cell>
          <cell r="O418" t="str">
            <v>10.187.204.128</v>
          </cell>
          <cell r="P418" t="str">
            <v>10.187.204.129</v>
          </cell>
          <cell r="Q418" t="str">
            <v>/28</v>
          </cell>
          <cell r="R418">
            <v>822</v>
          </cell>
        </row>
        <row r="419">
          <cell r="E419" t="str">
            <v>AC195</v>
          </cell>
          <cell r="G419" t="str">
            <v>10.187.200.129</v>
          </cell>
          <cell r="H419" t="str">
            <v>10.187.200.129</v>
          </cell>
          <cell r="I419" t="str">
            <v>/28</v>
          </cell>
          <cell r="J419">
            <v>802</v>
          </cell>
          <cell r="K419" t="str">
            <v>10.187.202.129</v>
          </cell>
          <cell r="L419" t="str">
            <v>10.187.202.129</v>
          </cell>
          <cell r="M419" t="str">
            <v>/28</v>
          </cell>
          <cell r="N419">
            <v>812</v>
          </cell>
          <cell r="O419" t="str">
            <v>10.187.204.129</v>
          </cell>
          <cell r="P419" t="str">
            <v>10.187.204.129</v>
          </cell>
          <cell r="Q419" t="str">
            <v>/28</v>
          </cell>
          <cell r="R419">
            <v>822</v>
          </cell>
        </row>
        <row r="420">
          <cell r="E420" t="str">
            <v>AC195</v>
          </cell>
          <cell r="F420" t="str">
            <v>AC802</v>
          </cell>
          <cell r="G420" t="str">
            <v>10.187.200.130</v>
          </cell>
          <cell r="H420" t="str">
            <v>10.187.200.129</v>
          </cell>
          <cell r="I420" t="str">
            <v>/28</v>
          </cell>
          <cell r="J420">
            <v>802</v>
          </cell>
          <cell r="K420" t="str">
            <v>10.187.202.130</v>
          </cell>
          <cell r="L420" t="str">
            <v>10.187.202.129</v>
          </cell>
          <cell r="M420" t="str">
            <v>/28</v>
          </cell>
          <cell r="N420">
            <v>812</v>
          </cell>
          <cell r="O420" t="str">
            <v>10.187.204.130</v>
          </cell>
          <cell r="P420" t="str">
            <v>10.187.204.129</v>
          </cell>
          <cell r="Q420" t="str">
            <v>/28</v>
          </cell>
          <cell r="R420">
            <v>822</v>
          </cell>
        </row>
        <row r="421">
          <cell r="E421" t="str">
            <v>AC195</v>
          </cell>
          <cell r="F421" t="str">
            <v>AC802</v>
          </cell>
          <cell r="G421" t="str">
            <v>10.187.200.131</v>
          </cell>
          <cell r="H421" t="str">
            <v>10.187.200.129</v>
          </cell>
          <cell r="I421" t="str">
            <v>/28</v>
          </cell>
          <cell r="J421">
            <v>802</v>
          </cell>
          <cell r="K421" t="str">
            <v>10.187.202.131</v>
          </cell>
          <cell r="L421" t="str">
            <v>10.187.202.129</v>
          </cell>
          <cell r="M421" t="str">
            <v>/28</v>
          </cell>
          <cell r="N421">
            <v>812</v>
          </cell>
          <cell r="O421" t="str">
            <v>10.187.204.131</v>
          </cell>
          <cell r="P421" t="str">
            <v>10.187.204.129</v>
          </cell>
          <cell r="Q421" t="str">
            <v>/28</v>
          </cell>
          <cell r="R421">
            <v>822</v>
          </cell>
        </row>
        <row r="422">
          <cell r="E422" t="str">
            <v>AC195</v>
          </cell>
          <cell r="F422" t="str">
            <v>AC195</v>
          </cell>
          <cell r="G422" t="str">
            <v>10.187.200.132</v>
          </cell>
          <cell r="H422" t="str">
            <v>10.187.200.129</v>
          </cell>
          <cell r="I422" t="str">
            <v>/28</v>
          </cell>
          <cell r="J422">
            <v>802</v>
          </cell>
          <cell r="K422" t="str">
            <v>10.187.202.132</v>
          </cell>
          <cell r="L422" t="str">
            <v>10.187.202.129</v>
          </cell>
          <cell r="M422" t="str">
            <v>/28</v>
          </cell>
          <cell r="N422">
            <v>812</v>
          </cell>
          <cell r="O422" t="str">
            <v>10.187.204.132</v>
          </cell>
          <cell r="P422" t="str">
            <v>10.187.204.129</v>
          </cell>
          <cell r="Q422" t="str">
            <v>/28</v>
          </cell>
          <cell r="R422">
            <v>822</v>
          </cell>
        </row>
        <row r="423">
          <cell r="E423" t="str">
            <v>AC195</v>
          </cell>
          <cell r="F423" t="str">
            <v>AC196</v>
          </cell>
          <cell r="G423" t="str">
            <v>10.187.200.133</v>
          </cell>
          <cell r="H423" t="str">
            <v>10.187.200.129</v>
          </cell>
          <cell r="I423" t="str">
            <v>/28</v>
          </cell>
          <cell r="J423">
            <v>802</v>
          </cell>
          <cell r="K423" t="str">
            <v>10.187.202.133</v>
          </cell>
          <cell r="L423" t="str">
            <v>10.187.202.129</v>
          </cell>
          <cell r="M423" t="str">
            <v>/28</v>
          </cell>
          <cell r="N423">
            <v>812</v>
          </cell>
          <cell r="O423" t="str">
            <v>10.187.204.133</v>
          </cell>
          <cell r="P423" t="str">
            <v>10.187.204.129</v>
          </cell>
          <cell r="Q423" t="str">
            <v>/28</v>
          </cell>
          <cell r="R423">
            <v>822</v>
          </cell>
        </row>
        <row r="424">
          <cell r="E424" t="str">
            <v>AC195</v>
          </cell>
          <cell r="F424" t="str">
            <v>AC751</v>
          </cell>
          <cell r="G424" t="str">
            <v>10.187.200.134</v>
          </cell>
          <cell r="H424" t="str">
            <v>10.187.200.129</v>
          </cell>
          <cell r="I424" t="str">
            <v>/28</v>
          </cell>
          <cell r="J424">
            <v>802</v>
          </cell>
          <cell r="K424" t="str">
            <v>10.187.202.134</v>
          </cell>
          <cell r="L424" t="str">
            <v>10.187.202.129</v>
          </cell>
          <cell r="M424" t="str">
            <v>/28</v>
          </cell>
          <cell r="N424">
            <v>812</v>
          </cell>
          <cell r="O424" t="str">
            <v>10.187.204.134</v>
          </cell>
          <cell r="P424" t="str">
            <v>10.187.204.129</v>
          </cell>
          <cell r="Q424" t="str">
            <v>/28</v>
          </cell>
          <cell r="R424">
            <v>822</v>
          </cell>
        </row>
        <row r="425">
          <cell r="E425" t="str">
            <v>AC195</v>
          </cell>
          <cell r="F425" t="str">
            <v>ET437</v>
          </cell>
          <cell r="G425" t="str">
            <v>10.187.200.135</v>
          </cell>
          <cell r="H425" t="str">
            <v>10.187.200.129</v>
          </cell>
          <cell r="I425" t="str">
            <v>/28</v>
          </cell>
          <cell r="J425">
            <v>802</v>
          </cell>
          <cell r="K425" t="str">
            <v>10.187.202.135</v>
          </cell>
          <cell r="L425" t="str">
            <v>10.187.202.129</v>
          </cell>
          <cell r="M425" t="str">
            <v>/28</v>
          </cell>
          <cell r="N425">
            <v>812</v>
          </cell>
          <cell r="O425" t="str">
            <v>10.187.204.135</v>
          </cell>
          <cell r="P425" t="str">
            <v>10.187.204.129</v>
          </cell>
          <cell r="Q425" t="str">
            <v>/28</v>
          </cell>
          <cell r="R425">
            <v>822</v>
          </cell>
        </row>
        <row r="426">
          <cell r="E426" t="str">
            <v>AC195</v>
          </cell>
          <cell r="F426" t="str">
            <v>ET455</v>
          </cell>
          <cell r="G426" t="str">
            <v>10.187.200.136</v>
          </cell>
          <cell r="H426" t="str">
            <v>10.187.200.129</v>
          </cell>
          <cell r="I426" t="str">
            <v>/28</v>
          </cell>
          <cell r="J426">
            <v>802</v>
          </cell>
          <cell r="K426" t="str">
            <v>10.187.202.136</v>
          </cell>
          <cell r="L426" t="str">
            <v>10.187.202.129</v>
          </cell>
          <cell r="M426" t="str">
            <v>/28</v>
          </cell>
          <cell r="N426">
            <v>812</v>
          </cell>
          <cell r="O426" t="str">
            <v>10.187.204.136</v>
          </cell>
          <cell r="P426" t="str">
            <v>10.187.204.129</v>
          </cell>
          <cell r="Q426" t="str">
            <v>/28</v>
          </cell>
          <cell r="R426">
            <v>822</v>
          </cell>
        </row>
        <row r="427">
          <cell r="E427" t="str">
            <v>AC195</v>
          </cell>
          <cell r="F427" t="str">
            <v>AC285</v>
          </cell>
          <cell r="G427" t="str">
            <v>10.187.200.137</v>
          </cell>
          <cell r="H427" t="str">
            <v>10.187.200.129</v>
          </cell>
          <cell r="I427" t="str">
            <v>/28</v>
          </cell>
          <cell r="J427">
            <v>802</v>
          </cell>
          <cell r="K427" t="str">
            <v>10.187.202.137</v>
          </cell>
          <cell r="L427" t="str">
            <v>10.187.202.129</v>
          </cell>
          <cell r="M427" t="str">
            <v>/28</v>
          </cell>
          <cell r="N427">
            <v>812</v>
          </cell>
          <cell r="O427" t="str">
            <v>10.187.204.137</v>
          </cell>
          <cell r="P427" t="str">
            <v>10.187.204.129</v>
          </cell>
          <cell r="Q427" t="str">
            <v>/28</v>
          </cell>
          <cell r="R427">
            <v>822</v>
          </cell>
        </row>
        <row r="428">
          <cell r="E428" t="str">
            <v>AC195</v>
          </cell>
          <cell r="F428" t="str">
            <v>ET471</v>
          </cell>
          <cell r="G428" t="str">
            <v>10.187.200.138</v>
          </cell>
          <cell r="H428" t="str">
            <v>10.187.200.129</v>
          </cell>
          <cell r="I428" t="str">
            <v>/28</v>
          </cell>
          <cell r="J428">
            <v>802</v>
          </cell>
          <cell r="K428" t="str">
            <v>10.187.202.138</v>
          </cell>
          <cell r="L428" t="str">
            <v>10.187.202.129</v>
          </cell>
          <cell r="M428" t="str">
            <v>/28</v>
          </cell>
          <cell r="N428">
            <v>812</v>
          </cell>
          <cell r="O428" t="str">
            <v>10.187.204.138</v>
          </cell>
          <cell r="P428" t="str">
            <v>10.187.204.129</v>
          </cell>
          <cell r="Q428" t="str">
            <v>/28</v>
          </cell>
          <cell r="R428">
            <v>822</v>
          </cell>
        </row>
        <row r="429">
          <cell r="E429" t="str">
            <v>AC195</v>
          </cell>
          <cell r="F429" t="str">
            <v>AC748</v>
          </cell>
          <cell r="G429" t="str">
            <v>10.187.200.139</v>
          </cell>
          <cell r="H429" t="str">
            <v>10.187.200.129</v>
          </cell>
          <cell r="I429" t="str">
            <v>/28</v>
          </cell>
          <cell r="J429">
            <v>802</v>
          </cell>
          <cell r="K429" t="str">
            <v>10.187.202.139</v>
          </cell>
          <cell r="L429" t="str">
            <v>10.187.202.129</v>
          </cell>
          <cell r="M429" t="str">
            <v>/28</v>
          </cell>
          <cell r="N429">
            <v>812</v>
          </cell>
          <cell r="O429" t="str">
            <v>10.187.204.139</v>
          </cell>
          <cell r="P429" t="str">
            <v>10.187.204.129</v>
          </cell>
          <cell r="Q429" t="str">
            <v>/28</v>
          </cell>
          <cell r="R429">
            <v>822</v>
          </cell>
        </row>
        <row r="430">
          <cell r="E430" t="str">
            <v>AC195</v>
          </cell>
          <cell r="F430" t="str">
            <v>ET996</v>
          </cell>
          <cell r="G430" t="str">
            <v>10.187.200.140</v>
          </cell>
          <cell r="H430" t="str">
            <v>10.187.200.129</v>
          </cell>
          <cell r="I430" t="str">
            <v>/28</v>
          </cell>
          <cell r="J430">
            <v>802</v>
          </cell>
          <cell r="K430" t="str">
            <v>10.187.202.140</v>
          </cell>
          <cell r="L430" t="str">
            <v>10.187.202.129</v>
          </cell>
          <cell r="M430" t="str">
            <v>/28</v>
          </cell>
          <cell r="N430">
            <v>812</v>
          </cell>
          <cell r="O430" t="str">
            <v>10.187.204.140</v>
          </cell>
          <cell r="P430" t="str">
            <v>10.187.204.129</v>
          </cell>
          <cell r="Q430" t="str">
            <v>/28</v>
          </cell>
          <cell r="R430">
            <v>822</v>
          </cell>
        </row>
        <row r="431">
          <cell r="E431" t="str">
            <v>AC195</v>
          </cell>
          <cell r="F431" t="str">
            <v>AC282</v>
          </cell>
          <cell r="G431" t="str">
            <v>10.187.200.141</v>
          </cell>
          <cell r="H431" t="str">
            <v>10.187.200.129</v>
          </cell>
          <cell r="I431" t="str">
            <v>/28</v>
          </cell>
          <cell r="J431">
            <v>802</v>
          </cell>
          <cell r="K431" t="str">
            <v>10.187.202.141</v>
          </cell>
          <cell r="L431" t="str">
            <v>10.187.202.129</v>
          </cell>
          <cell r="M431" t="str">
            <v>/28</v>
          </cell>
          <cell r="N431">
            <v>812</v>
          </cell>
          <cell r="O431" t="str">
            <v>10.187.204.141</v>
          </cell>
          <cell r="P431" t="str">
            <v>10.187.204.129</v>
          </cell>
          <cell r="Q431" t="str">
            <v>/28</v>
          </cell>
          <cell r="R431">
            <v>822</v>
          </cell>
        </row>
        <row r="432">
          <cell r="E432" t="str">
            <v>AC195</v>
          </cell>
          <cell r="F432" t="str">
            <v>ET299</v>
          </cell>
          <cell r="G432" t="str">
            <v>10.187.200.142</v>
          </cell>
          <cell r="H432" t="str">
            <v>10.187.200.129</v>
          </cell>
          <cell r="I432" t="str">
            <v>/28</v>
          </cell>
          <cell r="J432">
            <v>802</v>
          </cell>
          <cell r="K432" t="str">
            <v>10.187.202.142</v>
          </cell>
          <cell r="L432" t="str">
            <v>10.187.202.129</v>
          </cell>
          <cell r="M432" t="str">
            <v>/28</v>
          </cell>
          <cell r="N432">
            <v>812</v>
          </cell>
          <cell r="O432" t="str">
            <v>10.187.204.142</v>
          </cell>
          <cell r="P432" t="str">
            <v>10.187.204.129</v>
          </cell>
          <cell r="Q432" t="str">
            <v>/28</v>
          </cell>
          <cell r="R432">
            <v>822</v>
          </cell>
        </row>
        <row r="433">
          <cell r="E433" t="str">
            <v>AC195</v>
          </cell>
          <cell r="G433" t="str">
            <v>10.187.200.143</v>
          </cell>
          <cell r="H433" t="str">
            <v>10.187.200.129</v>
          </cell>
          <cell r="I433" t="str">
            <v>/28</v>
          </cell>
          <cell r="J433">
            <v>802</v>
          </cell>
          <cell r="K433" t="str">
            <v>10.187.202.143</v>
          </cell>
          <cell r="L433" t="str">
            <v>10.187.202.129</v>
          </cell>
          <cell r="M433" t="str">
            <v>/28</v>
          </cell>
          <cell r="N433">
            <v>812</v>
          </cell>
          <cell r="O433" t="str">
            <v>10.187.204.143</v>
          </cell>
          <cell r="P433" t="str">
            <v>10.187.204.129</v>
          </cell>
          <cell r="Q433" t="str">
            <v>/28</v>
          </cell>
          <cell r="R433">
            <v>822</v>
          </cell>
        </row>
        <row r="434">
          <cell r="E434" t="str">
            <v>AC195</v>
          </cell>
          <cell r="G434" t="str">
            <v xml:space="preserve">	10.187.207.48</v>
          </cell>
          <cell r="H434" t="str">
            <v xml:space="preserve">	10.187.207.49</v>
          </cell>
          <cell r="I434" t="str">
            <v>/28</v>
          </cell>
          <cell r="J434">
            <v>800</v>
          </cell>
          <cell r="K434" t="str">
            <v>10.187.207.112</v>
          </cell>
          <cell r="L434" t="str">
            <v>10.187.207.113</v>
          </cell>
          <cell r="M434" t="str">
            <v>/28</v>
          </cell>
          <cell r="N434">
            <v>810</v>
          </cell>
          <cell r="O434" t="str">
            <v>10.187.207.176</v>
          </cell>
          <cell r="P434" t="str">
            <v>10.187.207.177</v>
          </cell>
          <cell r="Q434" t="str">
            <v>/28</v>
          </cell>
          <cell r="R434">
            <v>820</v>
          </cell>
        </row>
        <row r="435">
          <cell r="E435" t="str">
            <v>AC195</v>
          </cell>
          <cell r="G435" t="str">
            <v xml:space="preserve">	10.187.207.49</v>
          </cell>
          <cell r="H435" t="str">
            <v xml:space="preserve">	10.187.207.49</v>
          </cell>
          <cell r="I435" t="str">
            <v>/28</v>
          </cell>
          <cell r="J435">
            <v>800</v>
          </cell>
          <cell r="K435" t="str">
            <v>10.187.207.113</v>
          </cell>
          <cell r="L435" t="str">
            <v>10.187.207.113</v>
          </cell>
          <cell r="M435" t="str">
            <v>/28</v>
          </cell>
          <cell r="N435">
            <v>810</v>
          </cell>
          <cell r="O435" t="str">
            <v>10.187.207.177</v>
          </cell>
          <cell r="P435" t="str">
            <v>10.187.207.177</v>
          </cell>
          <cell r="Q435" t="str">
            <v>/28</v>
          </cell>
          <cell r="R435">
            <v>820</v>
          </cell>
        </row>
        <row r="436">
          <cell r="E436" t="str">
            <v>AC195</v>
          </cell>
          <cell r="F436" t="str">
            <v>ET616</v>
          </cell>
          <cell r="G436" t="str">
            <v xml:space="preserve">	10.187.207.50</v>
          </cell>
          <cell r="H436" t="str">
            <v xml:space="preserve">	10.187.207.49</v>
          </cell>
          <cell r="I436" t="str">
            <v>/28</v>
          </cell>
          <cell r="J436">
            <v>800</v>
          </cell>
          <cell r="K436" t="str">
            <v>10.187.207.114</v>
          </cell>
          <cell r="L436" t="str">
            <v>10.187.207.113</v>
          </cell>
          <cell r="M436" t="str">
            <v>/28</v>
          </cell>
          <cell r="N436">
            <v>810</v>
          </cell>
          <cell r="O436" t="str">
            <v>10.187.207.178</v>
          </cell>
          <cell r="P436" t="str">
            <v>10.187.207.177</v>
          </cell>
          <cell r="Q436" t="str">
            <v>/28</v>
          </cell>
          <cell r="R436">
            <v>820</v>
          </cell>
        </row>
        <row r="437">
          <cell r="E437" t="str">
            <v>AC195</v>
          </cell>
          <cell r="F437" t="str">
            <v>ET616</v>
          </cell>
          <cell r="G437" t="str">
            <v xml:space="preserve">	10.187.207.51</v>
          </cell>
          <cell r="H437" t="str">
            <v xml:space="preserve">	10.187.207.49</v>
          </cell>
          <cell r="I437" t="str">
            <v>/28</v>
          </cell>
          <cell r="J437">
            <v>800</v>
          </cell>
          <cell r="K437" t="str">
            <v>10.187.207.115</v>
          </cell>
          <cell r="L437" t="str">
            <v>10.187.207.113</v>
          </cell>
          <cell r="M437" t="str">
            <v>/28</v>
          </cell>
          <cell r="N437">
            <v>810</v>
          </cell>
          <cell r="O437" t="str">
            <v>10.187.207.179</v>
          </cell>
          <cell r="P437" t="str">
            <v>10.187.207.177</v>
          </cell>
          <cell r="Q437" t="str">
            <v>/28</v>
          </cell>
          <cell r="R437">
            <v>820</v>
          </cell>
        </row>
        <row r="438">
          <cell r="E438" t="str">
            <v>AC195</v>
          </cell>
          <cell r="G438" t="str">
            <v xml:space="preserve">	10.187.207.52</v>
          </cell>
          <cell r="H438" t="str">
            <v xml:space="preserve">	10.187.207.49</v>
          </cell>
          <cell r="I438" t="str">
            <v>/28</v>
          </cell>
          <cell r="J438">
            <v>800</v>
          </cell>
          <cell r="K438" t="str">
            <v>10.187.207.116</v>
          </cell>
          <cell r="L438" t="str">
            <v>10.187.207.113</v>
          </cell>
          <cell r="M438" t="str">
            <v>/28</v>
          </cell>
          <cell r="N438">
            <v>810</v>
          </cell>
          <cell r="O438" t="str">
            <v>10.187.207.180</v>
          </cell>
          <cell r="P438" t="str">
            <v>10.187.207.177</v>
          </cell>
          <cell r="Q438" t="str">
            <v>/28</v>
          </cell>
          <cell r="R438">
            <v>820</v>
          </cell>
        </row>
        <row r="439">
          <cell r="E439" t="str">
            <v>AC195</v>
          </cell>
          <cell r="G439" t="str">
            <v xml:space="preserve">	10.187.207.53</v>
          </cell>
          <cell r="H439" t="str">
            <v xml:space="preserve">	10.187.207.49</v>
          </cell>
          <cell r="I439" t="str">
            <v>/28</v>
          </cell>
          <cell r="J439">
            <v>800</v>
          </cell>
          <cell r="K439" t="str">
            <v>10.187.207.117</v>
          </cell>
          <cell r="L439" t="str">
            <v>10.187.207.113</v>
          </cell>
          <cell r="M439" t="str">
            <v>/28</v>
          </cell>
          <cell r="N439">
            <v>810</v>
          </cell>
          <cell r="O439" t="str">
            <v>10.187.207.181</v>
          </cell>
          <cell r="P439" t="str">
            <v>10.187.207.177</v>
          </cell>
          <cell r="Q439" t="str">
            <v>/28</v>
          </cell>
          <cell r="R439">
            <v>820</v>
          </cell>
        </row>
        <row r="440">
          <cell r="E440" t="str">
            <v>AC195</v>
          </cell>
          <cell r="G440" t="str">
            <v xml:space="preserve">	10.187.207.54</v>
          </cell>
          <cell r="H440" t="str">
            <v xml:space="preserve">	10.187.207.49</v>
          </cell>
          <cell r="I440" t="str">
            <v>/28</v>
          </cell>
          <cell r="J440">
            <v>800</v>
          </cell>
          <cell r="K440" t="str">
            <v>10.187.207.118</v>
          </cell>
          <cell r="L440" t="str">
            <v>10.187.207.113</v>
          </cell>
          <cell r="M440" t="str">
            <v>/28</v>
          </cell>
          <cell r="N440">
            <v>810</v>
          </cell>
          <cell r="O440" t="str">
            <v>10.187.207.182</v>
          </cell>
          <cell r="P440" t="str">
            <v>10.187.207.177</v>
          </cell>
          <cell r="Q440" t="str">
            <v>/28</v>
          </cell>
          <cell r="R440">
            <v>820</v>
          </cell>
        </row>
        <row r="441">
          <cell r="E441" t="str">
            <v>AC195</v>
          </cell>
          <cell r="G441" t="str">
            <v xml:space="preserve">	10.187.207.55</v>
          </cell>
          <cell r="H441" t="str">
            <v xml:space="preserve">	10.187.207.49</v>
          </cell>
          <cell r="I441" t="str">
            <v>/28</v>
          </cell>
          <cell r="J441">
            <v>800</v>
          </cell>
          <cell r="K441" t="str">
            <v>10.187.207.119</v>
          </cell>
          <cell r="L441" t="str">
            <v>10.187.207.113</v>
          </cell>
          <cell r="M441" t="str">
            <v>/28</v>
          </cell>
          <cell r="N441">
            <v>810</v>
          </cell>
          <cell r="O441" t="str">
            <v>10.187.207.183</v>
          </cell>
          <cell r="P441" t="str">
            <v>10.187.207.177</v>
          </cell>
          <cell r="Q441" t="str">
            <v>/28</v>
          </cell>
          <cell r="R441">
            <v>820</v>
          </cell>
        </row>
        <row r="442">
          <cell r="E442" t="str">
            <v>AC195</v>
          </cell>
          <cell r="G442" t="str">
            <v xml:space="preserve">	10.187.207.56</v>
          </cell>
          <cell r="H442" t="str">
            <v xml:space="preserve">	10.187.207.49</v>
          </cell>
          <cell r="I442" t="str">
            <v>/28</v>
          </cell>
          <cell r="J442">
            <v>800</v>
          </cell>
          <cell r="K442" t="str">
            <v>10.187.207.120</v>
          </cell>
          <cell r="L442" t="str">
            <v>10.187.207.113</v>
          </cell>
          <cell r="M442" t="str">
            <v>/28</v>
          </cell>
          <cell r="N442">
            <v>810</v>
          </cell>
          <cell r="O442" t="str">
            <v>10.187.207.184</v>
          </cell>
          <cell r="P442" t="str">
            <v>10.187.207.177</v>
          </cell>
          <cell r="Q442" t="str">
            <v>/28</v>
          </cell>
          <cell r="R442">
            <v>820</v>
          </cell>
        </row>
        <row r="443">
          <cell r="E443" t="str">
            <v>AC195</v>
          </cell>
          <cell r="G443" t="str">
            <v xml:space="preserve">	10.187.207.57</v>
          </cell>
          <cell r="H443" t="str">
            <v xml:space="preserve">	10.187.207.49</v>
          </cell>
          <cell r="I443" t="str">
            <v>/28</v>
          </cell>
          <cell r="J443">
            <v>800</v>
          </cell>
          <cell r="K443" t="str">
            <v>10.187.207.121</v>
          </cell>
          <cell r="L443" t="str">
            <v>10.187.207.113</v>
          </cell>
          <cell r="M443" t="str">
            <v>/28</v>
          </cell>
          <cell r="N443">
            <v>810</v>
          </cell>
          <cell r="O443" t="str">
            <v>10.187.207.185</v>
          </cell>
          <cell r="P443" t="str">
            <v>10.187.207.177</v>
          </cell>
          <cell r="Q443" t="str">
            <v>/28</v>
          </cell>
          <cell r="R443">
            <v>820</v>
          </cell>
        </row>
        <row r="444">
          <cell r="E444" t="str">
            <v>AC195</v>
          </cell>
          <cell r="G444" t="str">
            <v xml:space="preserve">	10.187.207.58</v>
          </cell>
          <cell r="H444" t="str">
            <v xml:space="preserve">	10.187.207.49</v>
          </cell>
          <cell r="I444" t="str">
            <v>/28</v>
          </cell>
          <cell r="J444">
            <v>800</v>
          </cell>
          <cell r="K444" t="str">
            <v>10.187.207.122</v>
          </cell>
          <cell r="L444" t="str">
            <v>10.187.207.113</v>
          </cell>
          <cell r="M444" t="str">
            <v>/28</v>
          </cell>
          <cell r="N444">
            <v>810</v>
          </cell>
          <cell r="O444" t="str">
            <v>10.187.207.186</v>
          </cell>
          <cell r="P444" t="str">
            <v>10.187.207.177</v>
          </cell>
          <cell r="Q444" t="str">
            <v>/28</v>
          </cell>
          <cell r="R444">
            <v>820</v>
          </cell>
        </row>
        <row r="445">
          <cell r="E445" t="str">
            <v>AC195</v>
          </cell>
          <cell r="G445" t="str">
            <v xml:space="preserve">	10.187.207.59</v>
          </cell>
          <cell r="H445" t="str">
            <v xml:space="preserve">	10.187.207.49</v>
          </cell>
          <cell r="I445" t="str">
            <v>/28</v>
          </cell>
          <cell r="J445">
            <v>800</v>
          </cell>
          <cell r="K445" t="str">
            <v>10.187.207.123</v>
          </cell>
          <cell r="L445" t="str">
            <v>10.187.207.113</v>
          </cell>
          <cell r="M445" t="str">
            <v>/28</v>
          </cell>
          <cell r="N445">
            <v>810</v>
          </cell>
          <cell r="O445" t="str">
            <v>10.187.207.187</v>
          </cell>
          <cell r="P445" t="str">
            <v>10.187.207.177</v>
          </cell>
          <cell r="Q445" t="str">
            <v>/28</v>
          </cell>
          <cell r="R445">
            <v>820</v>
          </cell>
        </row>
        <row r="446">
          <cell r="E446" t="str">
            <v>AC195</v>
          </cell>
          <cell r="G446" t="str">
            <v xml:space="preserve">	10.187.207.60</v>
          </cell>
          <cell r="H446" t="str">
            <v xml:space="preserve">	10.187.207.49</v>
          </cell>
          <cell r="I446" t="str">
            <v>/28</v>
          </cell>
          <cell r="J446">
            <v>800</v>
          </cell>
          <cell r="K446" t="str">
            <v>10.187.207.124</v>
          </cell>
          <cell r="L446" t="str">
            <v>10.187.207.113</v>
          </cell>
          <cell r="M446" t="str">
            <v>/28</v>
          </cell>
          <cell r="N446">
            <v>810</v>
          </cell>
          <cell r="O446" t="str">
            <v>10.187.207.188</v>
          </cell>
          <cell r="P446" t="str">
            <v>10.187.207.177</v>
          </cell>
          <cell r="Q446" t="str">
            <v>/28</v>
          </cell>
          <cell r="R446">
            <v>820</v>
          </cell>
        </row>
        <row r="447">
          <cell r="E447" t="str">
            <v>AC195</v>
          </cell>
          <cell r="G447" t="str">
            <v xml:space="preserve">	10.187.207.61</v>
          </cell>
          <cell r="H447" t="str">
            <v xml:space="preserve">	10.187.207.49</v>
          </cell>
          <cell r="I447" t="str">
            <v>/28</v>
          </cell>
          <cell r="J447">
            <v>800</v>
          </cell>
          <cell r="K447" t="str">
            <v>10.187.207.125</v>
          </cell>
          <cell r="L447" t="str">
            <v>10.187.207.113</v>
          </cell>
          <cell r="M447" t="str">
            <v>/28</v>
          </cell>
          <cell r="N447">
            <v>810</v>
          </cell>
          <cell r="O447" t="str">
            <v>10.187.207.189</v>
          </cell>
          <cell r="P447" t="str">
            <v>10.187.207.177</v>
          </cell>
          <cell r="Q447" t="str">
            <v>/28</v>
          </cell>
          <cell r="R447">
            <v>820</v>
          </cell>
        </row>
        <row r="448">
          <cell r="E448" t="str">
            <v>AC195</v>
          </cell>
          <cell r="G448" t="str">
            <v xml:space="preserve">	10.187.207.62</v>
          </cell>
          <cell r="H448" t="str">
            <v xml:space="preserve">	10.187.207.49</v>
          </cell>
          <cell r="I448" t="str">
            <v>/28</v>
          </cell>
          <cell r="J448">
            <v>800</v>
          </cell>
          <cell r="K448" t="str">
            <v>10.187.207.126</v>
          </cell>
          <cell r="L448" t="str">
            <v>10.187.207.113</v>
          </cell>
          <cell r="M448" t="str">
            <v>/28</v>
          </cell>
          <cell r="N448">
            <v>810</v>
          </cell>
          <cell r="O448" t="str">
            <v>10.187.207.190</v>
          </cell>
          <cell r="P448" t="str">
            <v>10.187.207.177</v>
          </cell>
          <cell r="Q448" t="str">
            <v>/28</v>
          </cell>
          <cell r="R448">
            <v>820</v>
          </cell>
        </row>
        <row r="449">
          <cell r="E449" t="str">
            <v>AC195</v>
          </cell>
          <cell r="G449" t="str">
            <v xml:space="preserve">	10.187.207.63</v>
          </cell>
          <cell r="H449" t="str">
            <v xml:space="preserve">	10.187.207.49</v>
          </cell>
          <cell r="I449" t="str">
            <v>/28</v>
          </cell>
          <cell r="J449">
            <v>800</v>
          </cell>
          <cell r="K449" t="str">
            <v>10.187.207.127</v>
          </cell>
          <cell r="L449" t="str">
            <v>10.187.207.113</v>
          </cell>
          <cell r="M449" t="str">
            <v>/28</v>
          </cell>
          <cell r="N449">
            <v>810</v>
          </cell>
          <cell r="O449" t="str">
            <v>10.187.207.191</v>
          </cell>
          <cell r="P449" t="str">
            <v>10.187.207.177</v>
          </cell>
          <cell r="Q449" t="str">
            <v>/28</v>
          </cell>
          <cell r="R449">
            <v>820</v>
          </cell>
        </row>
        <row r="450">
          <cell r="E450" t="str">
            <v>AC153</v>
          </cell>
          <cell r="G450" t="str">
            <v>10.187.207.48</v>
          </cell>
          <cell r="H450" t="str">
            <v>10.187.207.49</v>
          </cell>
          <cell r="I450" t="str">
            <v>/28</v>
          </cell>
          <cell r="J450">
            <v>800</v>
          </cell>
          <cell r="K450" t="str">
            <v>10.187.202.192</v>
          </cell>
          <cell r="L450" t="str">
            <v>10.187.202.193</v>
          </cell>
          <cell r="M450" t="str">
            <v>/28</v>
          </cell>
          <cell r="N450">
            <v>810</v>
          </cell>
          <cell r="O450" t="str">
            <v>10.187.204.192</v>
          </cell>
          <cell r="P450" t="str">
            <v>10.187.204.193</v>
          </cell>
          <cell r="Q450" t="str">
            <v>/28</v>
          </cell>
          <cell r="R450">
            <v>820</v>
          </cell>
        </row>
        <row r="451">
          <cell r="E451" t="str">
            <v>AC153</v>
          </cell>
          <cell r="G451" t="str">
            <v>10.187.207.49</v>
          </cell>
          <cell r="H451" t="str">
            <v>10.187.207.49</v>
          </cell>
          <cell r="I451" t="str">
            <v>/28</v>
          </cell>
          <cell r="J451">
            <v>800</v>
          </cell>
          <cell r="K451" t="str">
            <v>10.187.202.193</v>
          </cell>
          <cell r="L451" t="str">
            <v>10.187.202.193</v>
          </cell>
          <cell r="M451" t="str">
            <v>/28</v>
          </cell>
          <cell r="N451">
            <v>810</v>
          </cell>
          <cell r="O451" t="str">
            <v>10.187.204.193</v>
          </cell>
          <cell r="P451" t="str">
            <v>10.187.204.193</v>
          </cell>
          <cell r="Q451" t="str">
            <v>/28</v>
          </cell>
          <cell r="R451">
            <v>820</v>
          </cell>
        </row>
        <row r="452">
          <cell r="E452" t="str">
            <v>AC153</v>
          </cell>
          <cell r="G452" t="str">
            <v>10.187.207.50</v>
          </cell>
          <cell r="H452" t="str">
            <v>10.187.207.49</v>
          </cell>
          <cell r="I452" t="str">
            <v>/28</v>
          </cell>
          <cell r="J452">
            <v>800</v>
          </cell>
          <cell r="K452" t="str">
            <v>10.187.202.194</v>
          </cell>
          <cell r="L452" t="str">
            <v>10.187.202.193</v>
          </cell>
          <cell r="M452" t="str">
            <v>/28</v>
          </cell>
          <cell r="N452">
            <v>810</v>
          </cell>
          <cell r="O452" t="str">
            <v>10.187.204.194</v>
          </cell>
          <cell r="P452" t="str">
            <v>10.187.204.193</v>
          </cell>
          <cell r="Q452" t="str">
            <v>/28</v>
          </cell>
          <cell r="R452">
            <v>820</v>
          </cell>
        </row>
        <row r="453">
          <cell r="E453" t="str">
            <v>AC153</v>
          </cell>
          <cell r="G453" t="str">
            <v>10.187.207.51</v>
          </cell>
          <cell r="H453" t="str">
            <v>10.187.207.49</v>
          </cell>
          <cell r="I453" t="str">
            <v>/28</v>
          </cell>
          <cell r="J453">
            <v>800</v>
          </cell>
          <cell r="K453" t="str">
            <v>10.187.202.195</v>
          </cell>
          <cell r="L453" t="str">
            <v>10.187.202.193</v>
          </cell>
          <cell r="M453" t="str">
            <v>/28</v>
          </cell>
          <cell r="N453">
            <v>810</v>
          </cell>
          <cell r="O453" t="str">
            <v>10.187.204.195</v>
          </cell>
          <cell r="P453" t="str">
            <v>10.187.204.193</v>
          </cell>
          <cell r="Q453" t="str">
            <v>/28</v>
          </cell>
          <cell r="R453">
            <v>820</v>
          </cell>
        </row>
        <row r="454">
          <cell r="E454" t="str">
            <v>AC153</v>
          </cell>
          <cell r="G454" t="str">
            <v>10.187.207.52</v>
          </cell>
          <cell r="H454" t="str">
            <v>10.187.207.49</v>
          </cell>
          <cell r="I454" t="str">
            <v>/28</v>
          </cell>
          <cell r="J454">
            <v>800</v>
          </cell>
          <cell r="K454" t="str">
            <v>10.187.202.196</v>
          </cell>
          <cell r="L454" t="str">
            <v>10.187.202.193</v>
          </cell>
          <cell r="M454" t="str">
            <v>/28</v>
          </cell>
          <cell r="N454">
            <v>810</v>
          </cell>
          <cell r="O454" t="str">
            <v>10.187.204.196</v>
          </cell>
          <cell r="P454" t="str">
            <v>10.187.204.193</v>
          </cell>
          <cell r="Q454" t="str">
            <v>/28</v>
          </cell>
          <cell r="R454">
            <v>820</v>
          </cell>
        </row>
        <row r="455">
          <cell r="E455" t="str">
            <v>AC153</v>
          </cell>
          <cell r="G455" t="str">
            <v>10.187.207.53</v>
          </cell>
          <cell r="H455" t="str">
            <v>10.187.207.49</v>
          </cell>
          <cell r="I455" t="str">
            <v>/28</v>
          </cell>
          <cell r="J455">
            <v>800</v>
          </cell>
          <cell r="K455" t="str">
            <v>10.187.202.197</v>
          </cell>
          <cell r="L455" t="str">
            <v>10.187.202.193</v>
          </cell>
          <cell r="M455" t="str">
            <v>/28</v>
          </cell>
          <cell r="N455">
            <v>810</v>
          </cell>
          <cell r="O455" t="str">
            <v>10.187.204.197</v>
          </cell>
          <cell r="P455" t="str">
            <v>10.187.204.193</v>
          </cell>
          <cell r="Q455" t="str">
            <v>/28</v>
          </cell>
          <cell r="R455">
            <v>820</v>
          </cell>
        </row>
        <row r="456">
          <cell r="E456" t="str">
            <v>AC153</v>
          </cell>
          <cell r="G456" t="str">
            <v>10.187.207.54</v>
          </cell>
          <cell r="H456" t="str">
            <v>10.187.207.49</v>
          </cell>
          <cell r="I456" t="str">
            <v>/28</v>
          </cell>
          <cell r="J456">
            <v>800</v>
          </cell>
          <cell r="K456" t="str">
            <v>10.187.202.198</v>
          </cell>
          <cell r="L456" t="str">
            <v>10.187.202.193</v>
          </cell>
          <cell r="M456" t="str">
            <v>/28</v>
          </cell>
          <cell r="N456">
            <v>810</v>
          </cell>
          <cell r="O456" t="str">
            <v>10.187.204.198</v>
          </cell>
          <cell r="P456" t="str">
            <v>10.187.204.193</v>
          </cell>
          <cell r="Q456" t="str">
            <v>/28</v>
          </cell>
          <cell r="R456">
            <v>820</v>
          </cell>
        </row>
        <row r="457">
          <cell r="E457" t="str">
            <v>AC153</v>
          </cell>
          <cell r="G457" t="str">
            <v>10.187.207.55</v>
          </cell>
          <cell r="H457" t="str">
            <v>10.187.207.49</v>
          </cell>
          <cell r="I457" t="str">
            <v>/28</v>
          </cell>
          <cell r="J457">
            <v>800</v>
          </cell>
          <cell r="K457" t="str">
            <v>10.187.202.199</v>
          </cell>
          <cell r="L457" t="str">
            <v>10.187.202.193</v>
          </cell>
          <cell r="M457" t="str">
            <v>/28</v>
          </cell>
          <cell r="N457">
            <v>810</v>
          </cell>
          <cell r="O457" t="str">
            <v>10.187.204.199</v>
          </cell>
          <cell r="P457" t="str">
            <v>10.187.204.193</v>
          </cell>
          <cell r="Q457" t="str">
            <v>/28</v>
          </cell>
          <cell r="R457">
            <v>820</v>
          </cell>
        </row>
        <row r="458">
          <cell r="E458" t="str">
            <v>AC153</v>
          </cell>
          <cell r="G458" t="str">
            <v>10.187.207.56</v>
          </cell>
          <cell r="H458" t="str">
            <v>10.187.207.49</v>
          </cell>
          <cell r="I458" t="str">
            <v>/28</v>
          </cell>
          <cell r="J458">
            <v>800</v>
          </cell>
          <cell r="K458" t="str">
            <v>10.187.202.200</v>
          </cell>
          <cell r="L458" t="str">
            <v>10.187.202.193</v>
          </cell>
          <cell r="M458" t="str">
            <v>/28</v>
          </cell>
          <cell r="N458">
            <v>810</v>
          </cell>
          <cell r="O458" t="str">
            <v>10.187.204.200</v>
          </cell>
          <cell r="P458" t="str">
            <v>10.187.204.193</v>
          </cell>
          <cell r="Q458" t="str">
            <v>/28</v>
          </cell>
          <cell r="R458">
            <v>820</v>
          </cell>
        </row>
        <row r="459">
          <cell r="E459" t="str">
            <v>AC153</v>
          </cell>
          <cell r="G459" t="str">
            <v>10.187.207.57</v>
          </cell>
          <cell r="H459" t="str">
            <v>10.187.207.49</v>
          </cell>
          <cell r="I459" t="str">
            <v>/28</v>
          </cell>
          <cell r="J459">
            <v>800</v>
          </cell>
          <cell r="K459" t="str">
            <v>10.187.202.201</v>
          </cell>
          <cell r="L459" t="str">
            <v>10.187.202.193</v>
          </cell>
          <cell r="M459" t="str">
            <v>/28</v>
          </cell>
          <cell r="N459">
            <v>810</v>
          </cell>
          <cell r="O459" t="str">
            <v>10.187.204.201</v>
          </cell>
          <cell r="P459" t="str">
            <v>10.187.204.193</v>
          </cell>
          <cell r="Q459" t="str">
            <v>/28</v>
          </cell>
          <cell r="R459">
            <v>820</v>
          </cell>
        </row>
        <row r="460">
          <cell r="E460" t="str">
            <v>AC153</v>
          </cell>
          <cell r="G460" t="str">
            <v>10.187.207.58</v>
          </cell>
          <cell r="H460" t="str">
            <v>10.187.207.49</v>
          </cell>
          <cell r="I460" t="str">
            <v>/28</v>
          </cell>
          <cell r="J460">
            <v>800</v>
          </cell>
          <cell r="K460" t="str">
            <v>10.187.202.202</v>
          </cell>
          <cell r="L460" t="str">
            <v>10.187.202.193</v>
          </cell>
          <cell r="M460" t="str">
            <v>/28</v>
          </cell>
          <cell r="N460">
            <v>810</v>
          </cell>
          <cell r="O460" t="str">
            <v>10.187.204.202</v>
          </cell>
          <cell r="P460" t="str">
            <v>10.187.204.193</v>
          </cell>
          <cell r="Q460" t="str">
            <v>/28</v>
          </cell>
          <cell r="R460">
            <v>820</v>
          </cell>
        </row>
        <row r="461">
          <cell r="E461" t="str">
            <v>AC153</v>
          </cell>
          <cell r="G461" t="str">
            <v>10.187.207.59</v>
          </cell>
          <cell r="H461" t="str">
            <v>10.187.207.49</v>
          </cell>
          <cell r="I461" t="str">
            <v>/28</v>
          </cell>
          <cell r="J461">
            <v>800</v>
          </cell>
          <cell r="K461" t="str">
            <v>10.187.202.203</v>
          </cell>
          <cell r="L461" t="str">
            <v>10.187.202.193</v>
          </cell>
          <cell r="M461" t="str">
            <v>/28</v>
          </cell>
          <cell r="N461">
            <v>810</v>
          </cell>
          <cell r="O461" t="str">
            <v>10.187.204.203</v>
          </cell>
          <cell r="P461" t="str">
            <v>10.187.204.193</v>
          </cell>
          <cell r="Q461" t="str">
            <v>/28</v>
          </cell>
          <cell r="R461">
            <v>820</v>
          </cell>
        </row>
        <row r="462">
          <cell r="E462" t="str">
            <v>AC153</v>
          </cell>
          <cell r="G462" t="str">
            <v>10.187.207.60</v>
          </cell>
          <cell r="H462" t="str">
            <v>10.187.207.49</v>
          </cell>
          <cell r="I462" t="str">
            <v>/28</v>
          </cell>
          <cell r="J462">
            <v>800</v>
          </cell>
          <cell r="K462" t="str">
            <v>10.187.202.204</v>
          </cell>
          <cell r="L462" t="str">
            <v>10.187.202.193</v>
          </cell>
          <cell r="M462" t="str">
            <v>/28</v>
          </cell>
          <cell r="N462">
            <v>810</v>
          </cell>
          <cell r="O462" t="str">
            <v>10.187.204.204</v>
          </cell>
          <cell r="P462" t="str">
            <v>10.187.204.193</v>
          </cell>
          <cell r="Q462" t="str">
            <v>/28</v>
          </cell>
          <cell r="R462">
            <v>820</v>
          </cell>
        </row>
        <row r="463">
          <cell r="E463" t="str">
            <v>AC153</v>
          </cell>
          <cell r="G463" t="str">
            <v>10.187.207.61</v>
          </cell>
          <cell r="H463" t="str">
            <v>10.187.207.49</v>
          </cell>
          <cell r="I463" t="str">
            <v>/28</v>
          </cell>
          <cell r="J463">
            <v>800</v>
          </cell>
          <cell r="K463" t="str">
            <v>10.187.202.205</v>
          </cell>
          <cell r="L463" t="str">
            <v>10.187.202.193</v>
          </cell>
          <cell r="M463" t="str">
            <v>/28</v>
          </cell>
          <cell r="N463">
            <v>810</v>
          </cell>
          <cell r="O463" t="str">
            <v>10.187.204.205</v>
          </cell>
          <cell r="P463" t="str">
            <v>10.187.204.193</v>
          </cell>
          <cell r="Q463" t="str">
            <v>/28</v>
          </cell>
          <cell r="R463">
            <v>820</v>
          </cell>
        </row>
        <row r="464">
          <cell r="E464" t="str">
            <v>AC153</v>
          </cell>
          <cell r="G464" t="str">
            <v>10.187.207.62</v>
          </cell>
          <cell r="H464" t="str">
            <v>10.187.207.49</v>
          </cell>
          <cell r="I464" t="str">
            <v>/28</v>
          </cell>
          <cell r="J464">
            <v>800</v>
          </cell>
          <cell r="K464" t="str">
            <v>10.187.202.206</v>
          </cell>
          <cell r="L464" t="str">
            <v>10.187.202.193</v>
          </cell>
          <cell r="M464" t="str">
            <v>/28</v>
          </cell>
          <cell r="N464">
            <v>810</v>
          </cell>
          <cell r="O464" t="str">
            <v>10.187.204.206</v>
          </cell>
          <cell r="P464" t="str">
            <v>10.187.204.193</v>
          </cell>
          <cell r="Q464" t="str">
            <v>/28</v>
          </cell>
          <cell r="R464">
            <v>820</v>
          </cell>
        </row>
        <row r="465">
          <cell r="E465" t="str">
            <v>AC153</v>
          </cell>
          <cell r="G465" t="str">
            <v>10.187.207.63</v>
          </cell>
          <cell r="H465" t="str">
            <v>10.187.207.49</v>
          </cell>
          <cell r="I465" t="str">
            <v>/28</v>
          </cell>
          <cell r="J465">
            <v>800</v>
          </cell>
          <cell r="K465" t="str">
            <v>10.187.202.207</v>
          </cell>
          <cell r="L465" t="str">
            <v>10.187.202.193</v>
          </cell>
          <cell r="M465" t="str">
            <v>/28</v>
          </cell>
          <cell r="N465">
            <v>810</v>
          </cell>
          <cell r="O465" t="str">
            <v>10.187.204.207</v>
          </cell>
          <cell r="P465" t="str">
            <v>10.187.204.193</v>
          </cell>
          <cell r="Q465" t="str">
            <v>/28</v>
          </cell>
          <cell r="R465">
            <v>820</v>
          </cell>
        </row>
        <row r="466">
          <cell r="E466" t="str">
            <v>AC198</v>
          </cell>
          <cell r="G466" t="str">
            <v>10.187.199.32</v>
          </cell>
          <cell r="H466" t="str">
            <v>10.187.199.33</v>
          </cell>
          <cell r="I466" t="str">
            <v>/27</v>
          </cell>
          <cell r="J466">
            <v>802</v>
          </cell>
          <cell r="K466" t="str">
            <v>10.187.201.32</v>
          </cell>
          <cell r="L466" t="str">
            <v>10.187.201.33</v>
          </cell>
          <cell r="M466" t="str">
            <v>/27</v>
          </cell>
          <cell r="N466">
            <v>812</v>
          </cell>
          <cell r="O466" t="str">
            <v>10.187.203.32</v>
          </cell>
          <cell r="P466" t="str">
            <v>10.187.203.33</v>
          </cell>
          <cell r="Q466" t="str">
            <v>/27</v>
          </cell>
          <cell r="R466">
            <v>822</v>
          </cell>
        </row>
        <row r="467">
          <cell r="E467" t="str">
            <v>AC198</v>
          </cell>
          <cell r="G467" t="str">
            <v>10.187.199.33</v>
          </cell>
          <cell r="H467" t="str">
            <v>10.187.199.33</v>
          </cell>
          <cell r="I467" t="str">
            <v>/27</v>
          </cell>
          <cell r="J467">
            <v>802</v>
          </cell>
          <cell r="K467" t="str">
            <v>10.187.201.33</v>
          </cell>
          <cell r="L467" t="str">
            <v>10.187.201.33</v>
          </cell>
          <cell r="M467" t="str">
            <v>/27</v>
          </cell>
          <cell r="N467">
            <v>812</v>
          </cell>
          <cell r="O467" t="str">
            <v>10.187.203.33</v>
          </cell>
          <cell r="P467" t="str">
            <v>10.187.203.33</v>
          </cell>
          <cell r="Q467" t="str">
            <v>/27</v>
          </cell>
          <cell r="R467">
            <v>822</v>
          </cell>
        </row>
        <row r="468">
          <cell r="E468" t="str">
            <v>AC198</v>
          </cell>
          <cell r="F468" t="str">
            <v>ET144</v>
          </cell>
          <cell r="G468" t="str">
            <v>10.187.199.34</v>
          </cell>
          <cell r="H468" t="str">
            <v>10.187.199.33</v>
          </cell>
          <cell r="I468" t="str">
            <v>/27</v>
          </cell>
          <cell r="J468">
            <v>802</v>
          </cell>
          <cell r="K468" t="str">
            <v>10.187.201.34</v>
          </cell>
          <cell r="L468" t="str">
            <v>10.187.201.33</v>
          </cell>
          <cell r="M468" t="str">
            <v>/27</v>
          </cell>
          <cell r="N468">
            <v>812</v>
          </cell>
          <cell r="O468" t="str">
            <v>10.187.203.34</v>
          </cell>
          <cell r="P468" t="str">
            <v>10.187.203.33</v>
          </cell>
          <cell r="Q468" t="str">
            <v>/27</v>
          </cell>
          <cell r="R468">
            <v>822</v>
          </cell>
        </row>
        <row r="469">
          <cell r="E469" t="str">
            <v>AC198</v>
          </cell>
          <cell r="F469" t="str">
            <v>ET093</v>
          </cell>
          <cell r="G469" t="str">
            <v>10.187.199.35</v>
          </cell>
          <cell r="H469" t="str">
            <v>10.187.199.33</v>
          </cell>
          <cell r="I469" t="str">
            <v>/27</v>
          </cell>
          <cell r="J469">
            <v>802</v>
          </cell>
          <cell r="K469" t="str">
            <v>10.187.201.35</v>
          </cell>
          <cell r="L469" t="str">
            <v>10.187.201.33</v>
          </cell>
          <cell r="M469" t="str">
            <v>/27</v>
          </cell>
          <cell r="N469">
            <v>812</v>
          </cell>
          <cell r="O469" t="str">
            <v>10.187.203.35</v>
          </cell>
          <cell r="P469" t="str">
            <v>10.187.203.33</v>
          </cell>
          <cell r="Q469" t="str">
            <v>/27</v>
          </cell>
          <cell r="R469">
            <v>822</v>
          </cell>
        </row>
        <row r="470">
          <cell r="E470" t="str">
            <v>AC198</v>
          </cell>
          <cell r="F470" t="str">
            <v>AC786</v>
          </cell>
          <cell r="G470" t="str">
            <v>10.187.199.36</v>
          </cell>
          <cell r="H470" t="str">
            <v>10.187.199.33</v>
          </cell>
          <cell r="I470" t="str">
            <v>/27</v>
          </cell>
          <cell r="J470">
            <v>802</v>
          </cell>
          <cell r="K470" t="str">
            <v>10.187.201.36</v>
          </cell>
          <cell r="L470" t="str">
            <v>10.187.201.33</v>
          </cell>
          <cell r="M470" t="str">
            <v>/27</v>
          </cell>
          <cell r="N470">
            <v>812</v>
          </cell>
          <cell r="O470" t="str">
            <v>10.187.203.36</v>
          </cell>
          <cell r="P470" t="str">
            <v>10.187.203.33</v>
          </cell>
          <cell r="Q470" t="str">
            <v>/27</v>
          </cell>
          <cell r="R470">
            <v>822</v>
          </cell>
        </row>
        <row r="471">
          <cell r="E471" t="str">
            <v>AC198</v>
          </cell>
          <cell r="F471" t="str">
            <v>AC197</v>
          </cell>
          <cell r="G471" t="str">
            <v>10.187.199.37</v>
          </cell>
          <cell r="H471" t="str">
            <v>10.187.199.33</v>
          </cell>
          <cell r="I471" t="str">
            <v>/27</v>
          </cell>
          <cell r="J471">
            <v>802</v>
          </cell>
          <cell r="K471" t="str">
            <v>10.187.201.37</v>
          </cell>
          <cell r="L471" t="str">
            <v>10.187.201.33</v>
          </cell>
          <cell r="M471" t="str">
            <v>/27</v>
          </cell>
          <cell r="N471">
            <v>812</v>
          </cell>
          <cell r="O471" t="str">
            <v>10.187.203.37</v>
          </cell>
          <cell r="P471" t="str">
            <v>10.187.203.33</v>
          </cell>
          <cell r="Q471" t="str">
            <v>/27</v>
          </cell>
          <cell r="R471">
            <v>822</v>
          </cell>
        </row>
        <row r="472">
          <cell r="E472" t="str">
            <v>AC198</v>
          </cell>
          <cell r="F472" t="str">
            <v>ET146</v>
          </cell>
          <cell r="G472" t="str">
            <v>10.187.199.38</v>
          </cell>
          <cell r="H472" t="str">
            <v>10.187.199.33</v>
          </cell>
          <cell r="I472" t="str">
            <v>/27</v>
          </cell>
          <cell r="J472">
            <v>802</v>
          </cell>
          <cell r="K472" t="str">
            <v>10.187.201.38</v>
          </cell>
          <cell r="L472" t="str">
            <v>10.187.201.33</v>
          </cell>
          <cell r="M472" t="str">
            <v>/27</v>
          </cell>
          <cell r="N472">
            <v>812</v>
          </cell>
          <cell r="O472" t="str">
            <v>10.187.203.38</v>
          </cell>
          <cell r="P472" t="str">
            <v>10.187.203.33</v>
          </cell>
          <cell r="Q472" t="str">
            <v>/27</v>
          </cell>
          <cell r="R472">
            <v>822</v>
          </cell>
        </row>
        <row r="473">
          <cell r="E473" t="str">
            <v>AC198</v>
          </cell>
          <cell r="G473" t="str">
            <v>10.187.199.39</v>
          </cell>
          <cell r="H473" t="str">
            <v>10.187.199.33</v>
          </cell>
          <cell r="I473" t="str">
            <v>/27</v>
          </cell>
          <cell r="J473">
            <v>802</v>
          </cell>
          <cell r="K473" t="str">
            <v>10.187.201.39</v>
          </cell>
          <cell r="L473" t="str">
            <v>10.187.201.33</v>
          </cell>
          <cell r="M473" t="str">
            <v>/27</v>
          </cell>
          <cell r="N473">
            <v>812</v>
          </cell>
          <cell r="O473" t="str">
            <v>10.187.203.39</v>
          </cell>
          <cell r="P473" t="str">
            <v>10.187.203.33</v>
          </cell>
          <cell r="Q473" t="str">
            <v>/27</v>
          </cell>
          <cell r="R473">
            <v>822</v>
          </cell>
        </row>
        <row r="474">
          <cell r="E474" t="str">
            <v>AC198</v>
          </cell>
          <cell r="F474" t="str">
            <v>AC775</v>
          </cell>
          <cell r="G474" t="str">
            <v>10.187.199.40</v>
          </cell>
          <cell r="H474" t="str">
            <v>10.187.199.33</v>
          </cell>
          <cell r="I474" t="str">
            <v>/27</v>
          </cell>
          <cell r="J474">
            <v>802</v>
          </cell>
          <cell r="K474" t="str">
            <v>10.187.201.40</v>
          </cell>
          <cell r="L474" t="str">
            <v>10.187.201.33</v>
          </cell>
          <cell r="M474" t="str">
            <v>/27</v>
          </cell>
          <cell r="N474">
            <v>812</v>
          </cell>
          <cell r="O474" t="str">
            <v>10.187.203.40</v>
          </cell>
          <cell r="P474" t="str">
            <v>10.187.203.33</v>
          </cell>
          <cell r="Q474" t="str">
            <v>/27</v>
          </cell>
          <cell r="R474">
            <v>822</v>
          </cell>
        </row>
        <row r="475">
          <cell r="E475" t="str">
            <v>AC198</v>
          </cell>
          <cell r="F475" t="str">
            <v>AC776</v>
          </cell>
          <cell r="G475" t="str">
            <v>10.187.199.41</v>
          </cell>
          <cell r="H475" t="str">
            <v>10.187.199.33</v>
          </cell>
          <cell r="I475" t="str">
            <v>/27</v>
          </cell>
          <cell r="J475">
            <v>802</v>
          </cell>
          <cell r="K475" t="str">
            <v>10.187.201.41</v>
          </cell>
          <cell r="L475" t="str">
            <v>10.187.201.33</v>
          </cell>
          <cell r="M475" t="str">
            <v>/27</v>
          </cell>
          <cell r="N475">
            <v>812</v>
          </cell>
          <cell r="O475" t="str">
            <v>10.187.203.41</v>
          </cell>
          <cell r="P475" t="str">
            <v>10.187.203.33</v>
          </cell>
          <cell r="Q475" t="str">
            <v>/27</v>
          </cell>
          <cell r="R475">
            <v>822</v>
          </cell>
        </row>
        <row r="476">
          <cell r="E476" t="str">
            <v>AC198</v>
          </cell>
          <cell r="F476" t="str">
            <v>AC780</v>
          </cell>
          <cell r="G476" t="str">
            <v>10.187.199.42</v>
          </cell>
          <cell r="H476" t="str">
            <v>10.187.199.33</v>
          </cell>
          <cell r="I476" t="str">
            <v>/27</v>
          </cell>
          <cell r="J476">
            <v>802</v>
          </cell>
          <cell r="K476" t="str">
            <v>10.187.201.42</v>
          </cell>
          <cell r="L476" t="str">
            <v>10.187.201.33</v>
          </cell>
          <cell r="M476" t="str">
            <v>/27</v>
          </cell>
          <cell r="N476">
            <v>812</v>
          </cell>
          <cell r="O476" t="str">
            <v>10.187.203.42</v>
          </cell>
          <cell r="P476" t="str">
            <v>10.187.203.33</v>
          </cell>
          <cell r="Q476" t="str">
            <v>/27</v>
          </cell>
          <cell r="R476">
            <v>822</v>
          </cell>
        </row>
        <row r="477">
          <cell r="E477" t="str">
            <v>AC198</v>
          </cell>
          <cell r="F477" t="str">
            <v>AC786</v>
          </cell>
          <cell r="G477" t="str">
            <v>10.187.199.43</v>
          </cell>
          <cell r="H477" t="str">
            <v>10.187.199.33</v>
          </cell>
          <cell r="I477" t="str">
            <v>/27</v>
          </cell>
          <cell r="J477">
            <v>802</v>
          </cell>
          <cell r="K477" t="str">
            <v>10.187.201.43</v>
          </cell>
          <cell r="L477" t="str">
            <v>10.187.201.33</v>
          </cell>
          <cell r="M477" t="str">
            <v>/27</v>
          </cell>
          <cell r="N477">
            <v>812</v>
          </cell>
          <cell r="O477" t="str">
            <v>10.187.203.43</v>
          </cell>
          <cell r="P477" t="str">
            <v>10.187.203.33</v>
          </cell>
          <cell r="Q477" t="str">
            <v>/27</v>
          </cell>
          <cell r="R477">
            <v>822</v>
          </cell>
        </row>
        <row r="478">
          <cell r="E478" t="str">
            <v>AC198</v>
          </cell>
          <cell r="G478" t="str">
            <v>10.187.199.44</v>
          </cell>
          <cell r="H478" t="str">
            <v>10.187.199.33</v>
          </cell>
          <cell r="I478" t="str">
            <v>/27</v>
          </cell>
          <cell r="J478">
            <v>802</v>
          </cell>
          <cell r="K478" t="str">
            <v>10.187.201.44</v>
          </cell>
          <cell r="L478" t="str">
            <v>10.187.201.33</v>
          </cell>
          <cell r="M478" t="str">
            <v>/27</v>
          </cell>
          <cell r="N478">
            <v>812</v>
          </cell>
          <cell r="O478" t="str">
            <v>10.187.203.44</v>
          </cell>
          <cell r="P478" t="str">
            <v>10.187.203.33</v>
          </cell>
          <cell r="Q478" t="str">
            <v>/27</v>
          </cell>
          <cell r="R478">
            <v>822</v>
          </cell>
        </row>
        <row r="479">
          <cell r="E479" t="str">
            <v>AC198</v>
          </cell>
          <cell r="F479" t="str">
            <v>AC933</v>
          </cell>
          <cell r="G479" t="str">
            <v>10.187.199.45</v>
          </cell>
          <cell r="H479" t="str">
            <v>10.187.199.33</v>
          </cell>
          <cell r="I479" t="str">
            <v>/27</v>
          </cell>
          <cell r="J479">
            <v>802</v>
          </cell>
          <cell r="K479" t="str">
            <v>10.187.201.45</v>
          </cell>
          <cell r="L479" t="str">
            <v>10.187.201.33</v>
          </cell>
          <cell r="M479" t="str">
            <v>/27</v>
          </cell>
          <cell r="N479">
            <v>812</v>
          </cell>
          <cell r="O479" t="str">
            <v>10.187.203.45</v>
          </cell>
          <cell r="P479" t="str">
            <v>10.187.203.33</v>
          </cell>
          <cell r="Q479" t="str">
            <v>/27</v>
          </cell>
          <cell r="R479">
            <v>822</v>
          </cell>
        </row>
        <row r="480">
          <cell r="E480" t="str">
            <v>AC198</v>
          </cell>
          <cell r="F480" t="str">
            <v>AC964</v>
          </cell>
          <cell r="G480" t="str">
            <v>10.187.199.46</v>
          </cell>
          <cell r="H480" t="str">
            <v>10.187.199.33</v>
          </cell>
          <cell r="I480" t="str">
            <v>/27</v>
          </cell>
          <cell r="J480">
            <v>802</v>
          </cell>
          <cell r="K480" t="str">
            <v>10.187.201.46</v>
          </cell>
          <cell r="L480" t="str">
            <v>10.187.201.33</v>
          </cell>
          <cell r="M480" t="str">
            <v>/27</v>
          </cell>
          <cell r="N480">
            <v>812</v>
          </cell>
          <cell r="O480" t="str">
            <v>10.187.203.46</v>
          </cell>
          <cell r="P480" t="str">
            <v>10.187.203.33</v>
          </cell>
          <cell r="Q480" t="str">
            <v>/27</v>
          </cell>
          <cell r="R480">
            <v>822</v>
          </cell>
        </row>
        <row r="481">
          <cell r="E481" t="str">
            <v>AC198</v>
          </cell>
          <cell r="F481" t="str">
            <v>AC965</v>
          </cell>
          <cell r="G481" t="str">
            <v>10.187.199.47</v>
          </cell>
          <cell r="H481" t="str">
            <v>10.187.199.33</v>
          </cell>
          <cell r="I481" t="str">
            <v>/27</v>
          </cell>
          <cell r="J481">
            <v>802</v>
          </cell>
          <cell r="K481" t="str">
            <v>10.187.201.47</v>
          </cell>
          <cell r="L481" t="str">
            <v>10.187.201.33</v>
          </cell>
          <cell r="M481" t="str">
            <v>/27</v>
          </cell>
          <cell r="N481">
            <v>812</v>
          </cell>
          <cell r="O481" t="str">
            <v>10.187.203.47</v>
          </cell>
          <cell r="P481" t="str">
            <v>10.187.203.33</v>
          </cell>
          <cell r="Q481" t="str">
            <v>/27</v>
          </cell>
          <cell r="R481">
            <v>822</v>
          </cell>
        </row>
        <row r="482">
          <cell r="E482" t="str">
            <v>AC198</v>
          </cell>
          <cell r="G482" t="str">
            <v>10.187.199.48</v>
          </cell>
          <cell r="H482" t="str">
            <v>10.187.199.33</v>
          </cell>
          <cell r="I482" t="str">
            <v>/27</v>
          </cell>
          <cell r="J482">
            <v>802</v>
          </cell>
          <cell r="K482" t="str">
            <v>10.187.201.48</v>
          </cell>
          <cell r="L482" t="str">
            <v>10.187.201.33</v>
          </cell>
          <cell r="M482" t="str">
            <v>/27</v>
          </cell>
          <cell r="N482">
            <v>812</v>
          </cell>
          <cell r="O482" t="str">
            <v>10.187.203.48</v>
          </cell>
          <cell r="P482" t="str">
            <v>10.187.203.33</v>
          </cell>
          <cell r="Q482" t="str">
            <v>/27</v>
          </cell>
          <cell r="R482">
            <v>822</v>
          </cell>
        </row>
        <row r="483">
          <cell r="E483" t="str">
            <v>AC198</v>
          </cell>
          <cell r="F483" t="str">
            <v>ET095</v>
          </cell>
          <cell r="G483" t="str">
            <v>10.187.199.49</v>
          </cell>
          <cell r="H483" t="str">
            <v>10.187.199.33</v>
          </cell>
          <cell r="I483" t="str">
            <v>/27</v>
          </cell>
          <cell r="J483">
            <v>802</v>
          </cell>
          <cell r="K483" t="str">
            <v>10.187.201.49</v>
          </cell>
          <cell r="L483" t="str">
            <v>10.187.201.33</v>
          </cell>
          <cell r="M483" t="str">
            <v>/27</v>
          </cell>
          <cell r="N483">
            <v>812</v>
          </cell>
          <cell r="O483" t="str">
            <v>10.187.203.49</v>
          </cell>
          <cell r="P483" t="str">
            <v>10.187.203.33</v>
          </cell>
          <cell r="Q483" t="str">
            <v>/27</v>
          </cell>
          <cell r="R483">
            <v>822</v>
          </cell>
        </row>
        <row r="484">
          <cell r="E484" t="str">
            <v>AC198</v>
          </cell>
          <cell r="F484" t="str">
            <v>ET142</v>
          </cell>
          <cell r="G484" t="str">
            <v>10.187.199.50</v>
          </cell>
          <cell r="H484" t="str">
            <v>10.187.199.33</v>
          </cell>
          <cell r="I484" t="str">
            <v>/27</v>
          </cell>
          <cell r="J484">
            <v>802</v>
          </cell>
          <cell r="K484" t="str">
            <v>10.187.201.50</v>
          </cell>
          <cell r="L484" t="str">
            <v>10.187.201.33</v>
          </cell>
          <cell r="M484" t="str">
            <v>/27</v>
          </cell>
          <cell r="N484">
            <v>812</v>
          </cell>
          <cell r="O484" t="str">
            <v>10.187.203.50</v>
          </cell>
          <cell r="P484" t="str">
            <v>10.187.203.33</v>
          </cell>
          <cell r="Q484" t="str">
            <v>/27</v>
          </cell>
          <cell r="R484">
            <v>822</v>
          </cell>
        </row>
        <row r="485">
          <cell r="E485" t="str">
            <v>AC198</v>
          </cell>
          <cell r="F485" t="str">
            <v>ET147</v>
          </cell>
          <cell r="G485" t="str">
            <v>10.187.199.51</v>
          </cell>
          <cell r="H485" t="str">
            <v>10.187.199.33</v>
          </cell>
          <cell r="I485" t="str">
            <v>/27</v>
          </cell>
          <cell r="J485">
            <v>802</v>
          </cell>
          <cell r="K485" t="str">
            <v>10.187.201.51</v>
          </cell>
          <cell r="L485" t="str">
            <v>10.187.201.33</v>
          </cell>
          <cell r="M485" t="str">
            <v>/27</v>
          </cell>
          <cell r="N485">
            <v>812</v>
          </cell>
          <cell r="O485" t="str">
            <v>10.187.203.51</v>
          </cell>
          <cell r="P485" t="str">
            <v>10.187.203.33</v>
          </cell>
          <cell r="Q485" t="str">
            <v>/27</v>
          </cell>
          <cell r="R485">
            <v>822</v>
          </cell>
        </row>
        <row r="486">
          <cell r="E486" t="str">
            <v>AC198</v>
          </cell>
          <cell r="F486" t="str">
            <v>AC778</v>
          </cell>
          <cell r="G486" t="str">
            <v>10.187.199.52</v>
          </cell>
          <cell r="H486" t="str">
            <v>10.187.199.33</v>
          </cell>
          <cell r="I486" t="str">
            <v>/27</v>
          </cell>
          <cell r="J486">
            <v>802</v>
          </cell>
          <cell r="K486" t="str">
            <v>10.187.201.52</v>
          </cell>
          <cell r="L486" t="str">
            <v>10.187.201.33</v>
          </cell>
          <cell r="M486" t="str">
            <v>/27</v>
          </cell>
          <cell r="N486">
            <v>812</v>
          </cell>
          <cell r="O486" t="str">
            <v>10.187.203.52</v>
          </cell>
          <cell r="P486" t="str">
            <v>10.187.203.33</v>
          </cell>
          <cell r="Q486" t="str">
            <v>/27</v>
          </cell>
          <cell r="R486">
            <v>822</v>
          </cell>
        </row>
        <row r="487">
          <cell r="E487" t="str">
            <v>AC198</v>
          </cell>
          <cell r="F487" t="str">
            <v>AC778</v>
          </cell>
          <cell r="G487" t="str">
            <v>10.187.199.53</v>
          </cell>
          <cell r="H487" t="str">
            <v>10.187.199.33</v>
          </cell>
          <cell r="I487" t="str">
            <v>/27</v>
          </cell>
          <cell r="J487">
            <v>802</v>
          </cell>
          <cell r="K487" t="str">
            <v>10.187.201.53</v>
          </cell>
          <cell r="L487" t="str">
            <v>10.187.201.33</v>
          </cell>
          <cell r="M487" t="str">
            <v>/27</v>
          </cell>
          <cell r="N487">
            <v>812</v>
          </cell>
          <cell r="O487" t="str">
            <v>10.187.203.53</v>
          </cell>
          <cell r="P487" t="str">
            <v>10.187.203.33</v>
          </cell>
          <cell r="Q487" t="str">
            <v>/27</v>
          </cell>
          <cell r="R487">
            <v>822</v>
          </cell>
        </row>
        <row r="488">
          <cell r="E488" t="str">
            <v>AC198</v>
          </cell>
          <cell r="F488" t="str">
            <v>AC811</v>
          </cell>
          <cell r="G488" t="str">
            <v>10.187.199.54</v>
          </cell>
          <cell r="H488" t="str">
            <v>10.187.199.33</v>
          </cell>
          <cell r="I488" t="str">
            <v>/27</v>
          </cell>
          <cell r="J488">
            <v>802</v>
          </cell>
          <cell r="K488" t="str">
            <v>10.187.201.54</v>
          </cell>
          <cell r="L488" t="str">
            <v>10.187.201.33</v>
          </cell>
          <cell r="M488" t="str">
            <v>/27</v>
          </cell>
          <cell r="N488">
            <v>812</v>
          </cell>
          <cell r="O488" t="str">
            <v>10.187.203.54</v>
          </cell>
          <cell r="P488" t="str">
            <v>10.187.203.33</v>
          </cell>
          <cell r="Q488" t="str">
            <v>/27</v>
          </cell>
          <cell r="R488">
            <v>822</v>
          </cell>
        </row>
        <row r="489">
          <cell r="E489" t="str">
            <v>AC198</v>
          </cell>
          <cell r="F489" t="str">
            <v>AC811</v>
          </cell>
          <cell r="G489" t="str">
            <v>10.187.199.55</v>
          </cell>
          <cell r="H489" t="str">
            <v>10.187.199.33</v>
          </cell>
          <cell r="I489" t="str">
            <v>/27</v>
          </cell>
          <cell r="J489">
            <v>802</v>
          </cell>
          <cell r="K489" t="str">
            <v>10.187.201.55</v>
          </cell>
          <cell r="L489" t="str">
            <v>10.187.201.33</v>
          </cell>
          <cell r="M489" t="str">
            <v>/27</v>
          </cell>
          <cell r="N489">
            <v>812</v>
          </cell>
          <cell r="O489" t="str">
            <v>10.187.203.55</v>
          </cell>
          <cell r="P489" t="str">
            <v>10.187.203.33</v>
          </cell>
          <cell r="Q489" t="str">
            <v>/27</v>
          </cell>
          <cell r="R489">
            <v>822</v>
          </cell>
        </row>
        <row r="490">
          <cell r="E490" t="str">
            <v>AC198</v>
          </cell>
          <cell r="F490" t="str">
            <v>AC812</v>
          </cell>
          <cell r="G490" t="str">
            <v>10.187.199.56</v>
          </cell>
          <cell r="H490" t="str">
            <v>10.187.199.33</v>
          </cell>
          <cell r="I490" t="str">
            <v>/27</v>
          </cell>
          <cell r="J490">
            <v>802</v>
          </cell>
          <cell r="K490" t="str">
            <v>10.187.201.56</v>
          </cell>
          <cell r="L490" t="str">
            <v>10.187.201.33</v>
          </cell>
          <cell r="M490" t="str">
            <v>/27</v>
          </cell>
          <cell r="N490">
            <v>812</v>
          </cell>
          <cell r="O490" t="str">
            <v>10.187.203.56</v>
          </cell>
          <cell r="P490" t="str">
            <v>10.187.203.33</v>
          </cell>
          <cell r="Q490" t="str">
            <v>/27</v>
          </cell>
          <cell r="R490">
            <v>822</v>
          </cell>
        </row>
        <row r="491">
          <cell r="E491" t="str">
            <v>AC198</v>
          </cell>
          <cell r="F491" t="str">
            <v>AC812</v>
          </cell>
          <cell r="G491" t="str">
            <v>10.187.199.57</v>
          </cell>
          <cell r="H491" t="str">
            <v>10.187.199.33</v>
          </cell>
          <cell r="I491" t="str">
            <v>/27</v>
          </cell>
          <cell r="J491">
            <v>802</v>
          </cell>
          <cell r="K491" t="str">
            <v>10.187.201.57</v>
          </cell>
          <cell r="L491" t="str">
            <v>10.187.201.33</v>
          </cell>
          <cell r="M491" t="str">
            <v>/27</v>
          </cell>
          <cell r="N491">
            <v>812</v>
          </cell>
          <cell r="O491" t="str">
            <v>10.187.203.57</v>
          </cell>
          <cell r="P491" t="str">
            <v>10.187.203.33</v>
          </cell>
          <cell r="Q491" t="str">
            <v>/27</v>
          </cell>
          <cell r="R491">
            <v>822</v>
          </cell>
        </row>
        <row r="492">
          <cell r="E492" t="str">
            <v>AC198</v>
          </cell>
          <cell r="G492" t="str">
            <v>10.187.199.58</v>
          </cell>
          <cell r="H492" t="str">
            <v>10.187.199.33</v>
          </cell>
          <cell r="I492" t="str">
            <v>/27</v>
          </cell>
          <cell r="J492">
            <v>802</v>
          </cell>
          <cell r="K492" t="str">
            <v>10.187.201.58</v>
          </cell>
          <cell r="L492" t="str">
            <v>10.187.201.33</v>
          </cell>
          <cell r="M492" t="str">
            <v>/27</v>
          </cell>
          <cell r="N492">
            <v>812</v>
          </cell>
          <cell r="O492" t="str">
            <v>10.187.203.58</v>
          </cell>
          <cell r="P492" t="str">
            <v>10.187.203.33</v>
          </cell>
          <cell r="Q492" t="str">
            <v>/27</v>
          </cell>
          <cell r="R492">
            <v>822</v>
          </cell>
        </row>
        <row r="493">
          <cell r="E493" t="str">
            <v>AC198</v>
          </cell>
          <cell r="G493" t="str">
            <v>10.187.199.59</v>
          </cell>
          <cell r="H493" t="str">
            <v>10.187.199.33</v>
          </cell>
          <cell r="I493" t="str">
            <v>/27</v>
          </cell>
          <cell r="J493">
            <v>802</v>
          </cell>
          <cell r="K493" t="str">
            <v>10.187.201.59</v>
          </cell>
          <cell r="L493" t="str">
            <v>10.187.201.33</v>
          </cell>
          <cell r="M493" t="str">
            <v>/27</v>
          </cell>
          <cell r="N493">
            <v>812</v>
          </cell>
          <cell r="O493" t="str">
            <v>10.187.203.59</v>
          </cell>
          <cell r="P493" t="str">
            <v>10.187.203.33</v>
          </cell>
          <cell r="Q493" t="str">
            <v>/27</v>
          </cell>
          <cell r="R493">
            <v>822</v>
          </cell>
        </row>
        <row r="494">
          <cell r="E494" t="str">
            <v>AC198</v>
          </cell>
          <cell r="F494" t="str">
            <v>AC779</v>
          </cell>
          <cell r="G494" t="str">
            <v>10.187.199.60</v>
          </cell>
          <cell r="H494" t="str">
            <v>10.187.199.33</v>
          </cell>
          <cell r="I494" t="str">
            <v>/27</v>
          </cell>
          <cell r="J494">
            <v>802</v>
          </cell>
          <cell r="K494" t="str">
            <v>10.187.201.60</v>
          </cell>
          <cell r="L494" t="str">
            <v>10.187.201.33</v>
          </cell>
          <cell r="M494" t="str">
            <v>/27</v>
          </cell>
          <cell r="N494">
            <v>812</v>
          </cell>
          <cell r="O494" t="str">
            <v>10.187.203.60</v>
          </cell>
          <cell r="P494" t="str">
            <v>10.187.203.33</v>
          </cell>
          <cell r="Q494" t="str">
            <v>/27</v>
          </cell>
          <cell r="R494">
            <v>822</v>
          </cell>
        </row>
        <row r="495">
          <cell r="E495" t="str">
            <v>AC198</v>
          </cell>
          <cell r="F495" t="str">
            <v>ET119</v>
          </cell>
          <cell r="G495" t="str">
            <v>10.187.199.61</v>
          </cell>
          <cell r="H495" t="str">
            <v>10.187.199.33</v>
          </cell>
          <cell r="I495" t="str">
            <v>/27</v>
          </cell>
          <cell r="J495">
            <v>802</v>
          </cell>
          <cell r="K495" t="str">
            <v>10.187.201.61</v>
          </cell>
          <cell r="L495" t="str">
            <v>10.187.201.33</v>
          </cell>
          <cell r="M495" t="str">
            <v>/27</v>
          </cell>
          <cell r="N495">
            <v>812</v>
          </cell>
          <cell r="O495" t="str">
            <v>10.187.203.61</v>
          </cell>
          <cell r="P495" t="str">
            <v>10.187.203.33</v>
          </cell>
          <cell r="Q495" t="str">
            <v>/27</v>
          </cell>
          <cell r="R495">
            <v>822</v>
          </cell>
        </row>
        <row r="496">
          <cell r="E496" t="str">
            <v>AC198</v>
          </cell>
          <cell r="F496" t="str">
            <v>ET193</v>
          </cell>
          <cell r="G496" t="str">
            <v>10.187.199.62</v>
          </cell>
          <cell r="H496" t="str">
            <v>10.187.199.33</v>
          </cell>
          <cell r="I496" t="str">
            <v>/27</v>
          </cell>
          <cell r="J496">
            <v>802</v>
          </cell>
          <cell r="K496" t="str">
            <v>10.187.201.62</v>
          </cell>
          <cell r="L496" t="str">
            <v>10.187.201.33</v>
          </cell>
          <cell r="M496" t="str">
            <v>/27</v>
          </cell>
          <cell r="N496">
            <v>812</v>
          </cell>
          <cell r="O496" t="str">
            <v>10.187.203.62</v>
          </cell>
          <cell r="P496" t="str">
            <v>10.187.203.33</v>
          </cell>
          <cell r="Q496" t="str">
            <v>/27</v>
          </cell>
          <cell r="R496">
            <v>822</v>
          </cell>
        </row>
        <row r="497">
          <cell r="E497" t="str">
            <v>AC198</v>
          </cell>
          <cell r="G497" t="str">
            <v>10.187.199.63</v>
          </cell>
          <cell r="H497" t="str">
            <v>10.187.199.33</v>
          </cell>
          <cell r="I497" t="str">
            <v>/27</v>
          </cell>
          <cell r="J497">
            <v>802</v>
          </cell>
          <cell r="K497" t="str">
            <v>10.187.201.63</v>
          </cell>
          <cell r="L497" t="str">
            <v>10.187.201.33</v>
          </cell>
          <cell r="M497" t="str">
            <v>/27</v>
          </cell>
          <cell r="N497">
            <v>812</v>
          </cell>
          <cell r="O497" t="str">
            <v>10.187.203.63</v>
          </cell>
          <cell r="P497" t="str">
            <v>10.187.203.33</v>
          </cell>
          <cell r="Q497" t="str">
            <v>/27</v>
          </cell>
          <cell r="R497">
            <v>822</v>
          </cell>
        </row>
        <row r="498">
          <cell r="E498" t="str">
            <v>AC198</v>
          </cell>
          <cell r="G498" t="str">
            <v>10.188.28.128</v>
          </cell>
          <cell r="H498" t="str">
            <v>10.188.28.129</v>
          </cell>
          <cell r="I498" t="str">
            <v>/27</v>
          </cell>
          <cell r="J498">
            <v>803</v>
          </cell>
          <cell r="K498" t="str">
            <v>10.188.30.128</v>
          </cell>
          <cell r="L498" t="str">
            <v>10.188.30.129</v>
          </cell>
          <cell r="M498" t="str">
            <v>/27</v>
          </cell>
          <cell r="N498">
            <v>813</v>
          </cell>
          <cell r="O498" t="str">
            <v>10.188.32.128</v>
          </cell>
          <cell r="P498" t="str">
            <v>10.188.32.129</v>
          </cell>
          <cell r="Q498" t="str">
            <v>/27</v>
          </cell>
          <cell r="R498">
            <v>823</v>
          </cell>
        </row>
        <row r="499">
          <cell r="E499" t="str">
            <v>AC198</v>
          </cell>
          <cell r="G499" t="str">
            <v>10.188.28.129</v>
          </cell>
          <cell r="H499" t="str">
            <v>10.188.28.129</v>
          </cell>
          <cell r="I499" t="str">
            <v>/27</v>
          </cell>
          <cell r="J499">
            <v>803</v>
          </cell>
          <cell r="K499" t="str">
            <v>10.188.30.129</v>
          </cell>
          <cell r="L499" t="str">
            <v>10.188.30.129</v>
          </cell>
          <cell r="M499" t="str">
            <v>/27</v>
          </cell>
          <cell r="N499">
            <v>813</v>
          </cell>
          <cell r="O499" t="str">
            <v>10.188.32.129</v>
          </cell>
          <cell r="P499" t="str">
            <v>10.188.32.129</v>
          </cell>
          <cell r="Q499" t="str">
            <v>/27</v>
          </cell>
          <cell r="R499">
            <v>823</v>
          </cell>
        </row>
        <row r="500">
          <cell r="E500" t="str">
            <v>AC198</v>
          </cell>
          <cell r="F500" t="str">
            <v>ET576</v>
          </cell>
          <cell r="G500" t="str">
            <v>10.188.28.130</v>
          </cell>
          <cell r="H500" t="str">
            <v>10.188.28.129</v>
          </cell>
          <cell r="I500" t="str">
            <v>/27</v>
          </cell>
          <cell r="J500">
            <v>803</v>
          </cell>
          <cell r="K500" t="str">
            <v>10.188.30.130</v>
          </cell>
          <cell r="L500" t="str">
            <v>10.188.30.129</v>
          </cell>
          <cell r="M500" t="str">
            <v>/27</v>
          </cell>
          <cell r="N500">
            <v>813</v>
          </cell>
          <cell r="O500" t="str">
            <v>10.188.32.130</v>
          </cell>
          <cell r="P500" t="str">
            <v>10.188.32.129</v>
          </cell>
          <cell r="Q500" t="str">
            <v>/27</v>
          </cell>
          <cell r="R500">
            <v>823</v>
          </cell>
        </row>
        <row r="501">
          <cell r="E501" t="str">
            <v>AC198</v>
          </cell>
          <cell r="F501" t="str">
            <v>ET576</v>
          </cell>
          <cell r="G501" t="str">
            <v>10.188.28.131</v>
          </cell>
          <cell r="H501" t="str">
            <v>10.188.28.129</v>
          </cell>
          <cell r="I501" t="str">
            <v>/27</v>
          </cell>
          <cell r="J501">
            <v>803</v>
          </cell>
          <cell r="K501" t="str">
            <v>10.188.30.131</v>
          </cell>
          <cell r="L501" t="str">
            <v>10.188.30.129</v>
          </cell>
          <cell r="M501" t="str">
            <v>/27</v>
          </cell>
          <cell r="N501">
            <v>813</v>
          </cell>
          <cell r="O501" t="str">
            <v>10.188.32.131</v>
          </cell>
          <cell r="P501" t="str">
            <v>10.188.32.129</v>
          </cell>
          <cell r="Q501" t="str">
            <v>/27</v>
          </cell>
          <cell r="R501">
            <v>823</v>
          </cell>
        </row>
        <row r="502">
          <cell r="E502" t="str">
            <v>AC198</v>
          </cell>
          <cell r="F502" t="str">
            <v>ET657</v>
          </cell>
          <cell r="G502" t="str">
            <v>10.188.28.132</v>
          </cell>
          <cell r="H502" t="str">
            <v>10.188.28.129</v>
          </cell>
          <cell r="I502" t="str">
            <v>/27</v>
          </cell>
          <cell r="J502">
            <v>803</v>
          </cell>
          <cell r="K502" t="str">
            <v>10.188.30.132</v>
          </cell>
          <cell r="L502" t="str">
            <v>10.188.30.129</v>
          </cell>
          <cell r="M502" t="str">
            <v>/27</v>
          </cell>
          <cell r="N502">
            <v>813</v>
          </cell>
          <cell r="O502" t="str">
            <v>10.188.32.132</v>
          </cell>
          <cell r="P502" t="str">
            <v>10.188.32.129</v>
          </cell>
          <cell r="Q502" t="str">
            <v>/27</v>
          </cell>
          <cell r="R502">
            <v>823</v>
          </cell>
        </row>
        <row r="503">
          <cell r="E503" t="str">
            <v>AC198</v>
          </cell>
          <cell r="F503" t="str">
            <v>ET657</v>
          </cell>
          <cell r="G503" t="str">
            <v>10.188.28.133</v>
          </cell>
          <cell r="H503" t="str">
            <v>10.188.28.129</v>
          </cell>
          <cell r="I503" t="str">
            <v>/27</v>
          </cell>
          <cell r="J503">
            <v>803</v>
          </cell>
          <cell r="K503" t="str">
            <v>10.188.30.133</v>
          </cell>
          <cell r="L503" t="str">
            <v>10.188.30.129</v>
          </cell>
          <cell r="M503" t="str">
            <v>/27</v>
          </cell>
          <cell r="N503">
            <v>813</v>
          </cell>
          <cell r="O503" t="str">
            <v>10.188.32.133</v>
          </cell>
          <cell r="P503" t="str">
            <v>10.188.32.129</v>
          </cell>
          <cell r="Q503" t="str">
            <v>/27</v>
          </cell>
          <cell r="R503">
            <v>823</v>
          </cell>
        </row>
        <row r="504">
          <cell r="E504" t="str">
            <v>AC198</v>
          </cell>
          <cell r="F504" t="str">
            <v>ET921</v>
          </cell>
          <cell r="G504" t="str">
            <v>10.188.28.134</v>
          </cell>
          <cell r="H504" t="str">
            <v>10.188.28.129</v>
          </cell>
          <cell r="I504" t="str">
            <v>/27</v>
          </cell>
          <cell r="J504">
            <v>803</v>
          </cell>
          <cell r="K504" t="str">
            <v>10.188.30.134</v>
          </cell>
          <cell r="L504" t="str">
            <v>10.188.30.129</v>
          </cell>
          <cell r="M504" t="str">
            <v>/27</v>
          </cell>
          <cell r="N504">
            <v>813</v>
          </cell>
          <cell r="O504" t="str">
            <v>10.188.32.134</v>
          </cell>
          <cell r="P504" t="str">
            <v>10.188.32.129</v>
          </cell>
          <cell r="Q504" t="str">
            <v>/27</v>
          </cell>
          <cell r="R504">
            <v>823</v>
          </cell>
        </row>
        <row r="505">
          <cell r="E505" t="str">
            <v>AC198</v>
          </cell>
          <cell r="F505" t="str">
            <v>ET921</v>
          </cell>
          <cell r="G505" t="str">
            <v>10.188.28.135</v>
          </cell>
          <cell r="H505" t="str">
            <v>10.188.28.129</v>
          </cell>
          <cell r="I505" t="str">
            <v>/27</v>
          </cell>
          <cell r="J505">
            <v>803</v>
          </cell>
          <cell r="K505" t="str">
            <v>10.188.30.135</v>
          </cell>
          <cell r="L505" t="str">
            <v>10.188.30.129</v>
          </cell>
          <cell r="M505" t="str">
            <v>/27</v>
          </cell>
          <cell r="N505">
            <v>813</v>
          </cell>
          <cell r="O505" t="str">
            <v>10.188.32.135</v>
          </cell>
          <cell r="P505" t="str">
            <v>10.188.32.129</v>
          </cell>
          <cell r="Q505" t="str">
            <v>/27</v>
          </cell>
          <cell r="R505">
            <v>823</v>
          </cell>
        </row>
        <row r="506">
          <cell r="E506" t="str">
            <v>AC198</v>
          </cell>
          <cell r="F506" t="str">
            <v>ET192</v>
          </cell>
          <cell r="G506" t="str">
            <v>10.188.28.136</v>
          </cell>
          <cell r="H506" t="str">
            <v>10.188.28.129</v>
          </cell>
          <cell r="I506" t="str">
            <v>/27</v>
          </cell>
          <cell r="J506">
            <v>803</v>
          </cell>
          <cell r="K506" t="str">
            <v>10.188.30.136</v>
          </cell>
          <cell r="L506" t="str">
            <v>10.188.30.129</v>
          </cell>
          <cell r="M506" t="str">
            <v>/27</v>
          </cell>
          <cell r="N506">
            <v>813</v>
          </cell>
          <cell r="O506" t="str">
            <v>10.188.32.136</v>
          </cell>
          <cell r="P506" t="str">
            <v>10.188.32.129</v>
          </cell>
          <cell r="Q506" t="str">
            <v>/27</v>
          </cell>
          <cell r="R506">
            <v>823</v>
          </cell>
        </row>
        <row r="507">
          <cell r="E507" t="str">
            <v>AC198</v>
          </cell>
          <cell r="F507" t="str">
            <v>ET192</v>
          </cell>
          <cell r="G507" t="str">
            <v>10.188.28.137</v>
          </cell>
          <cell r="H507" t="str">
            <v>10.188.28.129</v>
          </cell>
          <cell r="I507" t="str">
            <v>/27</v>
          </cell>
          <cell r="J507">
            <v>803</v>
          </cell>
          <cell r="K507" t="str">
            <v>10.188.30.137</v>
          </cell>
          <cell r="L507" t="str">
            <v>10.188.30.129</v>
          </cell>
          <cell r="M507" t="str">
            <v>/27</v>
          </cell>
          <cell r="N507">
            <v>813</v>
          </cell>
          <cell r="O507" t="str">
            <v>10.188.32.137</v>
          </cell>
          <cell r="P507" t="str">
            <v>10.188.32.129</v>
          </cell>
          <cell r="Q507" t="str">
            <v>/27</v>
          </cell>
          <cell r="R507">
            <v>823</v>
          </cell>
        </row>
        <row r="508">
          <cell r="E508" t="str">
            <v>AC198</v>
          </cell>
          <cell r="F508" t="str">
            <v>ET252</v>
          </cell>
          <cell r="G508" t="str">
            <v>10.188.28.138</v>
          </cell>
          <cell r="H508" t="str">
            <v>10.188.28.129</v>
          </cell>
          <cell r="I508" t="str">
            <v>/27</v>
          </cell>
          <cell r="J508">
            <v>803</v>
          </cell>
          <cell r="K508" t="str">
            <v>10.188.30.138</v>
          </cell>
          <cell r="L508" t="str">
            <v>10.188.30.129</v>
          </cell>
          <cell r="M508" t="str">
            <v>/27</v>
          </cell>
          <cell r="N508">
            <v>813</v>
          </cell>
          <cell r="O508" t="str">
            <v>10.188.32.138</v>
          </cell>
          <cell r="P508" t="str">
            <v>10.188.32.129</v>
          </cell>
          <cell r="Q508" t="str">
            <v>/27</v>
          </cell>
          <cell r="R508">
            <v>823</v>
          </cell>
        </row>
        <row r="509">
          <cell r="E509" t="str">
            <v>AC198</v>
          </cell>
          <cell r="F509" t="str">
            <v>ET252</v>
          </cell>
          <cell r="G509" t="str">
            <v>10.188.28.139</v>
          </cell>
          <cell r="H509" t="str">
            <v>10.188.28.129</v>
          </cell>
          <cell r="I509" t="str">
            <v>/27</v>
          </cell>
          <cell r="J509">
            <v>803</v>
          </cell>
          <cell r="K509" t="str">
            <v>10.188.30.139</v>
          </cell>
          <cell r="L509" t="str">
            <v>10.188.30.129</v>
          </cell>
          <cell r="M509" t="str">
            <v>/27</v>
          </cell>
          <cell r="N509">
            <v>813</v>
          </cell>
          <cell r="O509" t="str">
            <v>10.188.32.139</v>
          </cell>
          <cell r="P509" t="str">
            <v>10.188.32.129</v>
          </cell>
          <cell r="Q509" t="str">
            <v>/27</v>
          </cell>
          <cell r="R509">
            <v>823</v>
          </cell>
        </row>
        <row r="510">
          <cell r="E510" t="str">
            <v>AC198</v>
          </cell>
          <cell r="F510" t="str">
            <v>ET144</v>
          </cell>
          <cell r="G510" t="str">
            <v>10.188.28.140</v>
          </cell>
          <cell r="H510" t="str">
            <v>10.188.28.129</v>
          </cell>
          <cell r="I510" t="str">
            <v>/27</v>
          </cell>
          <cell r="J510">
            <v>803</v>
          </cell>
          <cell r="K510" t="str">
            <v>10.188.30.140</v>
          </cell>
          <cell r="L510" t="str">
            <v>10.188.30.129</v>
          </cell>
          <cell r="M510" t="str">
            <v>/27</v>
          </cell>
          <cell r="N510">
            <v>813</v>
          </cell>
          <cell r="O510" t="str">
            <v>10.188.32.140</v>
          </cell>
          <cell r="P510" t="str">
            <v>10.188.32.129</v>
          </cell>
          <cell r="Q510" t="str">
            <v>/27</v>
          </cell>
          <cell r="R510">
            <v>823</v>
          </cell>
        </row>
        <row r="511">
          <cell r="E511" t="str">
            <v>AC198</v>
          </cell>
          <cell r="F511" t="str">
            <v>ET144</v>
          </cell>
          <cell r="G511" t="str">
            <v>10.188.28.141</v>
          </cell>
          <cell r="H511" t="str">
            <v>10.188.28.129</v>
          </cell>
          <cell r="I511" t="str">
            <v>/27</v>
          </cell>
          <cell r="J511">
            <v>803</v>
          </cell>
          <cell r="K511" t="str">
            <v>10.188.30.141</v>
          </cell>
          <cell r="L511" t="str">
            <v>10.188.30.129</v>
          </cell>
          <cell r="M511" t="str">
            <v>/27</v>
          </cell>
          <cell r="N511">
            <v>813</v>
          </cell>
          <cell r="O511" t="str">
            <v>10.188.32.141</v>
          </cell>
          <cell r="P511" t="str">
            <v>10.188.32.129</v>
          </cell>
          <cell r="Q511" t="str">
            <v>/27</v>
          </cell>
          <cell r="R511">
            <v>823</v>
          </cell>
        </row>
        <row r="512">
          <cell r="E512" t="str">
            <v>AC198</v>
          </cell>
          <cell r="F512" t="str">
            <v>ET093</v>
          </cell>
          <cell r="G512" t="str">
            <v>10.188.28.142</v>
          </cell>
          <cell r="H512" t="str">
            <v>10.188.28.129</v>
          </cell>
          <cell r="I512" t="str">
            <v>/27</v>
          </cell>
          <cell r="J512">
            <v>803</v>
          </cell>
          <cell r="K512" t="str">
            <v>10.188.30.142</v>
          </cell>
          <cell r="L512" t="str">
            <v>10.188.30.129</v>
          </cell>
          <cell r="M512" t="str">
            <v>/27</v>
          </cell>
          <cell r="N512">
            <v>813</v>
          </cell>
          <cell r="O512" t="str">
            <v>10.188.32.142</v>
          </cell>
          <cell r="P512" t="str">
            <v>10.188.32.129</v>
          </cell>
          <cell r="Q512" t="str">
            <v>/27</v>
          </cell>
          <cell r="R512">
            <v>823</v>
          </cell>
        </row>
        <row r="513">
          <cell r="E513" t="str">
            <v>AC198</v>
          </cell>
          <cell r="F513" t="str">
            <v>ET093</v>
          </cell>
          <cell r="G513" t="str">
            <v>10.188.28.143</v>
          </cell>
          <cell r="H513" t="str">
            <v>10.188.28.129</v>
          </cell>
          <cell r="I513" t="str">
            <v>/27</v>
          </cell>
          <cell r="J513">
            <v>803</v>
          </cell>
          <cell r="K513" t="str">
            <v>10.188.30.143</v>
          </cell>
          <cell r="L513" t="str">
            <v>10.188.30.129</v>
          </cell>
          <cell r="M513" t="str">
            <v>/27</v>
          </cell>
          <cell r="N513">
            <v>813</v>
          </cell>
          <cell r="O513" t="str">
            <v>10.188.32.143</v>
          </cell>
          <cell r="P513" t="str">
            <v>10.188.32.129</v>
          </cell>
          <cell r="Q513" t="str">
            <v>/27</v>
          </cell>
          <cell r="R513">
            <v>823</v>
          </cell>
        </row>
        <row r="514">
          <cell r="E514" t="str">
            <v>AC198</v>
          </cell>
          <cell r="F514" t="str">
            <v>ET850</v>
          </cell>
          <cell r="G514" t="str">
            <v>10.188.28.144</v>
          </cell>
          <cell r="H514" t="str">
            <v>10.188.28.129</v>
          </cell>
          <cell r="I514" t="str">
            <v>/27</v>
          </cell>
          <cell r="J514">
            <v>803</v>
          </cell>
          <cell r="K514" t="str">
            <v>10.188.30.144</v>
          </cell>
          <cell r="L514" t="str">
            <v>10.188.30.129</v>
          </cell>
          <cell r="M514" t="str">
            <v>/27</v>
          </cell>
          <cell r="N514">
            <v>813</v>
          </cell>
          <cell r="O514" t="str">
            <v>10.188.32.144</v>
          </cell>
          <cell r="P514" t="str">
            <v>10.188.32.129</v>
          </cell>
          <cell r="Q514" t="str">
            <v>/27</v>
          </cell>
          <cell r="R514">
            <v>823</v>
          </cell>
        </row>
        <row r="515">
          <cell r="E515" t="str">
            <v>AC198</v>
          </cell>
          <cell r="F515" t="str">
            <v>ET850</v>
          </cell>
          <cell r="G515" t="str">
            <v>10.188.28.145</v>
          </cell>
          <cell r="H515" t="str">
            <v>10.188.28.129</v>
          </cell>
          <cell r="I515" t="str">
            <v>/27</v>
          </cell>
          <cell r="J515">
            <v>803</v>
          </cell>
          <cell r="K515" t="str">
            <v>10.188.30.145</v>
          </cell>
          <cell r="L515" t="str">
            <v>10.188.30.129</v>
          </cell>
          <cell r="M515" t="str">
            <v>/27</v>
          </cell>
          <cell r="N515">
            <v>813</v>
          </cell>
          <cell r="O515" t="str">
            <v>10.188.32.145</v>
          </cell>
          <cell r="P515" t="str">
            <v>10.188.32.129</v>
          </cell>
          <cell r="Q515" t="str">
            <v>/27</v>
          </cell>
          <cell r="R515">
            <v>823</v>
          </cell>
        </row>
        <row r="516">
          <cell r="E516" t="str">
            <v>AC198</v>
          </cell>
          <cell r="F516" t="str">
            <v>ET764</v>
          </cell>
          <cell r="G516" t="str">
            <v>10.188.28.146</v>
          </cell>
          <cell r="H516" t="str">
            <v>10.188.28.129</v>
          </cell>
          <cell r="I516" t="str">
            <v>/27</v>
          </cell>
          <cell r="J516">
            <v>803</v>
          </cell>
          <cell r="K516" t="str">
            <v>10.188.30.146</v>
          </cell>
          <cell r="L516" t="str">
            <v>10.188.30.129</v>
          </cell>
          <cell r="M516" t="str">
            <v>/27</v>
          </cell>
          <cell r="N516">
            <v>813</v>
          </cell>
          <cell r="O516" t="str">
            <v>10.188.32.146</v>
          </cell>
          <cell r="P516" t="str">
            <v>10.188.32.129</v>
          </cell>
          <cell r="Q516" t="str">
            <v>/27</v>
          </cell>
          <cell r="R516">
            <v>823</v>
          </cell>
        </row>
        <row r="517">
          <cell r="E517" t="str">
            <v>AC198</v>
          </cell>
          <cell r="F517" t="str">
            <v>ET764</v>
          </cell>
          <cell r="G517" t="str">
            <v>10.188.28.147</v>
          </cell>
          <cell r="H517" t="str">
            <v>10.188.28.129</v>
          </cell>
          <cell r="I517" t="str">
            <v>/27</v>
          </cell>
          <cell r="J517">
            <v>803</v>
          </cell>
          <cell r="K517" t="str">
            <v>10.188.30.147</v>
          </cell>
          <cell r="L517" t="str">
            <v>10.188.30.129</v>
          </cell>
          <cell r="M517" t="str">
            <v>/27</v>
          </cell>
          <cell r="N517">
            <v>813</v>
          </cell>
          <cell r="O517" t="str">
            <v>10.188.32.147</v>
          </cell>
          <cell r="P517" t="str">
            <v>10.188.32.129</v>
          </cell>
          <cell r="Q517" t="str">
            <v>/27</v>
          </cell>
          <cell r="R517">
            <v>823</v>
          </cell>
        </row>
        <row r="518">
          <cell r="E518" t="str">
            <v>AC198</v>
          </cell>
          <cell r="F518" t="str">
            <v>ET869</v>
          </cell>
          <cell r="G518" t="str">
            <v>10.188.28.148</v>
          </cell>
          <cell r="H518" t="str">
            <v>10.188.28.129</v>
          </cell>
          <cell r="I518" t="str">
            <v>/27</v>
          </cell>
          <cell r="J518">
            <v>803</v>
          </cell>
          <cell r="K518" t="str">
            <v>10.188.30.148</v>
          </cell>
          <cell r="L518" t="str">
            <v>10.188.30.129</v>
          </cell>
          <cell r="M518" t="str">
            <v>/27</v>
          </cell>
          <cell r="N518">
            <v>813</v>
          </cell>
          <cell r="O518" t="str">
            <v>10.188.32.148</v>
          </cell>
          <cell r="P518" t="str">
            <v>10.188.32.129</v>
          </cell>
          <cell r="Q518" t="str">
            <v>/27</v>
          </cell>
          <cell r="R518">
            <v>823</v>
          </cell>
        </row>
        <row r="519">
          <cell r="E519" t="str">
            <v>AC198</v>
          </cell>
          <cell r="F519" t="str">
            <v>ET869</v>
          </cell>
          <cell r="G519" t="str">
            <v>10.188.28.149</v>
          </cell>
          <cell r="H519" t="str">
            <v>10.188.28.129</v>
          </cell>
          <cell r="I519" t="str">
            <v>/27</v>
          </cell>
          <cell r="J519">
            <v>803</v>
          </cell>
          <cell r="K519" t="str">
            <v>10.188.30.149</v>
          </cell>
          <cell r="L519" t="str">
            <v>10.188.30.129</v>
          </cell>
          <cell r="M519" t="str">
            <v>/27</v>
          </cell>
          <cell r="N519">
            <v>813</v>
          </cell>
          <cell r="O519" t="str">
            <v>10.188.32.149</v>
          </cell>
          <cell r="P519" t="str">
            <v>10.188.32.129</v>
          </cell>
          <cell r="Q519" t="str">
            <v>/27</v>
          </cell>
          <cell r="R519">
            <v>823</v>
          </cell>
        </row>
        <row r="520">
          <cell r="E520" t="str">
            <v>AC198</v>
          </cell>
          <cell r="F520" t="str">
            <v>IM086</v>
          </cell>
          <cell r="G520" t="str">
            <v>10.188.28.150</v>
          </cell>
          <cell r="H520" t="str">
            <v>10.188.28.129</v>
          </cell>
          <cell r="I520" t="str">
            <v>/27</v>
          </cell>
          <cell r="J520">
            <v>803</v>
          </cell>
          <cell r="K520" t="str">
            <v>10.188.30.150</v>
          </cell>
          <cell r="L520" t="str">
            <v>10.188.30.129</v>
          </cell>
          <cell r="M520" t="str">
            <v>/27</v>
          </cell>
          <cell r="N520">
            <v>813</v>
          </cell>
          <cell r="O520" t="str">
            <v>10.188.32.150</v>
          </cell>
          <cell r="P520" t="str">
            <v>10.188.32.129</v>
          </cell>
          <cell r="Q520" t="str">
            <v>/27</v>
          </cell>
          <cell r="R520">
            <v>823</v>
          </cell>
        </row>
        <row r="521">
          <cell r="E521" t="str">
            <v>AC198</v>
          </cell>
          <cell r="F521" t="str">
            <v>IM086</v>
          </cell>
          <cell r="G521" t="str">
            <v>10.188.28.151</v>
          </cell>
          <cell r="H521" t="str">
            <v>10.188.28.129</v>
          </cell>
          <cell r="I521" t="str">
            <v>/27</v>
          </cell>
          <cell r="J521">
            <v>803</v>
          </cell>
          <cell r="K521" t="str">
            <v>10.188.30.151</v>
          </cell>
          <cell r="L521" t="str">
            <v>10.188.30.129</v>
          </cell>
          <cell r="M521" t="str">
            <v>/27</v>
          </cell>
          <cell r="N521">
            <v>813</v>
          </cell>
          <cell r="O521" t="str">
            <v>10.188.32.151</v>
          </cell>
          <cell r="P521" t="str">
            <v>10.188.32.129</v>
          </cell>
          <cell r="Q521" t="str">
            <v>/27</v>
          </cell>
          <cell r="R521">
            <v>823</v>
          </cell>
        </row>
        <row r="522">
          <cell r="E522" t="str">
            <v>AC198</v>
          </cell>
          <cell r="F522" t="str">
            <v>IM131</v>
          </cell>
          <cell r="G522" t="str">
            <v>10.188.28.152</v>
          </cell>
          <cell r="H522" t="str">
            <v>10.188.28.129</v>
          </cell>
          <cell r="I522" t="str">
            <v>/27</v>
          </cell>
          <cell r="J522">
            <v>803</v>
          </cell>
          <cell r="K522" t="str">
            <v>10.188.30.152</v>
          </cell>
          <cell r="L522" t="str">
            <v>10.188.30.129</v>
          </cell>
          <cell r="M522" t="str">
            <v>/27</v>
          </cell>
          <cell r="N522">
            <v>813</v>
          </cell>
          <cell r="O522" t="str">
            <v>10.188.32.152</v>
          </cell>
          <cell r="P522" t="str">
            <v>10.188.32.129</v>
          </cell>
          <cell r="Q522" t="str">
            <v>/27</v>
          </cell>
          <cell r="R522">
            <v>823</v>
          </cell>
        </row>
        <row r="523">
          <cell r="E523" t="str">
            <v>AC198</v>
          </cell>
          <cell r="F523" t="str">
            <v>IM131</v>
          </cell>
          <cell r="G523" t="str">
            <v>10.188.28.153</v>
          </cell>
          <cell r="H523" t="str">
            <v>10.188.28.129</v>
          </cell>
          <cell r="I523" t="str">
            <v>/27</v>
          </cell>
          <cell r="J523">
            <v>803</v>
          </cell>
          <cell r="K523" t="str">
            <v>10.188.30.153</v>
          </cell>
          <cell r="L523" t="str">
            <v>10.188.30.129</v>
          </cell>
          <cell r="M523" t="str">
            <v>/27</v>
          </cell>
          <cell r="N523">
            <v>813</v>
          </cell>
          <cell r="O523" t="str">
            <v>10.188.32.153</v>
          </cell>
          <cell r="P523" t="str">
            <v>10.188.32.129</v>
          </cell>
          <cell r="Q523" t="str">
            <v>/27</v>
          </cell>
          <cell r="R523">
            <v>823</v>
          </cell>
        </row>
        <row r="524">
          <cell r="E524" t="str">
            <v>AC198</v>
          </cell>
          <cell r="F524" t="str">
            <v>IM239</v>
          </cell>
          <cell r="G524" t="str">
            <v>10.188.28.154</v>
          </cell>
          <cell r="H524" t="str">
            <v>10.188.28.129</v>
          </cell>
          <cell r="I524" t="str">
            <v>/27</v>
          </cell>
          <cell r="J524">
            <v>803</v>
          </cell>
          <cell r="K524" t="str">
            <v>10.188.30.154</v>
          </cell>
          <cell r="L524" t="str">
            <v>10.188.30.129</v>
          </cell>
          <cell r="M524" t="str">
            <v>/27</v>
          </cell>
          <cell r="N524">
            <v>813</v>
          </cell>
          <cell r="O524" t="str">
            <v>10.188.32.154</v>
          </cell>
          <cell r="P524" t="str">
            <v>10.188.32.129</v>
          </cell>
          <cell r="Q524" t="str">
            <v>/27</v>
          </cell>
          <cell r="R524">
            <v>823</v>
          </cell>
        </row>
        <row r="525">
          <cell r="E525" t="str">
            <v>AC198</v>
          </cell>
          <cell r="F525" t="str">
            <v>IM239</v>
          </cell>
          <cell r="G525" t="str">
            <v>10.188.28.155</v>
          </cell>
          <cell r="H525" t="str">
            <v>10.188.28.129</v>
          </cell>
          <cell r="I525" t="str">
            <v>/27</v>
          </cell>
          <cell r="J525">
            <v>803</v>
          </cell>
          <cell r="K525" t="str">
            <v>10.188.30.155</v>
          </cell>
          <cell r="L525" t="str">
            <v>10.188.30.129</v>
          </cell>
          <cell r="M525" t="str">
            <v>/27</v>
          </cell>
          <cell r="N525">
            <v>813</v>
          </cell>
          <cell r="O525" t="str">
            <v>10.188.32.155</v>
          </cell>
          <cell r="P525" t="str">
            <v>10.188.32.129</v>
          </cell>
          <cell r="Q525" t="str">
            <v>/27</v>
          </cell>
          <cell r="R525">
            <v>823</v>
          </cell>
        </row>
        <row r="526">
          <cell r="E526" t="str">
            <v>AC198</v>
          </cell>
          <cell r="F526" t="str">
            <v>IM372</v>
          </cell>
          <cell r="G526" t="str">
            <v>10.188.28.156</v>
          </cell>
          <cell r="H526" t="str">
            <v>10.188.28.129</v>
          </cell>
          <cell r="I526" t="str">
            <v>/27</v>
          </cell>
          <cell r="J526">
            <v>803</v>
          </cell>
          <cell r="K526" t="str">
            <v>10.188.30.156</v>
          </cell>
          <cell r="L526" t="str">
            <v>10.188.30.129</v>
          </cell>
          <cell r="M526" t="str">
            <v>/27</v>
          </cell>
          <cell r="N526">
            <v>813</v>
          </cell>
          <cell r="O526" t="str">
            <v>10.188.32.156</v>
          </cell>
          <cell r="P526" t="str">
            <v>10.188.32.129</v>
          </cell>
          <cell r="Q526" t="str">
            <v>/27</v>
          </cell>
          <cell r="R526">
            <v>823</v>
          </cell>
        </row>
        <row r="527">
          <cell r="E527" t="str">
            <v>AC198</v>
          </cell>
          <cell r="F527" t="str">
            <v>IM372</v>
          </cell>
          <cell r="G527" t="str">
            <v>10.188.28.157</v>
          </cell>
          <cell r="H527" t="str">
            <v>10.188.28.129</v>
          </cell>
          <cell r="I527" t="str">
            <v>/27</v>
          </cell>
          <cell r="J527">
            <v>803</v>
          </cell>
          <cell r="K527" t="str">
            <v>10.188.30.157</v>
          </cell>
          <cell r="L527" t="str">
            <v>10.188.30.129</v>
          </cell>
          <cell r="M527" t="str">
            <v>/27</v>
          </cell>
          <cell r="N527">
            <v>813</v>
          </cell>
          <cell r="O527" t="str">
            <v>10.188.32.157</v>
          </cell>
          <cell r="P527" t="str">
            <v>10.188.32.129</v>
          </cell>
          <cell r="Q527" t="str">
            <v>/27</v>
          </cell>
          <cell r="R527">
            <v>823</v>
          </cell>
        </row>
        <row r="528">
          <cell r="E528" t="str">
            <v>AC198</v>
          </cell>
          <cell r="G528" t="str">
            <v>10.188.28.158</v>
          </cell>
          <cell r="H528" t="str">
            <v>10.188.28.129</v>
          </cell>
          <cell r="I528" t="str">
            <v>/27</v>
          </cell>
          <cell r="J528">
            <v>803</v>
          </cell>
          <cell r="K528" t="str">
            <v>10.188.30.158</v>
          </cell>
          <cell r="L528" t="str">
            <v>10.188.30.129</v>
          </cell>
          <cell r="M528" t="str">
            <v>/27</v>
          </cell>
          <cell r="N528">
            <v>813</v>
          </cell>
          <cell r="O528" t="str">
            <v>10.188.32.158</v>
          </cell>
          <cell r="P528" t="str">
            <v>10.188.32.129</v>
          </cell>
          <cell r="Q528" t="str">
            <v>/27</v>
          </cell>
          <cell r="R528">
            <v>823</v>
          </cell>
        </row>
        <row r="529">
          <cell r="E529" t="str">
            <v>AC198</v>
          </cell>
          <cell r="G529" t="str">
            <v>10.188.28.159</v>
          </cell>
          <cell r="H529" t="str">
            <v>10.188.28.129</v>
          </cell>
          <cell r="I529" t="str">
            <v>/27</v>
          </cell>
          <cell r="J529">
            <v>803</v>
          </cell>
          <cell r="K529" t="str">
            <v>10.188.30.159</v>
          </cell>
          <cell r="L529" t="str">
            <v>10.188.30.129</v>
          </cell>
          <cell r="M529" t="str">
            <v>/27</v>
          </cell>
          <cell r="N529">
            <v>813</v>
          </cell>
          <cell r="O529" t="str">
            <v>10.188.32.159</v>
          </cell>
          <cell r="P529" t="str">
            <v>10.188.32.129</v>
          </cell>
          <cell r="Q529" t="str">
            <v>/27</v>
          </cell>
          <cell r="R529">
            <v>823</v>
          </cell>
        </row>
        <row r="530">
          <cell r="E530" t="str">
            <v>AC198</v>
          </cell>
          <cell r="G530" t="str">
            <v>10.187.212.160</v>
          </cell>
          <cell r="H530" t="str">
            <v>10.187.212.161</v>
          </cell>
          <cell r="I530" t="str">
            <v>/27</v>
          </cell>
          <cell r="J530">
            <v>806</v>
          </cell>
          <cell r="K530" t="str">
            <v>10.187.213.160</v>
          </cell>
          <cell r="L530" t="str">
            <v>10.187.213.161</v>
          </cell>
          <cell r="M530" t="str">
            <v>/27</v>
          </cell>
          <cell r="N530">
            <v>816</v>
          </cell>
          <cell r="O530" t="str">
            <v>10.187.214.160</v>
          </cell>
          <cell r="P530" t="str">
            <v>10.187.214.161</v>
          </cell>
          <cell r="Q530" t="str">
            <v>/27</v>
          </cell>
          <cell r="R530">
            <v>826</v>
          </cell>
        </row>
        <row r="531">
          <cell r="E531" t="str">
            <v>AC198</v>
          </cell>
          <cell r="G531" t="str">
            <v>10.187.212.161</v>
          </cell>
          <cell r="H531" t="str">
            <v>10.187.212.161</v>
          </cell>
          <cell r="I531" t="str">
            <v>/27</v>
          </cell>
          <cell r="J531">
            <v>806</v>
          </cell>
          <cell r="K531" t="str">
            <v>10.187.213.161</v>
          </cell>
          <cell r="L531" t="str">
            <v>10.187.213.161</v>
          </cell>
          <cell r="M531" t="str">
            <v>/27</v>
          </cell>
          <cell r="N531">
            <v>816</v>
          </cell>
          <cell r="O531" t="str">
            <v>10.187.214.161</v>
          </cell>
          <cell r="P531" t="str">
            <v>10.187.214.161</v>
          </cell>
          <cell r="Q531" t="str">
            <v>/27</v>
          </cell>
          <cell r="R531">
            <v>826</v>
          </cell>
        </row>
        <row r="532">
          <cell r="E532" t="str">
            <v>AC198</v>
          </cell>
          <cell r="G532" t="str">
            <v>10.187.212.162</v>
          </cell>
          <cell r="H532" t="str">
            <v>10.187.212.161</v>
          </cell>
          <cell r="I532" t="str">
            <v>/27</v>
          </cell>
          <cell r="J532">
            <v>806</v>
          </cell>
          <cell r="K532" t="str">
            <v>10.187.213.162</v>
          </cell>
          <cell r="L532" t="str">
            <v>10.187.213.161</v>
          </cell>
          <cell r="M532" t="str">
            <v>/27</v>
          </cell>
          <cell r="N532">
            <v>816</v>
          </cell>
          <cell r="O532" t="str">
            <v>10.187.214.162</v>
          </cell>
          <cell r="P532" t="str">
            <v>10.187.214.161</v>
          </cell>
          <cell r="Q532" t="str">
            <v>/27</v>
          </cell>
          <cell r="R532">
            <v>826</v>
          </cell>
        </row>
        <row r="533">
          <cell r="E533" t="str">
            <v>AC198</v>
          </cell>
          <cell r="G533" t="str">
            <v>10.187.212.163</v>
          </cell>
          <cell r="H533" t="str">
            <v>10.187.212.161</v>
          </cell>
          <cell r="I533" t="str">
            <v>/27</v>
          </cell>
          <cell r="J533">
            <v>806</v>
          </cell>
          <cell r="K533" t="str">
            <v>10.187.213.163</v>
          </cell>
          <cell r="L533" t="str">
            <v>10.187.213.161</v>
          </cell>
          <cell r="M533" t="str">
            <v>/27</v>
          </cell>
          <cell r="N533">
            <v>816</v>
          </cell>
          <cell r="O533" t="str">
            <v>10.187.214.163</v>
          </cell>
          <cell r="P533" t="str">
            <v>10.187.214.161</v>
          </cell>
          <cell r="Q533" t="str">
            <v>/27</v>
          </cell>
          <cell r="R533">
            <v>826</v>
          </cell>
        </row>
        <row r="534">
          <cell r="E534" t="str">
            <v>AC198</v>
          </cell>
          <cell r="G534" t="str">
            <v>10.187.212.164</v>
          </cell>
          <cell r="H534" t="str">
            <v>10.187.212.161</v>
          </cell>
          <cell r="I534" t="str">
            <v>/27</v>
          </cell>
          <cell r="J534">
            <v>806</v>
          </cell>
          <cell r="K534" t="str">
            <v>10.187.213.164</v>
          </cell>
          <cell r="L534" t="str">
            <v>10.187.213.161</v>
          </cell>
          <cell r="M534" t="str">
            <v>/27</v>
          </cell>
          <cell r="N534">
            <v>816</v>
          </cell>
          <cell r="O534" t="str">
            <v>10.187.214.164</v>
          </cell>
          <cell r="P534" t="str">
            <v>10.187.214.161</v>
          </cell>
          <cell r="Q534" t="str">
            <v>/27</v>
          </cell>
          <cell r="R534">
            <v>826</v>
          </cell>
        </row>
        <row r="535">
          <cell r="E535" t="str">
            <v>AC198</v>
          </cell>
          <cell r="G535" t="str">
            <v>10.187.212.165</v>
          </cell>
          <cell r="H535" t="str">
            <v>10.187.212.161</v>
          </cell>
          <cell r="I535" t="str">
            <v>/27</v>
          </cell>
          <cell r="J535">
            <v>806</v>
          </cell>
          <cell r="K535" t="str">
            <v>10.187.213.165</v>
          </cell>
          <cell r="L535" t="str">
            <v>10.187.213.161</v>
          </cell>
          <cell r="M535" t="str">
            <v>/27</v>
          </cell>
          <cell r="N535">
            <v>816</v>
          </cell>
          <cell r="O535" t="str">
            <v>10.187.214.165</v>
          </cell>
          <cell r="P535" t="str">
            <v>10.187.214.161</v>
          </cell>
          <cell r="Q535" t="str">
            <v>/27</v>
          </cell>
          <cell r="R535">
            <v>826</v>
          </cell>
        </row>
        <row r="536">
          <cell r="E536" t="str">
            <v>AC198</v>
          </cell>
          <cell r="G536" t="str">
            <v>10.187.212.166</v>
          </cell>
          <cell r="H536" t="str">
            <v>10.187.212.161</v>
          </cell>
          <cell r="I536" t="str">
            <v>/27</v>
          </cell>
          <cell r="J536">
            <v>806</v>
          </cell>
          <cell r="K536" t="str">
            <v>10.187.213.166</v>
          </cell>
          <cell r="L536" t="str">
            <v>10.187.213.161</v>
          </cell>
          <cell r="M536" t="str">
            <v>/27</v>
          </cell>
          <cell r="N536">
            <v>816</v>
          </cell>
          <cell r="O536" t="str">
            <v>10.187.214.166</v>
          </cell>
          <cell r="P536" t="str">
            <v>10.187.214.161</v>
          </cell>
          <cell r="Q536" t="str">
            <v>/27</v>
          </cell>
          <cell r="R536">
            <v>826</v>
          </cell>
        </row>
        <row r="537">
          <cell r="E537" t="str">
            <v>AC198</v>
          </cell>
          <cell r="G537" t="str">
            <v>10.187.212.167</v>
          </cell>
          <cell r="H537" t="str">
            <v>10.187.212.161</v>
          </cell>
          <cell r="I537" t="str">
            <v>/27</v>
          </cell>
          <cell r="J537">
            <v>806</v>
          </cell>
          <cell r="K537" t="str">
            <v>10.187.213.167</v>
          </cell>
          <cell r="L537" t="str">
            <v>10.187.213.161</v>
          </cell>
          <cell r="M537" t="str">
            <v>/27</v>
          </cell>
          <cell r="N537">
            <v>816</v>
          </cell>
          <cell r="O537" t="str">
            <v>10.187.214.167</v>
          </cell>
          <cell r="P537" t="str">
            <v>10.187.214.161</v>
          </cell>
          <cell r="Q537" t="str">
            <v>/27</v>
          </cell>
          <cell r="R537">
            <v>826</v>
          </cell>
        </row>
        <row r="538">
          <cell r="E538" t="str">
            <v>AC198</v>
          </cell>
          <cell r="G538" t="str">
            <v>10.187.212.168</v>
          </cell>
          <cell r="H538" t="str">
            <v>10.187.212.161</v>
          </cell>
          <cell r="I538" t="str">
            <v>/27</v>
          </cell>
          <cell r="J538">
            <v>806</v>
          </cell>
          <cell r="K538" t="str">
            <v>10.187.213.168</v>
          </cell>
          <cell r="L538" t="str">
            <v>10.187.213.161</v>
          </cell>
          <cell r="M538" t="str">
            <v>/27</v>
          </cell>
          <cell r="N538">
            <v>816</v>
          </cell>
          <cell r="O538" t="str">
            <v>10.187.214.168</v>
          </cell>
          <cell r="P538" t="str">
            <v>10.187.214.161</v>
          </cell>
          <cell r="Q538" t="str">
            <v>/27</v>
          </cell>
          <cell r="R538">
            <v>826</v>
          </cell>
        </row>
        <row r="539">
          <cell r="E539" t="str">
            <v>AC198</v>
          </cell>
          <cell r="G539" t="str">
            <v>10.187.212.169</v>
          </cell>
          <cell r="H539" t="str">
            <v>10.187.212.161</v>
          </cell>
          <cell r="I539" t="str">
            <v>/27</v>
          </cell>
          <cell r="J539">
            <v>806</v>
          </cell>
          <cell r="K539" t="str">
            <v>10.187.213.169</v>
          </cell>
          <cell r="L539" t="str">
            <v>10.187.213.161</v>
          </cell>
          <cell r="M539" t="str">
            <v>/27</v>
          </cell>
          <cell r="N539">
            <v>816</v>
          </cell>
          <cell r="O539" t="str">
            <v>10.187.214.169</v>
          </cell>
          <cell r="P539" t="str">
            <v>10.187.214.161</v>
          </cell>
          <cell r="Q539" t="str">
            <v>/27</v>
          </cell>
          <cell r="R539">
            <v>826</v>
          </cell>
        </row>
        <row r="540">
          <cell r="E540" t="str">
            <v>AC198</v>
          </cell>
          <cell r="G540" t="str">
            <v>10.187.212.170</v>
          </cell>
          <cell r="H540" t="str">
            <v>10.187.212.161</v>
          </cell>
          <cell r="I540" t="str">
            <v>/27</v>
          </cell>
          <cell r="J540">
            <v>806</v>
          </cell>
          <cell r="K540" t="str">
            <v>10.187.213.170</v>
          </cell>
          <cell r="L540" t="str">
            <v>10.187.213.161</v>
          </cell>
          <cell r="M540" t="str">
            <v>/27</v>
          </cell>
          <cell r="N540">
            <v>816</v>
          </cell>
          <cell r="O540" t="str">
            <v>10.187.214.170</v>
          </cell>
          <cell r="P540" t="str">
            <v>10.187.214.161</v>
          </cell>
          <cell r="Q540" t="str">
            <v>/27</v>
          </cell>
          <cell r="R540">
            <v>826</v>
          </cell>
        </row>
        <row r="541">
          <cell r="E541" t="str">
            <v>AC198</v>
          </cell>
          <cell r="G541" t="str">
            <v>10.187.212.171</v>
          </cell>
          <cell r="H541" t="str">
            <v>10.187.212.161</v>
          </cell>
          <cell r="I541" t="str">
            <v>/27</v>
          </cell>
          <cell r="J541">
            <v>806</v>
          </cell>
          <cell r="K541" t="str">
            <v>10.187.213.171</v>
          </cell>
          <cell r="L541" t="str">
            <v>10.187.213.161</v>
          </cell>
          <cell r="M541" t="str">
            <v>/27</v>
          </cell>
          <cell r="N541">
            <v>816</v>
          </cell>
          <cell r="O541" t="str">
            <v>10.187.214.171</v>
          </cell>
          <cell r="P541" t="str">
            <v>10.187.214.161</v>
          </cell>
          <cell r="Q541" t="str">
            <v>/27</v>
          </cell>
          <cell r="R541">
            <v>826</v>
          </cell>
        </row>
        <row r="542">
          <cell r="E542" t="str">
            <v>AC198</v>
          </cell>
          <cell r="G542" t="str">
            <v>10.187.212.172</v>
          </cell>
          <cell r="H542" t="str">
            <v>10.187.212.161</v>
          </cell>
          <cell r="I542" t="str">
            <v>/27</v>
          </cell>
          <cell r="J542">
            <v>806</v>
          </cell>
          <cell r="K542" t="str">
            <v>10.187.213.172</v>
          </cell>
          <cell r="L542" t="str">
            <v>10.187.213.161</v>
          </cell>
          <cell r="M542" t="str">
            <v>/27</v>
          </cell>
          <cell r="N542">
            <v>816</v>
          </cell>
          <cell r="O542" t="str">
            <v>10.187.214.172</v>
          </cell>
          <cell r="P542" t="str">
            <v>10.187.214.161</v>
          </cell>
          <cell r="Q542" t="str">
            <v>/27</v>
          </cell>
          <cell r="R542">
            <v>826</v>
          </cell>
        </row>
        <row r="543">
          <cell r="E543" t="str">
            <v>AC198</v>
          </cell>
          <cell r="G543" t="str">
            <v>10.187.212.173</v>
          </cell>
          <cell r="H543" t="str">
            <v>10.187.212.161</v>
          </cell>
          <cell r="I543" t="str">
            <v>/27</v>
          </cell>
          <cell r="J543">
            <v>806</v>
          </cell>
          <cell r="K543" t="str">
            <v>10.187.213.173</v>
          </cell>
          <cell r="L543" t="str">
            <v>10.187.213.161</v>
          </cell>
          <cell r="M543" t="str">
            <v>/27</v>
          </cell>
          <cell r="N543">
            <v>816</v>
          </cell>
          <cell r="O543" t="str">
            <v>10.187.214.173</v>
          </cell>
          <cell r="P543" t="str">
            <v>10.187.214.161</v>
          </cell>
          <cell r="Q543" t="str">
            <v>/27</v>
          </cell>
          <cell r="R543">
            <v>826</v>
          </cell>
        </row>
        <row r="544">
          <cell r="E544" t="str">
            <v>AC198</v>
          </cell>
          <cell r="G544" t="str">
            <v>10.187.212.174</v>
          </cell>
          <cell r="H544" t="str">
            <v>10.187.212.161</v>
          </cell>
          <cell r="I544" t="str">
            <v>/27</v>
          </cell>
          <cell r="J544">
            <v>806</v>
          </cell>
          <cell r="K544" t="str">
            <v>10.187.213.174</v>
          </cell>
          <cell r="L544" t="str">
            <v>10.187.213.161</v>
          </cell>
          <cell r="M544" t="str">
            <v>/27</v>
          </cell>
          <cell r="N544">
            <v>816</v>
          </cell>
          <cell r="O544" t="str">
            <v>10.187.214.174</v>
          </cell>
          <cell r="P544" t="str">
            <v>10.187.214.161</v>
          </cell>
          <cell r="Q544" t="str">
            <v>/27</v>
          </cell>
          <cell r="R544">
            <v>826</v>
          </cell>
        </row>
        <row r="545">
          <cell r="E545" t="str">
            <v>AC198</v>
          </cell>
          <cell r="G545" t="str">
            <v>10.187.212.175</v>
          </cell>
          <cell r="H545" t="str">
            <v>10.187.212.161</v>
          </cell>
          <cell r="I545" t="str">
            <v>/27</v>
          </cell>
          <cell r="J545">
            <v>806</v>
          </cell>
          <cell r="K545" t="str">
            <v>10.187.213.175</v>
          </cell>
          <cell r="L545" t="str">
            <v>10.187.213.161</v>
          </cell>
          <cell r="M545" t="str">
            <v>/27</v>
          </cell>
          <cell r="N545">
            <v>816</v>
          </cell>
          <cell r="O545" t="str">
            <v>10.187.214.175</v>
          </cell>
          <cell r="P545" t="str">
            <v>10.187.214.161</v>
          </cell>
          <cell r="Q545" t="str">
            <v>/27</v>
          </cell>
          <cell r="R545">
            <v>826</v>
          </cell>
        </row>
        <row r="546">
          <cell r="E546" t="str">
            <v>AC198</v>
          </cell>
          <cell r="G546" t="str">
            <v>10.187.212.176</v>
          </cell>
          <cell r="H546" t="str">
            <v>10.187.212.161</v>
          </cell>
          <cell r="I546" t="str">
            <v>/27</v>
          </cell>
          <cell r="J546">
            <v>806</v>
          </cell>
          <cell r="K546" t="str">
            <v>10.187.213.176</v>
          </cell>
          <cell r="L546" t="str">
            <v>10.187.213.161</v>
          </cell>
          <cell r="M546" t="str">
            <v>/27</v>
          </cell>
          <cell r="N546">
            <v>816</v>
          </cell>
          <cell r="O546" t="str">
            <v>10.187.214.176</v>
          </cell>
          <cell r="P546" t="str">
            <v>10.187.214.161</v>
          </cell>
          <cell r="Q546" t="str">
            <v>/27</v>
          </cell>
          <cell r="R546">
            <v>826</v>
          </cell>
        </row>
        <row r="547">
          <cell r="E547" t="str">
            <v>AC198</v>
          </cell>
          <cell r="G547" t="str">
            <v>10.187.212.177</v>
          </cell>
          <cell r="H547" t="str">
            <v>10.187.212.161</v>
          </cell>
          <cell r="I547" t="str">
            <v>/27</v>
          </cell>
          <cell r="J547">
            <v>806</v>
          </cell>
          <cell r="K547" t="str">
            <v>10.187.213.177</v>
          </cell>
          <cell r="L547" t="str">
            <v>10.187.213.161</v>
          </cell>
          <cell r="M547" t="str">
            <v>/27</v>
          </cell>
          <cell r="N547">
            <v>816</v>
          </cell>
          <cell r="O547" t="str">
            <v>10.187.214.177</v>
          </cell>
          <cell r="P547" t="str">
            <v>10.187.214.161</v>
          </cell>
          <cell r="Q547" t="str">
            <v>/27</v>
          </cell>
          <cell r="R547">
            <v>826</v>
          </cell>
        </row>
        <row r="548">
          <cell r="E548" t="str">
            <v>AC198</v>
          </cell>
          <cell r="G548" t="str">
            <v>10.187.212.178</v>
          </cell>
          <cell r="H548" t="str">
            <v>10.187.212.161</v>
          </cell>
          <cell r="I548" t="str">
            <v>/27</v>
          </cell>
          <cell r="J548">
            <v>806</v>
          </cell>
          <cell r="K548" t="str">
            <v>10.187.213.178</v>
          </cell>
          <cell r="L548" t="str">
            <v>10.187.213.161</v>
          </cell>
          <cell r="M548" t="str">
            <v>/27</v>
          </cell>
          <cell r="N548">
            <v>816</v>
          </cell>
          <cell r="O548" t="str">
            <v>10.187.214.178</v>
          </cell>
          <cell r="P548" t="str">
            <v>10.187.214.161</v>
          </cell>
          <cell r="Q548" t="str">
            <v>/27</v>
          </cell>
          <cell r="R548">
            <v>826</v>
          </cell>
        </row>
        <row r="549">
          <cell r="E549" t="str">
            <v>AC198</v>
          </cell>
          <cell r="G549" t="str">
            <v>10.187.212.179</v>
          </cell>
          <cell r="H549" t="str">
            <v>10.187.212.161</v>
          </cell>
          <cell r="I549" t="str">
            <v>/27</v>
          </cell>
          <cell r="J549">
            <v>806</v>
          </cell>
          <cell r="K549" t="str">
            <v>10.187.213.179</v>
          </cell>
          <cell r="L549" t="str">
            <v>10.187.213.161</v>
          </cell>
          <cell r="M549" t="str">
            <v>/27</v>
          </cell>
          <cell r="N549">
            <v>816</v>
          </cell>
          <cell r="O549" t="str">
            <v>10.187.214.179</v>
          </cell>
          <cell r="P549" t="str">
            <v>10.187.214.161</v>
          </cell>
          <cell r="Q549" t="str">
            <v>/27</v>
          </cell>
          <cell r="R549">
            <v>826</v>
          </cell>
        </row>
        <row r="550">
          <cell r="E550" t="str">
            <v>AC198</v>
          </cell>
          <cell r="G550" t="str">
            <v>10.187.212.180</v>
          </cell>
          <cell r="H550" t="str">
            <v>10.187.212.161</v>
          </cell>
          <cell r="I550" t="str">
            <v>/27</v>
          </cell>
          <cell r="J550">
            <v>806</v>
          </cell>
          <cell r="K550" t="str">
            <v>10.187.213.180</v>
          </cell>
          <cell r="L550" t="str">
            <v>10.187.213.161</v>
          </cell>
          <cell r="M550" t="str">
            <v>/27</v>
          </cell>
          <cell r="N550">
            <v>816</v>
          </cell>
          <cell r="O550" t="str">
            <v>10.187.214.180</v>
          </cell>
          <cell r="P550" t="str">
            <v>10.187.214.161</v>
          </cell>
          <cell r="Q550" t="str">
            <v>/27</v>
          </cell>
          <cell r="R550">
            <v>826</v>
          </cell>
        </row>
        <row r="551">
          <cell r="E551" t="str">
            <v>AC198</v>
          </cell>
          <cell r="G551" t="str">
            <v>10.187.212.181</v>
          </cell>
          <cell r="H551" t="str">
            <v>10.187.212.161</v>
          </cell>
          <cell r="I551" t="str">
            <v>/27</v>
          </cell>
          <cell r="J551">
            <v>806</v>
          </cell>
          <cell r="K551" t="str">
            <v>10.187.213.181</v>
          </cell>
          <cell r="L551" t="str">
            <v>10.187.213.161</v>
          </cell>
          <cell r="M551" t="str">
            <v>/27</v>
          </cell>
          <cell r="N551">
            <v>816</v>
          </cell>
          <cell r="O551" t="str">
            <v>10.187.214.181</v>
          </cell>
          <cell r="P551" t="str">
            <v>10.187.214.161</v>
          </cell>
          <cell r="Q551" t="str">
            <v>/27</v>
          </cell>
          <cell r="R551">
            <v>826</v>
          </cell>
        </row>
        <row r="552">
          <cell r="E552" t="str">
            <v>AC198</v>
          </cell>
          <cell r="G552" t="str">
            <v>10.187.212.182</v>
          </cell>
          <cell r="H552" t="str">
            <v>10.187.212.161</v>
          </cell>
          <cell r="I552" t="str">
            <v>/27</v>
          </cell>
          <cell r="J552">
            <v>806</v>
          </cell>
          <cell r="K552" t="str">
            <v>10.187.213.182</v>
          </cell>
          <cell r="L552" t="str">
            <v>10.187.213.161</v>
          </cell>
          <cell r="M552" t="str">
            <v>/27</v>
          </cell>
          <cell r="N552">
            <v>816</v>
          </cell>
          <cell r="O552" t="str">
            <v>10.187.214.182</v>
          </cell>
          <cell r="P552" t="str">
            <v>10.187.214.161</v>
          </cell>
          <cell r="Q552" t="str">
            <v>/27</v>
          </cell>
          <cell r="R552">
            <v>826</v>
          </cell>
        </row>
        <row r="553">
          <cell r="E553" t="str">
            <v>AC198</v>
          </cell>
          <cell r="G553" t="str">
            <v>10.187.212.183</v>
          </cell>
          <cell r="H553" t="str">
            <v>10.187.212.161</v>
          </cell>
          <cell r="I553" t="str">
            <v>/27</v>
          </cell>
          <cell r="J553">
            <v>806</v>
          </cell>
          <cell r="K553" t="str">
            <v>10.187.213.183</v>
          </cell>
          <cell r="L553" t="str">
            <v>10.187.213.161</v>
          </cell>
          <cell r="M553" t="str">
            <v>/27</v>
          </cell>
          <cell r="N553">
            <v>816</v>
          </cell>
          <cell r="O553" t="str">
            <v>10.187.214.183</v>
          </cell>
          <cell r="P553" t="str">
            <v>10.187.214.161</v>
          </cell>
          <cell r="Q553" t="str">
            <v>/27</v>
          </cell>
          <cell r="R553">
            <v>826</v>
          </cell>
        </row>
        <row r="554">
          <cell r="E554" t="str">
            <v>AC198</v>
          </cell>
          <cell r="G554" t="str">
            <v>10.187.212.184</v>
          </cell>
          <cell r="H554" t="str">
            <v>10.187.212.161</v>
          </cell>
          <cell r="I554" t="str">
            <v>/27</v>
          </cell>
          <cell r="J554">
            <v>806</v>
          </cell>
          <cell r="K554" t="str">
            <v>10.187.213.184</v>
          </cell>
          <cell r="L554" t="str">
            <v>10.187.213.161</v>
          </cell>
          <cell r="M554" t="str">
            <v>/27</v>
          </cell>
          <cell r="N554">
            <v>816</v>
          </cell>
          <cell r="O554" t="str">
            <v>10.187.214.184</v>
          </cell>
          <cell r="P554" t="str">
            <v>10.187.214.161</v>
          </cell>
          <cell r="Q554" t="str">
            <v>/27</v>
          </cell>
          <cell r="R554">
            <v>826</v>
          </cell>
        </row>
        <row r="555">
          <cell r="E555" t="str">
            <v>AC198</v>
          </cell>
          <cell r="G555" t="str">
            <v>10.187.212.185</v>
          </cell>
          <cell r="H555" t="str">
            <v>10.187.212.161</v>
          </cell>
          <cell r="I555" t="str">
            <v>/27</v>
          </cell>
          <cell r="J555">
            <v>806</v>
          </cell>
          <cell r="K555" t="str">
            <v>10.187.213.185</v>
          </cell>
          <cell r="L555" t="str">
            <v>10.187.213.161</v>
          </cell>
          <cell r="M555" t="str">
            <v>/27</v>
          </cell>
          <cell r="N555">
            <v>816</v>
          </cell>
          <cell r="O555" t="str">
            <v>10.187.214.185</v>
          </cell>
          <cell r="P555" t="str">
            <v>10.187.214.161</v>
          </cell>
          <cell r="Q555" t="str">
            <v>/27</v>
          </cell>
          <cell r="R555">
            <v>826</v>
          </cell>
        </row>
        <row r="556">
          <cell r="E556" t="str">
            <v>AC198</v>
          </cell>
          <cell r="G556" t="str">
            <v>10.187.212.186</v>
          </cell>
          <cell r="H556" t="str">
            <v>10.187.212.161</v>
          </cell>
          <cell r="I556" t="str">
            <v>/27</v>
          </cell>
          <cell r="J556">
            <v>806</v>
          </cell>
          <cell r="K556" t="str">
            <v>10.187.213.186</v>
          </cell>
          <cell r="L556" t="str">
            <v>10.187.213.161</v>
          </cell>
          <cell r="M556" t="str">
            <v>/27</v>
          </cell>
          <cell r="N556">
            <v>816</v>
          </cell>
          <cell r="O556" t="str">
            <v>10.187.214.186</v>
          </cell>
          <cell r="P556" t="str">
            <v>10.187.214.161</v>
          </cell>
          <cell r="Q556" t="str">
            <v>/27</v>
          </cell>
          <cell r="R556">
            <v>826</v>
          </cell>
        </row>
        <row r="557">
          <cell r="E557" t="str">
            <v>AC198</v>
          </cell>
          <cell r="G557" t="str">
            <v>10.187.212.187</v>
          </cell>
          <cell r="H557" t="str">
            <v>10.187.212.161</v>
          </cell>
          <cell r="I557" t="str">
            <v>/27</v>
          </cell>
          <cell r="J557">
            <v>806</v>
          </cell>
          <cell r="K557" t="str">
            <v>10.187.213.187</v>
          </cell>
          <cell r="L557" t="str">
            <v>10.187.213.161</v>
          </cell>
          <cell r="M557" t="str">
            <v>/27</v>
          </cell>
          <cell r="N557">
            <v>816</v>
          </cell>
          <cell r="O557" t="str">
            <v>10.187.214.187</v>
          </cell>
          <cell r="P557" t="str">
            <v>10.187.214.161</v>
          </cell>
          <cell r="Q557" t="str">
            <v>/27</v>
          </cell>
          <cell r="R557">
            <v>826</v>
          </cell>
        </row>
        <row r="558">
          <cell r="E558" t="str">
            <v>AC198</v>
          </cell>
          <cell r="G558" t="str">
            <v>10.187.212.188</v>
          </cell>
          <cell r="H558" t="str">
            <v>10.187.212.161</v>
          </cell>
          <cell r="I558" t="str">
            <v>/27</v>
          </cell>
          <cell r="J558">
            <v>806</v>
          </cell>
          <cell r="K558" t="str">
            <v>10.187.213.188</v>
          </cell>
          <cell r="L558" t="str">
            <v>10.187.213.161</v>
          </cell>
          <cell r="M558" t="str">
            <v>/27</v>
          </cell>
          <cell r="N558">
            <v>816</v>
          </cell>
          <cell r="O558" t="str">
            <v>10.187.214.188</v>
          </cell>
          <cell r="P558" t="str">
            <v>10.187.214.161</v>
          </cell>
          <cell r="Q558" t="str">
            <v>/27</v>
          </cell>
          <cell r="R558">
            <v>826</v>
          </cell>
        </row>
        <row r="559">
          <cell r="E559" t="str">
            <v>AC198</v>
          </cell>
          <cell r="G559" t="str">
            <v>10.187.212.189</v>
          </cell>
          <cell r="H559" t="str">
            <v>10.187.212.161</v>
          </cell>
          <cell r="I559" t="str">
            <v>/27</v>
          </cell>
          <cell r="J559">
            <v>806</v>
          </cell>
          <cell r="K559" t="str">
            <v>10.187.213.189</v>
          </cell>
          <cell r="L559" t="str">
            <v>10.187.213.161</v>
          </cell>
          <cell r="M559" t="str">
            <v>/27</v>
          </cell>
          <cell r="N559">
            <v>816</v>
          </cell>
          <cell r="O559" t="str">
            <v>10.187.214.189</v>
          </cell>
          <cell r="P559" t="str">
            <v>10.187.214.161</v>
          </cell>
          <cell r="Q559" t="str">
            <v>/27</v>
          </cell>
          <cell r="R559">
            <v>826</v>
          </cell>
        </row>
        <row r="560">
          <cell r="E560" t="str">
            <v>AC198</v>
          </cell>
          <cell r="G560" t="str">
            <v>10.187.212.190</v>
          </cell>
          <cell r="H560" t="str">
            <v>10.187.212.161</v>
          </cell>
          <cell r="I560" t="str">
            <v>/27</v>
          </cell>
          <cell r="J560">
            <v>806</v>
          </cell>
          <cell r="K560" t="str">
            <v>10.187.213.190</v>
          </cell>
          <cell r="L560" t="str">
            <v>10.187.213.161</v>
          </cell>
          <cell r="M560" t="str">
            <v>/27</v>
          </cell>
          <cell r="N560">
            <v>816</v>
          </cell>
          <cell r="O560" t="str">
            <v>10.187.214.190</v>
          </cell>
          <cell r="P560" t="str">
            <v>10.187.214.161</v>
          </cell>
          <cell r="Q560" t="str">
            <v>/27</v>
          </cell>
          <cell r="R560">
            <v>826</v>
          </cell>
        </row>
        <row r="561">
          <cell r="E561" t="str">
            <v>AC198</v>
          </cell>
          <cell r="G561" t="str">
            <v>10.187.212.191</v>
          </cell>
          <cell r="H561" t="str">
            <v>10.187.212.161</v>
          </cell>
          <cell r="I561" t="str">
            <v>/27</v>
          </cell>
          <cell r="J561">
            <v>806</v>
          </cell>
          <cell r="K561" t="str">
            <v>10.187.213.191</v>
          </cell>
          <cell r="L561" t="str">
            <v>10.187.213.161</v>
          </cell>
          <cell r="M561" t="str">
            <v>/27</v>
          </cell>
          <cell r="N561">
            <v>816</v>
          </cell>
          <cell r="O561" t="str">
            <v>10.187.214.191</v>
          </cell>
          <cell r="P561" t="str">
            <v>10.187.214.161</v>
          </cell>
          <cell r="Q561" t="str">
            <v>/27</v>
          </cell>
          <cell r="R561">
            <v>826</v>
          </cell>
        </row>
        <row r="562">
          <cell r="E562" t="str">
            <v>AC223</v>
          </cell>
          <cell r="G562" t="str">
            <v>10.187.200.176</v>
          </cell>
          <cell r="H562" t="str">
            <v>10.187.200.177</v>
          </cell>
          <cell r="I562" t="str">
            <v>/28</v>
          </cell>
          <cell r="J562">
            <v>803</v>
          </cell>
          <cell r="K562" t="str">
            <v>10.187.202.176</v>
          </cell>
          <cell r="L562" t="str">
            <v>10.187.202.177</v>
          </cell>
          <cell r="M562" t="str">
            <v>/28</v>
          </cell>
          <cell r="N562">
            <v>813</v>
          </cell>
          <cell r="O562" t="str">
            <v>10.187.204.176</v>
          </cell>
          <cell r="P562" t="str">
            <v>10.187.204.177</v>
          </cell>
          <cell r="Q562" t="str">
            <v>/28</v>
          </cell>
          <cell r="R562">
            <v>823</v>
          </cell>
        </row>
        <row r="563">
          <cell r="E563" t="str">
            <v>AC223</v>
          </cell>
          <cell r="G563" t="str">
            <v>10.187.200.177</v>
          </cell>
          <cell r="H563" t="str">
            <v>10.187.200.177</v>
          </cell>
          <cell r="I563" t="str">
            <v>/28</v>
          </cell>
          <cell r="J563">
            <v>803</v>
          </cell>
          <cell r="K563" t="str">
            <v>10.187.202.177</v>
          </cell>
          <cell r="L563" t="str">
            <v>10.187.202.177</v>
          </cell>
          <cell r="M563" t="str">
            <v>/28</v>
          </cell>
          <cell r="N563">
            <v>813</v>
          </cell>
          <cell r="O563" t="str">
            <v>10.187.204.177</v>
          </cell>
          <cell r="P563" t="str">
            <v>10.187.204.177</v>
          </cell>
          <cell r="Q563" t="str">
            <v>/28</v>
          </cell>
          <cell r="R563">
            <v>823</v>
          </cell>
        </row>
        <row r="564">
          <cell r="E564" t="str">
            <v>AC223</v>
          </cell>
          <cell r="F564" t="str">
            <v>ET456</v>
          </cell>
          <cell r="G564" t="str">
            <v>10.187.200.178</v>
          </cell>
          <cell r="H564" t="str">
            <v>10.187.200.177</v>
          </cell>
          <cell r="I564" t="str">
            <v>/28</v>
          </cell>
          <cell r="J564">
            <v>803</v>
          </cell>
          <cell r="K564" t="str">
            <v>10.187.202.178</v>
          </cell>
          <cell r="L564" t="str">
            <v>10.187.202.177</v>
          </cell>
          <cell r="M564" t="str">
            <v>/28</v>
          </cell>
          <cell r="N564">
            <v>813</v>
          </cell>
          <cell r="O564" t="str">
            <v>10.187.204.178</v>
          </cell>
          <cell r="P564" t="str">
            <v>10.187.204.177</v>
          </cell>
          <cell r="Q564" t="str">
            <v>/28</v>
          </cell>
          <cell r="R564">
            <v>823</v>
          </cell>
        </row>
        <row r="565">
          <cell r="E565" t="str">
            <v>AC223</v>
          </cell>
          <cell r="F565" t="str">
            <v>AC223</v>
          </cell>
          <cell r="G565" t="str">
            <v>10.187.200.179</v>
          </cell>
          <cell r="H565" t="str">
            <v>10.187.200.177</v>
          </cell>
          <cell r="I565" t="str">
            <v>/28</v>
          </cell>
          <cell r="J565">
            <v>803</v>
          </cell>
          <cell r="K565" t="str">
            <v>10.187.202.179</v>
          </cell>
          <cell r="L565" t="str">
            <v>10.187.202.177</v>
          </cell>
          <cell r="M565" t="str">
            <v>/28</v>
          </cell>
          <cell r="N565">
            <v>813</v>
          </cell>
          <cell r="O565" t="str">
            <v>10.187.204.179</v>
          </cell>
          <cell r="P565" t="str">
            <v>10.187.204.177</v>
          </cell>
          <cell r="Q565" t="str">
            <v>/28</v>
          </cell>
          <cell r="R565">
            <v>823</v>
          </cell>
        </row>
        <row r="566">
          <cell r="E566" t="str">
            <v>AC223</v>
          </cell>
          <cell r="F566" t="str">
            <v>AC194</v>
          </cell>
          <cell r="G566" t="str">
            <v>10.187.200.180</v>
          </cell>
          <cell r="H566" t="str">
            <v>10.187.200.177</v>
          </cell>
          <cell r="I566" t="str">
            <v>/28</v>
          </cell>
          <cell r="J566">
            <v>803</v>
          </cell>
          <cell r="K566" t="str">
            <v>10.187.202.180</v>
          </cell>
          <cell r="L566" t="str">
            <v>10.187.202.177</v>
          </cell>
          <cell r="M566" t="str">
            <v>/28</v>
          </cell>
          <cell r="N566">
            <v>813</v>
          </cell>
          <cell r="O566" t="str">
            <v>10.187.204.180</v>
          </cell>
          <cell r="P566" t="str">
            <v>10.187.204.177</v>
          </cell>
          <cell r="Q566" t="str">
            <v>/28</v>
          </cell>
          <cell r="R566">
            <v>823</v>
          </cell>
        </row>
        <row r="567">
          <cell r="E567" t="str">
            <v>AC223</v>
          </cell>
          <cell r="F567" t="str">
            <v>AC526</v>
          </cell>
          <cell r="G567" t="str">
            <v>10.187.200.181</v>
          </cell>
          <cell r="H567" t="str">
            <v>10.187.200.177</v>
          </cell>
          <cell r="I567" t="str">
            <v>/28</v>
          </cell>
          <cell r="J567">
            <v>803</v>
          </cell>
          <cell r="K567" t="str">
            <v>10.187.202.181</v>
          </cell>
          <cell r="L567" t="str">
            <v>10.187.202.177</v>
          </cell>
          <cell r="M567" t="str">
            <v>/28</v>
          </cell>
          <cell r="N567">
            <v>813</v>
          </cell>
          <cell r="O567" t="str">
            <v>10.187.204.181</v>
          </cell>
          <cell r="P567" t="str">
            <v>10.187.204.177</v>
          </cell>
          <cell r="Q567" t="str">
            <v>/28</v>
          </cell>
          <cell r="R567">
            <v>823</v>
          </cell>
        </row>
        <row r="568">
          <cell r="E568" t="str">
            <v>AC223</v>
          </cell>
          <cell r="F568" t="str">
            <v>AC526</v>
          </cell>
          <cell r="G568" t="str">
            <v>10.187.200.182</v>
          </cell>
          <cell r="H568" t="str">
            <v>10.187.200.177</v>
          </cell>
          <cell r="I568" t="str">
            <v>/28</v>
          </cell>
          <cell r="J568">
            <v>803</v>
          </cell>
          <cell r="K568" t="str">
            <v>10.187.202.182</v>
          </cell>
          <cell r="L568" t="str">
            <v>10.187.202.177</v>
          </cell>
          <cell r="M568" t="str">
            <v>/28</v>
          </cell>
          <cell r="N568">
            <v>813</v>
          </cell>
          <cell r="O568" t="str">
            <v>10.187.204.182</v>
          </cell>
          <cell r="P568" t="str">
            <v>10.187.204.177</v>
          </cell>
          <cell r="Q568" t="str">
            <v>/28</v>
          </cell>
          <cell r="R568">
            <v>823</v>
          </cell>
        </row>
        <row r="569">
          <cell r="E569" t="str">
            <v>AC223</v>
          </cell>
          <cell r="F569" t="str">
            <v>AC976</v>
          </cell>
          <cell r="G569" t="str">
            <v>10.187.200.183</v>
          </cell>
          <cell r="H569" t="str">
            <v>10.187.200.177</v>
          </cell>
          <cell r="I569" t="str">
            <v>/28</v>
          </cell>
          <cell r="J569">
            <v>803</v>
          </cell>
          <cell r="K569" t="str">
            <v>10.187.202.183</v>
          </cell>
          <cell r="L569" t="str">
            <v>10.187.202.177</v>
          </cell>
          <cell r="M569" t="str">
            <v>/28</v>
          </cell>
          <cell r="N569">
            <v>813</v>
          </cell>
          <cell r="O569" t="str">
            <v>10.187.204.183</v>
          </cell>
          <cell r="P569" t="str">
            <v>10.187.204.177</v>
          </cell>
          <cell r="Q569" t="str">
            <v>/28</v>
          </cell>
          <cell r="R569">
            <v>823</v>
          </cell>
        </row>
        <row r="570">
          <cell r="E570" t="str">
            <v>AC223</v>
          </cell>
          <cell r="F570" t="str">
            <v>AC976</v>
          </cell>
          <cell r="G570" t="str">
            <v>10.187.200.184</v>
          </cell>
          <cell r="H570" t="str">
            <v>10.187.200.177</v>
          </cell>
          <cell r="I570" t="str">
            <v>/28</v>
          </cell>
          <cell r="J570">
            <v>803</v>
          </cell>
          <cell r="K570" t="str">
            <v>10.187.202.184</v>
          </cell>
          <cell r="L570" t="str">
            <v>10.187.202.177</v>
          </cell>
          <cell r="M570" t="str">
            <v>/28</v>
          </cell>
          <cell r="N570">
            <v>813</v>
          </cell>
          <cell r="O570" t="str">
            <v>10.187.204.184</v>
          </cell>
          <cell r="P570" t="str">
            <v>10.187.204.177</v>
          </cell>
          <cell r="Q570" t="str">
            <v>/28</v>
          </cell>
          <cell r="R570">
            <v>823</v>
          </cell>
        </row>
        <row r="571">
          <cell r="E571" t="str">
            <v>AC223</v>
          </cell>
          <cell r="F571" t="str">
            <v>AC194</v>
          </cell>
          <cell r="G571" t="str">
            <v>10.187.200.185</v>
          </cell>
          <cell r="H571" t="str">
            <v>10.187.200.177</v>
          </cell>
          <cell r="I571" t="str">
            <v>/28</v>
          </cell>
          <cell r="J571">
            <v>803</v>
          </cell>
          <cell r="K571" t="str">
            <v>10.187.202.185</v>
          </cell>
          <cell r="L571" t="str">
            <v>10.187.202.177</v>
          </cell>
          <cell r="M571" t="str">
            <v>/28</v>
          </cell>
          <cell r="N571">
            <v>813</v>
          </cell>
          <cell r="O571" t="str">
            <v>10.187.204.185</v>
          </cell>
          <cell r="P571" t="str">
            <v>10.187.204.177</v>
          </cell>
          <cell r="Q571" t="str">
            <v>/28</v>
          </cell>
          <cell r="R571">
            <v>823</v>
          </cell>
        </row>
        <row r="572">
          <cell r="E572" t="str">
            <v>AC223</v>
          </cell>
          <cell r="F572" t="str">
            <v>ET372</v>
          </cell>
          <cell r="G572" t="str">
            <v>10.187.200.186</v>
          </cell>
          <cell r="H572" t="str">
            <v>10.187.200.177</v>
          </cell>
          <cell r="I572" t="str">
            <v>/28</v>
          </cell>
          <cell r="J572">
            <v>803</v>
          </cell>
          <cell r="K572" t="str">
            <v>10.187.202.186</v>
          </cell>
          <cell r="L572" t="str">
            <v>10.187.202.177</v>
          </cell>
          <cell r="M572" t="str">
            <v>/28</v>
          </cell>
          <cell r="N572">
            <v>813</v>
          </cell>
          <cell r="O572" t="str">
            <v>10.187.204.186</v>
          </cell>
          <cell r="P572" t="str">
            <v>10.187.204.177</v>
          </cell>
          <cell r="Q572" t="str">
            <v>/28</v>
          </cell>
          <cell r="R572">
            <v>823</v>
          </cell>
        </row>
        <row r="573">
          <cell r="E573" t="str">
            <v>AC223</v>
          </cell>
          <cell r="F573" t="str">
            <v>ET372</v>
          </cell>
          <cell r="G573" t="str">
            <v>10.187.200.187</v>
          </cell>
          <cell r="H573" t="str">
            <v>10.187.200.177</v>
          </cell>
          <cell r="I573" t="str">
            <v>/28</v>
          </cell>
          <cell r="J573">
            <v>803</v>
          </cell>
          <cell r="K573" t="str">
            <v>10.187.202.187</v>
          </cell>
          <cell r="L573" t="str">
            <v>10.187.202.177</v>
          </cell>
          <cell r="M573" t="str">
            <v>/28</v>
          </cell>
          <cell r="N573">
            <v>813</v>
          </cell>
          <cell r="O573" t="str">
            <v>10.187.204.187</v>
          </cell>
          <cell r="P573" t="str">
            <v>10.187.204.177</v>
          </cell>
          <cell r="Q573" t="str">
            <v>/28</v>
          </cell>
          <cell r="R573">
            <v>823</v>
          </cell>
        </row>
        <row r="574">
          <cell r="E574" t="str">
            <v>AC223</v>
          </cell>
          <cell r="F574" t="str">
            <v>ET467</v>
          </cell>
          <cell r="G574" t="str">
            <v>10.187.200.188</v>
          </cell>
          <cell r="H574" t="str">
            <v>10.187.200.177</v>
          </cell>
          <cell r="I574" t="str">
            <v>/28</v>
          </cell>
          <cell r="J574">
            <v>803</v>
          </cell>
          <cell r="K574" t="str">
            <v>10.187.202.188</v>
          </cell>
          <cell r="L574" t="str">
            <v>10.187.202.177</v>
          </cell>
          <cell r="M574" t="str">
            <v>/28</v>
          </cell>
          <cell r="N574">
            <v>813</v>
          </cell>
          <cell r="O574" t="str">
            <v>10.187.204.188</v>
          </cell>
          <cell r="P574" t="str">
            <v>10.187.204.177</v>
          </cell>
          <cell r="Q574" t="str">
            <v>/28</v>
          </cell>
          <cell r="R574">
            <v>823</v>
          </cell>
        </row>
        <row r="575">
          <cell r="E575" t="str">
            <v>AC223</v>
          </cell>
          <cell r="F575" t="str">
            <v>ET467</v>
          </cell>
          <cell r="G575" t="str">
            <v>10.187.200.189</v>
          </cell>
          <cell r="H575" t="str">
            <v>10.187.200.177</v>
          </cell>
          <cell r="I575" t="str">
            <v>/28</v>
          </cell>
          <cell r="J575">
            <v>803</v>
          </cell>
          <cell r="K575" t="str">
            <v>10.187.202.189</v>
          </cell>
          <cell r="L575" t="str">
            <v>10.187.202.177</v>
          </cell>
          <cell r="M575" t="str">
            <v>/28</v>
          </cell>
          <cell r="N575">
            <v>813</v>
          </cell>
          <cell r="O575" t="str">
            <v>10.187.204.189</v>
          </cell>
          <cell r="P575" t="str">
            <v>10.187.204.177</v>
          </cell>
          <cell r="Q575" t="str">
            <v>/28</v>
          </cell>
          <cell r="R575">
            <v>823</v>
          </cell>
        </row>
        <row r="576">
          <cell r="E576" t="str">
            <v>AC223</v>
          </cell>
          <cell r="F576" t="str">
            <v>ET468</v>
          </cell>
          <cell r="G576" t="str">
            <v>10.187.200.190</v>
          </cell>
          <cell r="H576" t="str">
            <v>10.187.200.177</v>
          </cell>
          <cell r="I576" t="str">
            <v>/28</v>
          </cell>
          <cell r="J576">
            <v>803</v>
          </cell>
          <cell r="K576" t="str">
            <v>10.187.202.190</v>
          </cell>
          <cell r="L576" t="str">
            <v>10.187.202.177</v>
          </cell>
          <cell r="M576" t="str">
            <v>/28</v>
          </cell>
          <cell r="N576">
            <v>813</v>
          </cell>
          <cell r="O576" t="str">
            <v>10.187.204.190</v>
          </cell>
          <cell r="P576" t="str">
            <v>10.187.204.177</v>
          </cell>
          <cell r="Q576" t="str">
            <v>/28</v>
          </cell>
          <cell r="R576">
            <v>823</v>
          </cell>
        </row>
        <row r="577">
          <cell r="E577" t="str">
            <v>AC223</v>
          </cell>
          <cell r="G577" t="str">
            <v>10.187.200.191</v>
          </cell>
          <cell r="H577" t="str">
            <v>10.187.200.177</v>
          </cell>
          <cell r="I577" t="str">
            <v>/28</v>
          </cell>
          <cell r="J577">
            <v>803</v>
          </cell>
          <cell r="K577" t="str">
            <v>10.187.202.191</v>
          </cell>
          <cell r="L577" t="str">
            <v>10.187.202.177</v>
          </cell>
          <cell r="M577" t="str">
            <v>/28</v>
          </cell>
          <cell r="N577">
            <v>813</v>
          </cell>
          <cell r="O577" t="str">
            <v>10.187.204.191</v>
          </cell>
          <cell r="P577" t="str">
            <v>10.187.204.177</v>
          </cell>
          <cell r="Q577" t="str">
            <v>/28</v>
          </cell>
          <cell r="R577">
            <v>823</v>
          </cell>
        </row>
        <row r="578">
          <cell r="E578" t="str">
            <v>AC223</v>
          </cell>
          <cell r="G578" t="str">
            <v>10.188.28.192</v>
          </cell>
          <cell r="H578" t="str">
            <v>10.188.28.193</v>
          </cell>
          <cell r="I578" t="str">
            <v>/26</v>
          </cell>
          <cell r="J578">
            <v>807</v>
          </cell>
          <cell r="K578" t="str">
            <v>10.188.30.192</v>
          </cell>
          <cell r="L578" t="str">
            <v>10.188.30.193</v>
          </cell>
          <cell r="M578" t="str">
            <v>/26</v>
          </cell>
          <cell r="N578">
            <v>817</v>
          </cell>
          <cell r="O578" t="str">
            <v>10.188.32.192</v>
          </cell>
          <cell r="P578" t="str">
            <v>10.188.32.193</v>
          </cell>
          <cell r="Q578" t="str">
            <v>/26</v>
          </cell>
          <cell r="R578">
            <v>827</v>
          </cell>
        </row>
        <row r="579">
          <cell r="E579" t="str">
            <v>AC223</v>
          </cell>
          <cell r="G579" t="str">
            <v>10.188.28.193</v>
          </cell>
          <cell r="H579" t="str">
            <v>10.188.28.193</v>
          </cell>
          <cell r="I579" t="str">
            <v>/26</v>
          </cell>
          <cell r="J579">
            <v>807</v>
          </cell>
          <cell r="K579" t="str">
            <v>10.188.30.193</v>
          </cell>
          <cell r="L579" t="str">
            <v>10.188.30.193</v>
          </cell>
          <cell r="M579" t="str">
            <v>/26</v>
          </cell>
          <cell r="N579">
            <v>817</v>
          </cell>
          <cell r="O579" t="str">
            <v>10.188.32.193</v>
          </cell>
          <cell r="P579" t="str">
            <v>10.188.32.193</v>
          </cell>
          <cell r="Q579" t="str">
            <v>/26</v>
          </cell>
          <cell r="R579">
            <v>827</v>
          </cell>
        </row>
        <row r="580">
          <cell r="E580" t="str">
            <v>AC223</v>
          </cell>
          <cell r="F580" t="str">
            <v>ET461</v>
          </cell>
          <cell r="G580" t="str">
            <v>10.188.28.194</v>
          </cell>
          <cell r="H580" t="str">
            <v>10.188.28.193</v>
          </cell>
          <cell r="I580" t="str">
            <v>/26</v>
          </cell>
          <cell r="J580">
            <v>807</v>
          </cell>
          <cell r="K580" t="str">
            <v>10.188.30.194</v>
          </cell>
          <cell r="L580" t="str">
            <v>10.188.30.193</v>
          </cell>
          <cell r="M580" t="str">
            <v>/26</v>
          </cell>
          <cell r="N580">
            <v>817</v>
          </cell>
          <cell r="O580" t="str">
            <v>10.188.32.194</v>
          </cell>
          <cell r="P580" t="str">
            <v>10.188.32.193</v>
          </cell>
          <cell r="Q580" t="str">
            <v>/26</v>
          </cell>
          <cell r="R580">
            <v>827</v>
          </cell>
        </row>
        <row r="581">
          <cell r="E581" t="str">
            <v>AC223</v>
          </cell>
          <cell r="F581" t="str">
            <v>ET465</v>
          </cell>
          <cell r="G581" t="str">
            <v>10.188.28.195</v>
          </cell>
          <cell r="H581" t="str">
            <v>10.188.28.193</v>
          </cell>
          <cell r="I581" t="str">
            <v>/26</v>
          </cell>
          <cell r="J581">
            <v>807</v>
          </cell>
          <cell r="K581" t="str">
            <v>10.188.30.195</v>
          </cell>
          <cell r="L581" t="str">
            <v>10.188.30.193</v>
          </cell>
          <cell r="M581" t="str">
            <v>/26</v>
          </cell>
          <cell r="N581">
            <v>817</v>
          </cell>
          <cell r="O581" t="str">
            <v>10.188.32.195</v>
          </cell>
          <cell r="P581" t="str">
            <v>10.188.32.193</v>
          </cell>
          <cell r="Q581" t="str">
            <v>/26</v>
          </cell>
          <cell r="R581">
            <v>827</v>
          </cell>
        </row>
        <row r="582">
          <cell r="E582" t="str">
            <v>AC223</v>
          </cell>
          <cell r="F582" t="str">
            <v>ET469</v>
          </cell>
          <cell r="G582" t="str">
            <v>10.188.28.196</v>
          </cell>
          <cell r="H582" t="str">
            <v>10.188.28.193</v>
          </cell>
          <cell r="I582" t="str">
            <v>/26</v>
          </cell>
          <cell r="J582">
            <v>807</v>
          </cell>
          <cell r="K582" t="str">
            <v>10.188.30.196</v>
          </cell>
          <cell r="L582" t="str">
            <v>10.188.30.193</v>
          </cell>
          <cell r="M582" t="str">
            <v>/26</v>
          </cell>
          <cell r="N582">
            <v>817</v>
          </cell>
          <cell r="O582" t="str">
            <v>10.188.32.196</v>
          </cell>
          <cell r="P582" t="str">
            <v>10.188.32.193</v>
          </cell>
          <cell r="Q582" t="str">
            <v>/26</v>
          </cell>
          <cell r="R582">
            <v>827</v>
          </cell>
        </row>
        <row r="583">
          <cell r="E583" t="str">
            <v>AC223</v>
          </cell>
          <cell r="F583" t="str">
            <v>ET218</v>
          </cell>
          <cell r="G583" t="str">
            <v>10.188.28.197</v>
          </cell>
          <cell r="H583" t="str">
            <v>10.188.28.193</v>
          </cell>
          <cell r="I583" t="str">
            <v>/26</v>
          </cell>
          <cell r="J583">
            <v>807</v>
          </cell>
          <cell r="K583" t="str">
            <v>10.188.30.197</v>
          </cell>
          <cell r="L583" t="str">
            <v>10.188.30.193</v>
          </cell>
          <cell r="M583" t="str">
            <v>/26</v>
          </cell>
          <cell r="N583">
            <v>817</v>
          </cell>
          <cell r="O583" t="str">
            <v>10.188.32.197</v>
          </cell>
          <cell r="P583" t="str">
            <v>10.188.32.193</v>
          </cell>
          <cell r="Q583" t="str">
            <v>/26</v>
          </cell>
          <cell r="R583">
            <v>827</v>
          </cell>
        </row>
        <row r="584">
          <cell r="E584" t="str">
            <v>AC223</v>
          </cell>
          <cell r="F584" t="str">
            <v>ET218</v>
          </cell>
          <cell r="G584" t="str">
            <v>10.188.28.198</v>
          </cell>
          <cell r="H584" t="str">
            <v>10.188.28.193</v>
          </cell>
          <cell r="I584" t="str">
            <v>/26</v>
          </cell>
          <cell r="J584">
            <v>807</v>
          </cell>
          <cell r="K584" t="str">
            <v>10.188.30.198</v>
          </cell>
          <cell r="L584" t="str">
            <v>10.188.30.193</v>
          </cell>
          <cell r="M584" t="str">
            <v>/26</v>
          </cell>
          <cell r="N584">
            <v>817</v>
          </cell>
          <cell r="O584" t="str">
            <v>10.188.32.198</v>
          </cell>
          <cell r="P584" t="str">
            <v>10.188.32.193</v>
          </cell>
          <cell r="Q584" t="str">
            <v>/26</v>
          </cell>
          <cell r="R584">
            <v>827</v>
          </cell>
        </row>
        <row r="585">
          <cell r="E585" t="str">
            <v>AC223</v>
          </cell>
          <cell r="F585" t="str">
            <v>IM110</v>
          </cell>
          <cell r="G585" t="str">
            <v>10.188.28.199</v>
          </cell>
          <cell r="H585" t="str">
            <v>10.188.28.193</v>
          </cell>
          <cell r="I585" t="str">
            <v>/26</v>
          </cell>
          <cell r="J585">
            <v>807</v>
          </cell>
          <cell r="K585" t="str">
            <v>10.188.30.199</v>
          </cell>
          <cell r="L585" t="str">
            <v>10.188.30.193</v>
          </cell>
          <cell r="M585" t="str">
            <v>/26</v>
          </cell>
          <cell r="N585">
            <v>817</v>
          </cell>
          <cell r="O585" t="str">
            <v>10.188.32.199</v>
          </cell>
          <cell r="P585" t="str">
            <v>10.188.32.193</v>
          </cell>
          <cell r="Q585" t="str">
            <v>/26</v>
          </cell>
          <cell r="R585">
            <v>827</v>
          </cell>
        </row>
        <row r="586">
          <cell r="E586" t="str">
            <v>AC223</v>
          </cell>
          <cell r="F586" t="str">
            <v>IM110</v>
          </cell>
          <cell r="G586" t="str">
            <v>10.188.28.200</v>
          </cell>
          <cell r="H586" t="str">
            <v>10.188.28.193</v>
          </cell>
          <cell r="I586" t="str">
            <v>/26</v>
          </cell>
          <cell r="J586">
            <v>807</v>
          </cell>
          <cell r="K586" t="str">
            <v>10.188.30.200</v>
          </cell>
          <cell r="L586" t="str">
            <v>10.188.30.193</v>
          </cell>
          <cell r="M586" t="str">
            <v>/26</v>
          </cell>
          <cell r="N586">
            <v>817</v>
          </cell>
          <cell r="O586" t="str">
            <v>10.188.32.200</v>
          </cell>
          <cell r="P586" t="str">
            <v>10.188.32.193</v>
          </cell>
          <cell r="Q586" t="str">
            <v>/26</v>
          </cell>
          <cell r="R586">
            <v>827</v>
          </cell>
        </row>
        <row r="587">
          <cell r="E587" t="str">
            <v>AC223</v>
          </cell>
          <cell r="F587" t="str">
            <v>IM062</v>
          </cell>
          <cell r="G587" t="str">
            <v>10.188.28.201</v>
          </cell>
          <cell r="H587" t="str">
            <v>10.188.28.193</v>
          </cell>
          <cell r="I587" t="str">
            <v>/26</v>
          </cell>
          <cell r="J587">
            <v>807</v>
          </cell>
          <cell r="K587" t="str">
            <v>10.188.30.201</v>
          </cell>
          <cell r="L587" t="str">
            <v>10.188.30.193</v>
          </cell>
          <cell r="M587" t="str">
            <v>/26</v>
          </cell>
          <cell r="N587">
            <v>817</v>
          </cell>
          <cell r="O587" t="str">
            <v>10.188.32.201</v>
          </cell>
          <cell r="P587" t="str">
            <v>10.188.32.193</v>
          </cell>
          <cell r="Q587" t="str">
            <v>/26</v>
          </cell>
          <cell r="R587">
            <v>827</v>
          </cell>
        </row>
        <row r="588">
          <cell r="E588" t="str">
            <v>AC223</v>
          </cell>
          <cell r="F588" t="str">
            <v>IM062</v>
          </cell>
          <cell r="G588" t="str">
            <v>10.188.28.202</v>
          </cell>
          <cell r="H588" t="str">
            <v>10.188.28.193</v>
          </cell>
          <cell r="I588" t="str">
            <v>/26</v>
          </cell>
          <cell r="J588">
            <v>807</v>
          </cell>
          <cell r="K588" t="str">
            <v>10.188.30.202</v>
          </cell>
          <cell r="L588" t="str">
            <v>10.188.30.193</v>
          </cell>
          <cell r="M588" t="str">
            <v>/26</v>
          </cell>
          <cell r="N588">
            <v>817</v>
          </cell>
          <cell r="O588" t="str">
            <v>10.188.32.202</v>
          </cell>
          <cell r="P588" t="str">
            <v>10.188.32.193</v>
          </cell>
          <cell r="Q588" t="str">
            <v>/26</v>
          </cell>
          <cell r="R588">
            <v>827</v>
          </cell>
        </row>
        <row r="589">
          <cell r="E589" t="str">
            <v>AC223</v>
          </cell>
          <cell r="F589" t="str">
            <v>IM147</v>
          </cell>
          <cell r="G589" t="str">
            <v>10.188.28.203</v>
          </cell>
          <cell r="H589" t="str">
            <v>10.188.28.193</v>
          </cell>
          <cell r="I589" t="str">
            <v>/26</v>
          </cell>
          <cell r="J589">
            <v>807</v>
          </cell>
          <cell r="K589" t="str">
            <v>10.188.30.203</v>
          </cell>
          <cell r="L589" t="str">
            <v>10.188.30.193</v>
          </cell>
          <cell r="M589" t="str">
            <v>/26</v>
          </cell>
          <cell r="N589">
            <v>817</v>
          </cell>
          <cell r="O589" t="str">
            <v>10.188.32.203</v>
          </cell>
          <cell r="P589" t="str">
            <v>10.188.32.193</v>
          </cell>
          <cell r="Q589" t="str">
            <v>/26</v>
          </cell>
          <cell r="R589">
            <v>827</v>
          </cell>
        </row>
        <row r="590">
          <cell r="E590" t="str">
            <v>AC223</v>
          </cell>
          <cell r="F590" t="str">
            <v>IM147</v>
          </cell>
          <cell r="G590" t="str">
            <v>10.188.28.204</v>
          </cell>
          <cell r="H590" t="str">
            <v>10.188.28.193</v>
          </cell>
          <cell r="I590" t="str">
            <v>/26</v>
          </cell>
          <cell r="J590">
            <v>807</v>
          </cell>
          <cell r="K590" t="str">
            <v>10.188.30.204</v>
          </cell>
          <cell r="L590" t="str">
            <v>10.188.30.193</v>
          </cell>
          <cell r="M590" t="str">
            <v>/26</v>
          </cell>
          <cell r="N590">
            <v>817</v>
          </cell>
          <cell r="O590" t="str">
            <v>10.188.32.204</v>
          </cell>
          <cell r="P590" t="str">
            <v>10.188.32.193</v>
          </cell>
          <cell r="Q590" t="str">
            <v>/26</v>
          </cell>
          <cell r="R590">
            <v>827</v>
          </cell>
        </row>
        <row r="591">
          <cell r="E591" t="str">
            <v>AC223</v>
          </cell>
          <cell r="G591" t="str">
            <v>10.188.28.205</v>
          </cell>
          <cell r="H591" t="str">
            <v>10.188.28.193</v>
          </cell>
          <cell r="I591" t="str">
            <v>/26</v>
          </cell>
          <cell r="J591">
            <v>807</v>
          </cell>
          <cell r="K591" t="str">
            <v>10.188.30.205</v>
          </cell>
          <cell r="L591" t="str">
            <v>10.188.30.193</v>
          </cell>
          <cell r="M591" t="str">
            <v>/26</v>
          </cell>
          <cell r="N591">
            <v>817</v>
          </cell>
          <cell r="O591" t="str">
            <v>10.188.32.205</v>
          </cell>
          <cell r="P591" t="str">
            <v>10.188.32.193</v>
          </cell>
          <cell r="Q591" t="str">
            <v>/26</v>
          </cell>
          <cell r="R591">
            <v>827</v>
          </cell>
        </row>
        <row r="592">
          <cell r="E592" t="str">
            <v>AC223</v>
          </cell>
          <cell r="G592" t="str">
            <v>10.188.28.206</v>
          </cell>
          <cell r="H592" t="str">
            <v>10.188.28.193</v>
          </cell>
          <cell r="I592" t="str">
            <v>/26</v>
          </cell>
          <cell r="J592">
            <v>807</v>
          </cell>
          <cell r="K592" t="str">
            <v>10.188.30.206</v>
          </cell>
          <cell r="L592" t="str">
            <v>10.188.30.193</v>
          </cell>
          <cell r="M592" t="str">
            <v>/26</v>
          </cell>
          <cell r="N592">
            <v>817</v>
          </cell>
          <cell r="O592" t="str">
            <v>10.188.32.206</v>
          </cell>
          <cell r="P592" t="str">
            <v>10.188.32.193</v>
          </cell>
          <cell r="Q592" t="str">
            <v>/26</v>
          </cell>
          <cell r="R592">
            <v>827</v>
          </cell>
        </row>
        <row r="593">
          <cell r="E593" t="str">
            <v>AC223</v>
          </cell>
          <cell r="G593" t="str">
            <v>10.188.28.207</v>
          </cell>
          <cell r="H593" t="str">
            <v>10.188.28.193</v>
          </cell>
          <cell r="I593" t="str">
            <v>/26</v>
          </cell>
          <cell r="J593">
            <v>807</v>
          </cell>
          <cell r="K593" t="str">
            <v>10.188.30.207</v>
          </cell>
          <cell r="L593" t="str">
            <v>10.188.30.193</v>
          </cell>
          <cell r="M593" t="str">
            <v>/26</v>
          </cell>
          <cell r="N593">
            <v>817</v>
          </cell>
          <cell r="O593" t="str">
            <v>10.188.32.207</v>
          </cell>
          <cell r="P593" t="str">
            <v>10.188.32.193</v>
          </cell>
          <cell r="Q593" t="str">
            <v>/26</v>
          </cell>
          <cell r="R593">
            <v>827</v>
          </cell>
        </row>
        <row r="594">
          <cell r="E594" t="str">
            <v>AC223</v>
          </cell>
          <cell r="G594" t="str">
            <v>10.188.28.208</v>
          </cell>
          <cell r="H594" t="str">
            <v>10.188.28.193</v>
          </cell>
          <cell r="I594" t="str">
            <v>/26</v>
          </cell>
          <cell r="J594">
            <v>807</v>
          </cell>
          <cell r="K594" t="str">
            <v>10.188.30.208</v>
          </cell>
          <cell r="L594" t="str">
            <v>10.188.30.193</v>
          </cell>
          <cell r="M594" t="str">
            <v>/26</v>
          </cell>
          <cell r="N594">
            <v>817</v>
          </cell>
          <cell r="O594" t="str">
            <v>10.188.32.208</v>
          </cell>
          <cell r="P594" t="str">
            <v>10.188.32.193</v>
          </cell>
          <cell r="Q594" t="str">
            <v>/26</v>
          </cell>
          <cell r="R594">
            <v>827</v>
          </cell>
        </row>
        <row r="595">
          <cell r="E595" t="str">
            <v>AC223</v>
          </cell>
          <cell r="G595" t="str">
            <v>10.188.28.209</v>
          </cell>
          <cell r="H595" t="str">
            <v>10.188.28.193</v>
          </cell>
          <cell r="I595" t="str">
            <v>/26</v>
          </cell>
          <cell r="J595">
            <v>807</v>
          </cell>
          <cell r="K595" t="str">
            <v>10.188.30.209</v>
          </cell>
          <cell r="L595" t="str">
            <v>10.188.30.193</v>
          </cell>
          <cell r="M595" t="str">
            <v>/26</v>
          </cell>
          <cell r="N595">
            <v>817</v>
          </cell>
          <cell r="O595" t="str">
            <v>10.188.32.209</v>
          </cell>
          <cell r="P595" t="str">
            <v>10.188.32.193</v>
          </cell>
          <cell r="Q595" t="str">
            <v>/26</v>
          </cell>
          <cell r="R595">
            <v>827</v>
          </cell>
        </row>
        <row r="596">
          <cell r="E596" t="str">
            <v>AC223</v>
          </cell>
          <cell r="G596" t="str">
            <v>10.188.28.210</v>
          </cell>
          <cell r="H596" t="str">
            <v>10.188.28.193</v>
          </cell>
          <cell r="I596" t="str">
            <v>/26</v>
          </cell>
          <cell r="J596">
            <v>807</v>
          </cell>
          <cell r="K596" t="str">
            <v>10.188.30.210</v>
          </cell>
          <cell r="L596" t="str">
            <v>10.188.30.193</v>
          </cell>
          <cell r="M596" t="str">
            <v>/26</v>
          </cell>
          <cell r="N596">
            <v>817</v>
          </cell>
          <cell r="O596" t="str">
            <v>10.188.32.210</v>
          </cell>
          <cell r="P596" t="str">
            <v>10.188.32.193</v>
          </cell>
          <cell r="Q596" t="str">
            <v>/26</v>
          </cell>
          <cell r="R596">
            <v>827</v>
          </cell>
        </row>
        <row r="597">
          <cell r="E597" t="str">
            <v>AC223</v>
          </cell>
          <cell r="G597" t="str">
            <v>10.188.28.211</v>
          </cell>
          <cell r="H597" t="str">
            <v>10.188.28.193</v>
          </cell>
          <cell r="I597" t="str">
            <v>/26</v>
          </cell>
          <cell r="J597">
            <v>807</v>
          </cell>
          <cell r="K597" t="str">
            <v>10.188.30.211</v>
          </cell>
          <cell r="L597" t="str">
            <v>10.188.30.193</v>
          </cell>
          <cell r="M597" t="str">
            <v>/26</v>
          </cell>
          <cell r="N597">
            <v>817</v>
          </cell>
          <cell r="O597" t="str">
            <v>10.188.32.211</v>
          </cell>
          <cell r="P597" t="str">
            <v>10.188.32.193</v>
          </cell>
          <cell r="Q597" t="str">
            <v>/26</v>
          </cell>
          <cell r="R597">
            <v>827</v>
          </cell>
        </row>
        <row r="598">
          <cell r="E598" t="str">
            <v>AC223</v>
          </cell>
          <cell r="G598" t="str">
            <v>10.188.28.212</v>
          </cell>
          <cell r="H598" t="str">
            <v>10.188.28.193</v>
          </cell>
          <cell r="I598" t="str">
            <v>/26</v>
          </cell>
          <cell r="J598">
            <v>807</v>
          </cell>
          <cell r="K598" t="str">
            <v>10.188.30.212</v>
          </cell>
          <cell r="L598" t="str">
            <v>10.188.30.193</v>
          </cell>
          <cell r="M598" t="str">
            <v>/26</v>
          </cell>
          <cell r="N598">
            <v>817</v>
          </cell>
          <cell r="O598" t="str">
            <v>10.188.32.212</v>
          </cell>
          <cell r="P598" t="str">
            <v>10.188.32.193</v>
          </cell>
          <cell r="Q598" t="str">
            <v>/26</v>
          </cell>
          <cell r="R598">
            <v>827</v>
          </cell>
        </row>
        <row r="599">
          <cell r="E599" t="str">
            <v>AC223</v>
          </cell>
          <cell r="G599" t="str">
            <v>10.188.28.213</v>
          </cell>
          <cell r="H599" t="str">
            <v>10.188.28.193</v>
          </cell>
          <cell r="I599" t="str">
            <v>/26</v>
          </cell>
          <cell r="J599">
            <v>807</v>
          </cell>
          <cell r="K599" t="str">
            <v>10.188.30.213</v>
          </cell>
          <cell r="L599" t="str">
            <v>10.188.30.193</v>
          </cell>
          <cell r="M599" t="str">
            <v>/26</v>
          </cell>
          <cell r="N599">
            <v>817</v>
          </cell>
          <cell r="O599" t="str">
            <v>10.188.32.213</v>
          </cell>
          <cell r="P599" t="str">
            <v>10.188.32.193</v>
          </cell>
          <cell r="Q599" t="str">
            <v>/26</v>
          </cell>
          <cell r="R599">
            <v>827</v>
          </cell>
        </row>
        <row r="600">
          <cell r="E600" t="str">
            <v>AC223</v>
          </cell>
          <cell r="G600" t="str">
            <v>10.188.28.214</v>
          </cell>
          <cell r="H600" t="str">
            <v>10.188.28.193</v>
          </cell>
          <cell r="I600" t="str">
            <v>/26</v>
          </cell>
          <cell r="J600">
            <v>807</v>
          </cell>
          <cell r="K600" t="str">
            <v>10.188.30.214</v>
          </cell>
          <cell r="L600" t="str">
            <v>10.188.30.193</v>
          </cell>
          <cell r="M600" t="str">
            <v>/26</v>
          </cell>
          <cell r="N600">
            <v>817</v>
          </cell>
          <cell r="O600" t="str">
            <v>10.188.32.214</v>
          </cell>
          <cell r="P600" t="str">
            <v>10.188.32.193</v>
          </cell>
          <cell r="Q600" t="str">
            <v>/26</v>
          </cell>
          <cell r="R600">
            <v>827</v>
          </cell>
        </row>
        <row r="601">
          <cell r="E601" t="str">
            <v>AC223</v>
          </cell>
          <cell r="G601" t="str">
            <v>10.188.28.215</v>
          </cell>
          <cell r="H601" t="str">
            <v>10.188.28.193</v>
          </cell>
          <cell r="I601" t="str">
            <v>/26</v>
          </cell>
          <cell r="J601">
            <v>807</v>
          </cell>
          <cell r="K601" t="str">
            <v>10.188.30.215</v>
          </cell>
          <cell r="L601" t="str">
            <v>10.188.30.193</v>
          </cell>
          <cell r="M601" t="str">
            <v>/26</v>
          </cell>
          <cell r="N601">
            <v>817</v>
          </cell>
          <cell r="O601" t="str">
            <v>10.188.32.215</v>
          </cell>
          <cell r="P601" t="str">
            <v>10.188.32.193</v>
          </cell>
          <cell r="Q601" t="str">
            <v>/26</v>
          </cell>
          <cell r="R601">
            <v>827</v>
          </cell>
        </row>
        <row r="602">
          <cell r="E602" t="str">
            <v>AC223</v>
          </cell>
          <cell r="G602" t="str">
            <v>10.188.28.216</v>
          </cell>
          <cell r="H602" t="str">
            <v>10.188.28.193</v>
          </cell>
          <cell r="I602" t="str">
            <v>/26</v>
          </cell>
          <cell r="J602">
            <v>807</v>
          </cell>
          <cell r="K602" t="str">
            <v>10.188.30.216</v>
          </cell>
          <cell r="L602" t="str">
            <v>10.188.30.193</v>
          </cell>
          <cell r="M602" t="str">
            <v>/26</v>
          </cell>
          <cell r="N602">
            <v>817</v>
          </cell>
          <cell r="O602" t="str">
            <v>10.188.32.216</v>
          </cell>
          <cell r="P602" t="str">
            <v>10.188.32.193</v>
          </cell>
          <cell r="Q602" t="str">
            <v>/26</v>
          </cell>
          <cell r="R602">
            <v>827</v>
          </cell>
        </row>
        <row r="603">
          <cell r="E603" t="str">
            <v>AC223</v>
          </cell>
          <cell r="G603" t="str">
            <v>10.188.28.217</v>
          </cell>
          <cell r="H603" t="str">
            <v>10.188.28.193</v>
          </cell>
          <cell r="I603" t="str">
            <v>/26</v>
          </cell>
          <cell r="J603">
            <v>807</v>
          </cell>
          <cell r="K603" t="str">
            <v>10.188.30.217</v>
          </cell>
          <cell r="L603" t="str">
            <v>10.188.30.193</v>
          </cell>
          <cell r="M603" t="str">
            <v>/26</v>
          </cell>
          <cell r="N603">
            <v>817</v>
          </cell>
          <cell r="O603" t="str">
            <v>10.188.32.217</v>
          </cell>
          <cell r="P603" t="str">
            <v>10.188.32.193</v>
          </cell>
          <cell r="Q603" t="str">
            <v>/26</v>
          </cell>
          <cell r="R603">
            <v>827</v>
          </cell>
        </row>
        <row r="604">
          <cell r="E604" t="str">
            <v>AC223</v>
          </cell>
          <cell r="G604" t="str">
            <v>10.188.28.218</v>
          </cell>
          <cell r="H604" t="str">
            <v>10.188.28.193</v>
          </cell>
          <cell r="I604" t="str">
            <v>/26</v>
          </cell>
          <cell r="J604">
            <v>807</v>
          </cell>
          <cell r="K604" t="str">
            <v>10.188.30.218</v>
          </cell>
          <cell r="L604" t="str">
            <v>10.188.30.193</v>
          </cell>
          <cell r="M604" t="str">
            <v>/26</v>
          </cell>
          <cell r="N604">
            <v>817</v>
          </cell>
          <cell r="O604" t="str">
            <v>10.188.32.218</v>
          </cell>
          <cell r="P604" t="str">
            <v>10.188.32.193</v>
          </cell>
          <cell r="Q604" t="str">
            <v>/26</v>
          </cell>
          <cell r="R604">
            <v>827</v>
          </cell>
        </row>
        <row r="605">
          <cell r="E605" t="str">
            <v>AC223</v>
          </cell>
          <cell r="G605" t="str">
            <v>10.188.28.219</v>
          </cell>
          <cell r="H605" t="str">
            <v>10.188.28.193</v>
          </cell>
          <cell r="I605" t="str">
            <v>/26</v>
          </cell>
          <cell r="J605">
            <v>807</v>
          </cell>
          <cell r="K605" t="str">
            <v>10.188.30.219</v>
          </cell>
          <cell r="L605" t="str">
            <v>10.188.30.193</v>
          </cell>
          <cell r="M605" t="str">
            <v>/26</v>
          </cell>
          <cell r="N605">
            <v>817</v>
          </cell>
          <cell r="O605" t="str">
            <v>10.188.32.219</v>
          </cell>
          <cell r="P605" t="str">
            <v>10.188.32.193</v>
          </cell>
          <cell r="Q605" t="str">
            <v>/26</v>
          </cell>
          <cell r="R605">
            <v>827</v>
          </cell>
        </row>
        <row r="606">
          <cell r="E606" t="str">
            <v>AC223</v>
          </cell>
          <cell r="G606" t="str">
            <v>10.188.28.220</v>
          </cell>
          <cell r="H606" t="str">
            <v>10.188.28.193</v>
          </cell>
          <cell r="I606" t="str">
            <v>/26</v>
          </cell>
          <cell r="J606">
            <v>807</v>
          </cell>
          <cell r="K606" t="str">
            <v>10.188.30.220</v>
          </cell>
          <cell r="L606" t="str">
            <v>10.188.30.193</v>
          </cell>
          <cell r="M606" t="str">
            <v>/26</v>
          </cell>
          <cell r="N606">
            <v>817</v>
          </cell>
          <cell r="O606" t="str">
            <v>10.188.32.220</v>
          </cell>
          <cell r="P606" t="str">
            <v>10.188.32.193</v>
          </cell>
          <cell r="Q606" t="str">
            <v>/26</v>
          </cell>
          <cell r="R606">
            <v>827</v>
          </cell>
        </row>
        <row r="607">
          <cell r="E607" t="str">
            <v>AC223</v>
          </cell>
          <cell r="G607" t="str">
            <v>10.188.28.221</v>
          </cell>
          <cell r="H607" t="str">
            <v>10.188.28.193</v>
          </cell>
          <cell r="I607" t="str">
            <v>/26</v>
          </cell>
          <cell r="J607">
            <v>807</v>
          </cell>
          <cell r="K607" t="str">
            <v>10.188.30.221</v>
          </cell>
          <cell r="L607" t="str">
            <v>10.188.30.193</v>
          </cell>
          <cell r="M607" t="str">
            <v>/26</v>
          </cell>
          <cell r="N607">
            <v>817</v>
          </cell>
          <cell r="O607" t="str">
            <v>10.188.32.221</v>
          </cell>
          <cell r="P607" t="str">
            <v>10.188.32.193</v>
          </cell>
          <cell r="Q607" t="str">
            <v>/26</v>
          </cell>
          <cell r="R607">
            <v>827</v>
          </cell>
        </row>
        <row r="608">
          <cell r="E608" t="str">
            <v>AC223</v>
          </cell>
          <cell r="G608" t="str">
            <v>10.188.28.222</v>
          </cell>
          <cell r="H608" t="str">
            <v>10.188.28.193</v>
          </cell>
          <cell r="I608" t="str">
            <v>/26</v>
          </cell>
          <cell r="J608">
            <v>807</v>
          </cell>
          <cell r="K608" t="str">
            <v>10.188.30.222</v>
          </cell>
          <cell r="L608" t="str">
            <v>10.188.30.193</v>
          </cell>
          <cell r="M608" t="str">
            <v>/26</v>
          </cell>
          <cell r="N608">
            <v>817</v>
          </cell>
          <cell r="O608" t="str">
            <v>10.188.32.222</v>
          </cell>
          <cell r="P608" t="str">
            <v>10.188.32.193</v>
          </cell>
          <cell r="Q608" t="str">
            <v>/26</v>
          </cell>
          <cell r="R608">
            <v>827</v>
          </cell>
        </row>
        <row r="609">
          <cell r="E609" t="str">
            <v>AC223</v>
          </cell>
          <cell r="G609" t="str">
            <v>10.188.28.223</v>
          </cell>
          <cell r="H609" t="str">
            <v>10.188.28.193</v>
          </cell>
          <cell r="I609" t="str">
            <v>/26</v>
          </cell>
          <cell r="J609">
            <v>807</v>
          </cell>
          <cell r="K609" t="str">
            <v>10.188.30.223</v>
          </cell>
          <cell r="L609" t="str">
            <v>10.188.30.193</v>
          </cell>
          <cell r="M609" t="str">
            <v>/26</v>
          </cell>
          <cell r="N609">
            <v>817</v>
          </cell>
          <cell r="O609" t="str">
            <v>10.188.32.223</v>
          </cell>
          <cell r="P609" t="str">
            <v>10.188.32.193</v>
          </cell>
          <cell r="Q609" t="str">
            <v>/26</v>
          </cell>
          <cell r="R609">
            <v>827</v>
          </cell>
        </row>
        <row r="610">
          <cell r="E610" t="str">
            <v>AC223</v>
          </cell>
          <cell r="G610" t="str">
            <v>10.188.28.224</v>
          </cell>
          <cell r="H610" t="str">
            <v>10.188.28.193</v>
          </cell>
          <cell r="I610" t="str">
            <v>/26</v>
          </cell>
          <cell r="J610">
            <v>807</v>
          </cell>
          <cell r="K610" t="str">
            <v>10.188.30.224</v>
          </cell>
          <cell r="L610" t="str">
            <v>10.188.30.193</v>
          </cell>
          <cell r="M610" t="str">
            <v>/26</v>
          </cell>
          <cell r="N610">
            <v>817</v>
          </cell>
          <cell r="O610" t="str">
            <v>10.188.32.224</v>
          </cell>
          <cell r="P610" t="str">
            <v>10.188.32.193</v>
          </cell>
          <cell r="Q610" t="str">
            <v>/26</v>
          </cell>
          <cell r="R610">
            <v>827</v>
          </cell>
        </row>
        <row r="611">
          <cell r="E611" t="str">
            <v>AC223</v>
          </cell>
          <cell r="G611" t="str">
            <v>10.188.28.225</v>
          </cell>
          <cell r="H611" t="str">
            <v>10.188.28.193</v>
          </cell>
          <cell r="I611" t="str">
            <v>/26</v>
          </cell>
          <cell r="J611">
            <v>807</v>
          </cell>
          <cell r="K611" t="str">
            <v>10.188.30.225</v>
          </cell>
          <cell r="L611" t="str">
            <v>10.188.30.193</v>
          </cell>
          <cell r="M611" t="str">
            <v>/26</v>
          </cell>
          <cell r="N611">
            <v>817</v>
          </cell>
          <cell r="O611" t="str">
            <v>10.188.32.225</v>
          </cell>
          <cell r="P611" t="str">
            <v>10.188.32.193</v>
          </cell>
          <cell r="Q611" t="str">
            <v>/26</v>
          </cell>
          <cell r="R611">
            <v>827</v>
          </cell>
        </row>
        <row r="612">
          <cell r="E612" t="str">
            <v>AC223</v>
          </cell>
          <cell r="G612" t="str">
            <v>10.188.28.226</v>
          </cell>
          <cell r="H612" t="str">
            <v>10.188.28.193</v>
          </cell>
          <cell r="I612" t="str">
            <v>/26</v>
          </cell>
          <cell r="J612">
            <v>807</v>
          </cell>
          <cell r="K612" t="str">
            <v>10.188.30.226</v>
          </cell>
          <cell r="L612" t="str">
            <v>10.188.30.193</v>
          </cell>
          <cell r="M612" t="str">
            <v>/26</v>
          </cell>
          <cell r="N612">
            <v>817</v>
          </cell>
          <cell r="O612" t="str">
            <v>10.188.32.226</v>
          </cell>
          <cell r="P612" t="str">
            <v>10.188.32.193</v>
          </cell>
          <cell r="Q612" t="str">
            <v>/26</v>
          </cell>
          <cell r="R612">
            <v>827</v>
          </cell>
        </row>
        <row r="613">
          <cell r="E613" t="str">
            <v>AC223</v>
          </cell>
          <cell r="G613" t="str">
            <v>10.188.28.227</v>
          </cell>
          <cell r="H613" t="str">
            <v>10.188.28.193</v>
          </cell>
          <cell r="I613" t="str">
            <v>/26</v>
          </cell>
          <cell r="J613">
            <v>807</v>
          </cell>
          <cell r="K613" t="str">
            <v>10.188.30.227</v>
          </cell>
          <cell r="L613" t="str">
            <v>10.188.30.193</v>
          </cell>
          <cell r="M613" t="str">
            <v>/26</v>
          </cell>
          <cell r="N613">
            <v>817</v>
          </cell>
          <cell r="O613" t="str">
            <v>10.188.32.227</v>
          </cell>
          <cell r="P613" t="str">
            <v>10.188.32.193</v>
          </cell>
          <cell r="Q613" t="str">
            <v>/26</v>
          </cell>
          <cell r="R613">
            <v>827</v>
          </cell>
        </row>
        <row r="614">
          <cell r="E614" t="str">
            <v>AC223</v>
          </cell>
          <cell r="G614" t="str">
            <v>10.188.28.228</v>
          </cell>
          <cell r="H614" t="str">
            <v>10.188.28.193</v>
          </cell>
          <cell r="I614" t="str">
            <v>/26</v>
          </cell>
          <cell r="J614">
            <v>807</v>
          </cell>
          <cell r="K614" t="str">
            <v>10.188.30.228</v>
          </cell>
          <cell r="L614" t="str">
            <v>10.188.30.193</v>
          </cell>
          <cell r="M614" t="str">
            <v>/26</v>
          </cell>
          <cell r="N614">
            <v>817</v>
          </cell>
          <cell r="O614" t="str">
            <v>10.188.32.228</v>
          </cell>
          <cell r="P614" t="str">
            <v>10.188.32.193</v>
          </cell>
          <cell r="Q614" t="str">
            <v>/26</v>
          </cell>
          <cell r="R614">
            <v>827</v>
          </cell>
        </row>
        <row r="615">
          <cell r="E615" t="str">
            <v>AC223</v>
          </cell>
          <cell r="G615" t="str">
            <v>10.188.28.229</v>
          </cell>
          <cell r="H615" t="str">
            <v>10.188.28.193</v>
          </cell>
          <cell r="I615" t="str">
            <v>/26</v>
          </cell>
          <cell r="J615">
            <v>807</v>
          </cell>
          <cell r="K615" t="str">
            <v>10.188.30.229</v>
          </cell>
          <cell r="L615" t="str">
            <v>10.188.30.193</v>
          </cell>
          <cell r="M615" t="str">
            <v>/26</v>
          </cell>
          <cell r="N615">
            <v>817</v>
          </cell>
          <cell r="O615" t="str">
            <v>10.188.32.229</v>
          </cell>
          <cell r="P615" t="str">
            <v>10.188.32.193</v>
          </cell>
          <cell r="Q615" t="str">
            <v>/26</v>
          </cell>
          <cell r="R615">
            <v>827</v>
          </cell>
        </row>
        <row r="616">
          <cell r="E616" t="str">
            <v>AC223</v>
          </cell>
          <cell r="G616" t="str">
            <v>10.188.28.230</v>
          </cell>
          <cell r="H616" t="str">
            <v>10.188.28.193</v>
          </cell>
          <cell r="I616" t="str">
            <v>/26</v>
          </cell>
          <cell r="J616">
            <v>807</v>
          </cell>
          <cell r="K616" t="str">
            <v>10.188.30.230</v>
          </cell>
          <cell r="L616" t="str">
            <v>10.188.30.193</v>
          </cell>
          <cell r="M616" t="str">
            <v>/26</v>
          </cell>
          <cell r="N616">
            <v>817</v>
          </cell>
          <cell r="O616" t="str">
            <v>10.188.32.230</v>
          </cell>
          <cell r="P616" t="str">
            <v>10.188.32.193</v>
          </cell>
          <cell r="Q616" t="str">
            <v>/26</v>
          </cell>
          <cell r="R616">
            <v>827</v>
          </cell>
        </row>
        <row r="617">
          <cell r="E617" t="str">
            <v>AC223</v>
          </cell>
          <cell r="G617" t="str">
            <v>10.188.28.231</v>
          </cell>
          <cell r="H617" t="str">
            <v>10.188.28.193</v>
          </cell>
          <cell r="I617" t="str">
            <v>/26</v>
          </cell>
          <cell r="J617">
            <v>807</v>
          </cell>
          <cell r="K617" t="str">
            <v>10.188.30.231</v>
          </cell>
          <cell r="L617" t="str">
            <v>10.188.30.193</v>
          </cell>
          <cell r="M617" t="str">
            <v>/26</v>
          </cell>
          <cell r="N617">
            <v>817</v>
          </cell>
          <cell r="O617" t="str">
            <v>10.188.32.231</v>
          </cell>
          <cell r="P617" t="str">
            <v>10.188.32.193</v>
          </cell>
          <cell r="Q617" t="str">
            <v>/26</v>
          </cell>
          <cell r="R617">
            <v>827</v>
          </cell>
        </row>
        <row r="618">
          <cell r="E618" t="str">
            <v>AC223</v>
          </cell>
          <cell r="G618" t="str">
            <v>10.188.28.232</v>
          </cell>
          <cell r="H618" t="str">
            <v>10.188.28.193</v>
          </cell>
          <cell r="I618" t="str">
            <v>/26</v>
          </cell>
          <cell r="J618">
            <v>807</v>
          </cell>
          <cell r="K618" t="str">
            <v>10.188.30.232</v>
          </cell>
          <cell r="L618" t="str">
            <v>10.188.30.193</v>
          </cell>
          <cell r="M618" t="str">
            <v>/26</v>
          </cell>
          <cell r="N618">
            <v>817</v>
          </cell>
          <cell r="O618" t="str">
            <v>10.188.32.232</v>
          </cell>
          <cell r="P618" t="str">
            <v>10.188.32.193</v>
          </cell>
          <cell r="Q618" t="str">
            <v>/26</v>
          </cell>
          <cell r="R618">
            <v>827</v>
          </cell>
        </row>
        <row r="619">
          <cell r="E619" t="str">
            <v>AC223</v>
          </cell>
          <cell r="G619" t="str">
            <v>10.188.28.233</v>
          </cell>
          <cell r="H619" t="str">
            <v>10.188.28.193</v>
          </cell>
          <cell r="I619" t="str">
            <v>/26</v>
          </cell>
          <cell r="J619">
            <v>807</v>
          </cell>
          <cell r="K619" t="str">
            <v>10.188.30.233</v>
          </cell>
          <cell r="L619" t="str">
            <v>10.188.30.193</v>
          </cell>
          <cell r="M619" t="str">
            <v>/26</v>
          </cell>
          <cell r="N619">
            <v>817</v>
          </cell>
          <cell r="O619" t="str">
            <v>10.188.32.233</v>
          </cell>
          <cell r="P619" t="str">
            <v>10.188.32.193</v>
          </cell>
          <cell r="Q619" t="str">
            <v>/26</v>
          </cell>
          <cell r="R619">
            <v>827</v>
          </cell>
        </row>
        <row r="620">
          <cell r="E620" t="str">
            <v>AC223</v>
          </cell>
          <cell r="G620" t="str">
            <v>10.188.28.234</v>
          </cell>
          <cell r="H620" t="str">
            <v>10.188.28.193</v>
          </cell>
          <cell r="I620" t="str">
            <v>/26</v>
          </cell>
          <cell r="J620">
            <v>807</v>
          </cell>
          <cell r="K620" t="str">
            <v>10.188.30.234</v>
          </cell>
          <cell r="L620" t="str">
            <v>10.188.30.193</v>
          </cell>
          <cell r="M620" t="str">
            <v>/26</v>
          </cell>
          <cell r="N620">
            <v>817</v>
          </cell>
          <cell r="O620" t="str">
            <v>10.188.32.234</v>
          </cell>
          <cell r="P620" t="str">
            <v>10.188.32.193</v>
          </cell>
          <cell r="Q620" t="str">
            <v>/26</v>
          </cell>
          <cell r="R620">
            <v>827</v>
          </cell>
        </row>
        <row r="621">
          <cell r="E621" t="str">
            <v>AC223</v>
          </cell>
          <cell r="G621" t="str">
            <v>10.188.28.235</v>
          </cell>
          <cell r="H621" t="str">
            <v>10.188.28.193</v>
          </cell>
          <cell r="I621" t="str">
            <v>/26</v>
          </cell>
          <cell r="J621">
            <v>807</v>
          </cell>
          <cell r="K621" t="str">
            <v>10.188.30.235</v>
          </cell>
          <cell r="L621" t="str">
            <v>10.188.30.193</v>
          </cell>
          <cell r="M621" t="str">
            <v>/26</v>
          </cell>
          <cell r="N621">
            <v>817</v>
          </cell>
          <cell r="O621" t="str">
            <v>10.188.32.235</v>
          </cell>
          <cell r="P621" t="str">
            <v>10.188.32.193</v>
          </cell>
          <cell r="Q621" t="str">
            <v>/26</v>
          </cell>
          <cell r="R621">
            <v>827</v>
          </cell>
        </row>
        <row r="622">
          <cell r="E622" t="str">
            <v>AC223</v>
          </cell>
          <cell r="G622" t="str">
            <v>10.188.28.236</v>
          </cell>
          <cell r="H622" t="str">
            <v>10.188.28.193</v>
          </cell>
          <cell r="I622" t="str">
            <v>/26</v>
          </cell>
          <cell r="J622">
            <v>807</v>
          </cell>
          <cell r="K622" t="str">
            <v>10.188.30.236</v>
          </cell>
          <cell r="L622" t="str">
            <v>10.188.30.193</v>
          </cell>
          <cell r="M622" t="str">
            <v>/26</v>
          </cell>
          <cell r="N622">
            <v>817</v>
          </cell>
          <cell r="O622" t="str">
            <v>10.188.32.236</v>
          </cell>
          <cell r="P622" t="str">
            <v>10.188.32.193</v>
          </cell>
          <cell r="Q622" t="str">
            <v>/26</v>
          </cell>
          <cell r="R622">
            <v>827</v>
          </cell>
        </row>
        <row r="623">
          <cell r="E623" t="str">
            <v>AC223</v>
          </cell>
          <cell r="G623" t="str">
            <v>10.188.28.237</v>
          </cell>
          <cell r="H623" t="str">
            <v>10.188.28.193</v>
          </cell>
          <cell r="I623" t="str">
            <v>/26</v>
          </cell>
          <cell r="J623">
            <v>807</v>
          </cell>
          <cell r="K623" t="str">
            <v>10.188.30.237</v>
          </cell>
          <cell r="L623" t="str">
            <v>10.188.30.193</v>
          </cell>
          <cell r="M623" t="str">
            <v>/26</v>
          </cell>
          <cell r="N623">
            <v>817</v>
          </cell>
          <cell r="O623" t="str">
            <v>10.188.32.237</v>
          </cell>
          <cell r="P623" t="str">
            <v>10.188.32.193</v>
          </cell>
          <cell r="Q623" t="str">
            <v>/26</v>
          </cell>
          <cell r="R623">
            <v>827</v>
          </cell>
        </row>
        <row r="624">
          <cell r="E624" t="str">
            <v>AC223</v>
          </cell>
          <cell r="G624" t="str">
            <v>10.188.28.238</v>
          </cell>
          <cell r="H624" t="str">
            <v>10.188.28.193</v>
          </cell>
          <cell r="I624" t="str">
            <v>/26</v>
          </cell>
          <cell r="J624">
            <v>807</v>
          </cell>
          <cell r="K624" t="str">
            <v>10.188.30.238</v>
          </cell>
          <cell r="L624" t="str">
            <v>10.188.30.193</v>
          </cell>
          <cell r="M624" t="str">
            <v>/26</v>
          </cell>
          <cell r="N624">
            <v>817</v>
          </cell>
          <cell r="O624" t="str">
            <v>10.188.32.238</v>
          </cell>
          <cell r="P624" t="str">
            <v>10.188.32.193</v>
          </cell>
          <cell r="Q624" t="str">
            <v>/26</v>
          </cell>
          <cell r="R624">
            <v>827</v>
          </cell>
        </row>
        <row r="625">
          <cell r="E625" t="str">
            <v>AC223</v>
          </cell>
          <cell r="G625" t="str">
            <v>10.188.28.239</v>
          </cell>
          <cell r="H625" t="str">
            <v>10.188.28.193</v>
          </cell>
          <cell r="I625" t="str">
            <v>/26</v>
          </cell>
          <cell r="J625">
            <v>807</v>
          </cell>
          <cell r="K625" t="str">
            <v>10.188.30.239</v>
          </cell>
          <cell r="L625" t="str">
            <v>10.188.30.193</v>
          </cell>
          <cell r="M625" t="str">
            <v>/26</v>
          </cell>
          <cell r="N625">
            <v>817</v>
          </cell>
          <cell r="O625" t="str">
            <v>10.188.32.239</v>
          </cell>
          <cell r="P625" t="str">
            <v>10.188.32.193</v>
          </cell>
          <cell r="Q625" t="str">
            <v>/26</v>
          </cell>
          <cell r="R625">
            <v>827</v>
          </cell>
        </row>
        <row r="626">
          <cell r="E626" t="str">
            <v>AC223</v>
          </cell>
          <cell r="G626" t="str">
            <v>10.188.28.240</v>
          </cell>
          <cell r="H626" t="str">
            <v>10.188.28.193</v>
          </cell>
          <cell r="I626" t="str">
            <v>/26</v>
          </cell>
          <cell r="J626">
            <v>807</v>
          </cell>
          <cell r="K626" t="str">
            <v>10.188.30.240</v>
          </cell>
          <cell r="L626" t="str">
            <v>10.188.30.193</v>
          </cell>
          <cell r="M626" t="str">
            <v>/26</v>
          </cell>
          <cell r="N626">
            <v>817</v>
          </cell>
          <cell r="O626" t="str">
            <v>10.188.32.240</v>
          </cell>
          <cell r="P626" t="str">
            <v>10.188.32.193</v>
          </cell>
          <cell r="Q626" t="str">
            <v>/26</v>
          </cell>
          <cell r="R626">
            <v>827</v>
          </cell>
        </row>
        <row r="627">
          <cell r="E627" t="str">
            <v>AC223</v>
          </cell>
          <cell r="G627" t="str">
            <v>10.188.28.241</v>
          </cell>
          <cell r="H627" t="str">
            <v>10.188.28.193</v>
          </cell>
          <cell r="I627" t="str">
            <v>/26</v>
          </cell>
          <cell r="J627">
            <v>807</v>
          </cell>
          <cell r="K627" t="str">
            <v>10.188.30.241</v>
          </cell>
          <cell r="L627" t="str">
            <v>10.188.30.193</v>
          </cell>
          <cell r="M627" t="str">
            <v>/26</v>
          </cell>
          <cell r="N627">
            <v>817</v>
          </cell>
          <cell r="O627" t="str">
            <v>10.188.32.241</v>
          </cell>
          <cell r="P627" t="str">
            <v>10.188.32.193</v>
          </cell>
          <cell r="Q627" t="str">
            <v>/26</v>
          </cell>
          <cell r="R627">
            <v>827</v>
          </cell>
        </row>
        <row r="628">
          <cell r="E628" t="str">
            <v>AC223</v>
          </cell>
          <cell r="G628" t="str">
            <v>10.188.28.242</v>
          </cell>
          <cell r="H628" t="str">
            <v>10.188.28.193</v>
          </cell>
          <cell r="I628" t="str">
            <v>/26</v>
          </cell>
          <cell r="J628">
            <v>807</v>
          </cell>
          <cell r="K628" t="str">
            <v>10.188.30.242</v>
          </cell>
          <cell r="L628" t="str">
            <v>10.188.30.193</v>
          </cell>
          <cell r="M628" t="str">
            <v>/26</v>
          </cell>
          <cell r="N628">
            <v>817</v>
          </cell>
          <cell r="O628" t="str">
            <v>10.188.32.242</v>
          </cell>
          <cell r="P628" t="str">
            <v>10.188.32.193</v>
          </cell>
          <cell r="Q628" t="str">
            <v>/26</v>
          </cell>
          <cell r="R628">
            <v>827</v>
          </cell>
        </row>
        <row r="629">
          <cell r="E629" t="str">
            <v>AC223</v>
          </cell>
          <cell r="G629" t="str">
            <v>10.188.28.243</v>
          </cell>
          <cell r="H629" t="str">
            <v>10.188.28.193</v>
          </cell>
          <cell r="I629" t="str">
            <v>/26</v>
          </cell>
          <cell r="J629">
            <v>807</v>
          </cell>
          <cell r="K629" t="str">
            <v>10.188.30.243</v>
          </cell>
          <cell r="L629" t="str">
            <v>10.188.30.193</v>
          </cell>
          <cell r="M629" t="str">
            <v>/26</v>
          </cell>
          <cell r="N629">
            <v>817</v>
          </cell>
          <cell r="O629" t="str">
            <v>10.188.32.243</v>
          </cell>
          <cell r="P629" t="str">
            <v>10.188.32.193</v>
          </cell>
          <cell r="Q629" t="str">
            <v>/26</v>
          </cell>
          <cell r="R629">
            <v>827</v>
          </cell>
        </row>
        <row r="630">
          <cell r="E630" t="str">
            <v>AC223</v>
          </cell>
          <cell r="G630" t="str">
            <v>10.188.28.244</v>
          </cell>
          <cell r="H630" t="str">
            <v>10.188.28.193</v>
          </cell>
          <cell r="I630" t="str">
            <v>/26</v>
          </cell>
          <cell r="J630">
            <v>807</v>
          </cell>
          <cell r="K630" t="str">
            <v>10.188.30.244</v>
          </cell>
          <cell r="L630" t="str">
            <v>10.188.30.193</v>
          </cell>
          <cell r="M630" t="str">
            <v>/26</v>
          </cell>
          <cell r="N630">
            <v>817</v>
          </cell>
          <cell r="O630" t="str">
            <v>10.188.32.244</v>
          </cell>
          <cell r="P630" t="str">
            <v>10.188.32.193</v>
          </cell>
          <cell r="Q630" t="str">
            <v>/26</v>
          </cell>
          <cell r="R630">
            <v>827</v>
          </cell>
        </row>
        <row r="631">
          <cell r="E631" t="str">
            <v>AC223</v>
          </cell>
          <cell r="G631" t="str">
            <v>10.188.28.245</v>
          </cell>
          <cell r="H631" t="str">
            <v>10.188.28.193</v>
          </cell>
          <cell r="I631" t="str">
            <v>/26</v>
          </cell>
          <cell r="J631">
            <v>807</v>
          </cell>
          <cell r="K631" t="str">
            <v>10.188.30.245</v>
          </cell>
          <cell r="L631" t="str">
            <v>10.188.30.193</v>
          </cell>
          <cell r="M631" t="str">
            <v>/26</v>
          </cell>
          <cell r="N631">
            <v>817</v>
          </cell>
          <cell r="O631" t="str">
            <v>10.188.32.245</v>
          </cell>
          <cell r="P631" t="str">
            <v>10.188.32.193</v>
          </cell>
          <cell r="Q631" t="str">
            <v>/26</v>
          </cell>
          <cell r="R631">
            <v>827</v>
          </cell>
        </row>
        <row r="632">
          <cell r="E632" t="str">
            <v>AC223</v>
          </cell>
          <cell r="G632" t="str">
            <v>10.188.28.246</v>
          </cell>
          <cell r="H632" t="str">
            <v>10.188.28.193</v>
          </cell>
          <cell r="I632" t="str">
            <v>/26</v>
          </cell>
          <cell r="J632">
            <v>807</v>
          </cell>
          <cell r="K632" t="str">
            <v>10.188.30.246</v>
          </cell>
          <cell r="L632" t="str">
            <v>10.188.30.193</v>
          </cell>
          <cell r="M632" t="str">
            <v>/26</v>
          </cell>
          <cell r="N632">
            <v>817</v>
          </cell>
          <cell r="O632" t="str">
            <v>10.188.32.246</v>
          </cell>
          <cell r="P632" t="str">
            <v>10.188.32.193</v>
          </cell>
          <cell r="Q632" t="str">
            <v>/26</v>
          </cell>
          <cell r="R632">
            <v>827</v>
          </cell>
        </row>
        <row r="633">
          <cell r="E633" t="str">
            <v>AC223</v>
          </cell>
          <cell r="G633" t="str">
            <v>10.188.28.247</v>
          </cell>
          <cell r="H633" t="str">
            <v>10.188.28.193</v>
          </cell>
          <cell r="I633" t="str">
            <v>/26</v>
          </cell>
          <cell r="J633">
            <v>807</v>
          </cell>
          <cell r="K633" t="str">
            <v>10.188.30.247</v>
          </cell>
          <cell r="L633" t="str">
            <v>10.188.30.193</v>
          </cell>
          <cell r="M633" t="str">
            <v>/26</v>
          </cell>
          <cell r="N633">
            <v>817</v>
          </cell>
          <cell r="O633" t="str">
            <v>10.188.32.247</v>
          </cell>
          <cell r="P633" t="str">
            <v>10.188.32.193</v>
          </cell>
          <cell r="Q633" t="str">
            <v>/26</v>
          </cell>
          <cell r="R633">
            <v>827</v>
          </cell>
        </row>
        <row r="634">
          <cell r="E634" t="str">
            <v>AC223</v>
          </cell>
          <cell r="G634" t="str">
            <v>10.188.28.248</v>
          </cell>
          <cell r="H634" t="str">
            <v>10.188.28.193</v>
          </cell>
          <cell r="I634" t="str">
            <v>/26</v>
          </cell>
          <cell r="J634">
            <v>807</v>
          </cell>
          <cell r="K634" t="str">
            <v>10.188.30.248</v>
          </cell>
          <cell r="L634" t="str">
            <v>10.188.30.193</v>
          </cell>
          <cell r="M634" t="str">
            <v>/26</v>
          </cell>
          <cell r="N634">
            <v>817</v>
          </cell>
          <cell r="O634" t="str">
            <v>10.188.32.248</v>
          </cell>
          <cell r="P634" t="str">
            <v>10.188.32.193</v>
          </cell>
          <cell r="Q634" t="str">
            <v>/26</v>
          </cell>
          <cell r="R634">
            <v>827</v>
          </cell>
        </row>
        <row r="635">
          <cell r="E635" t="str">
            <v>AC223</v>
          </cell>
          <cell r="G635" t="str">
            <v>10.188.28.249</v>
          </cell>
          <cell r="H635" t="str">
            <v>10.188.28.193</v>
          </cell>
          <cell r="I635" t="str">
            <v>/26</v>
          </cell>
          <cell r="J635">
            <v>807</v>
          </cell>
          <cell r="K635" t="str">
            <v>10.188.30.249</v>
          </cell>
          <cell r="L635" t="str">
            <v>10.188.30.193</v>
          </cell>
          <cell r="M635" t="str">
            <v>/26</v>
          </cell>
          <cell r="N635">
            <v>817</v>
          </cell>
          <cell r="O635" t="str">
            <v>10.188.32.249</v>
          </cell>
          <cell r="P635" t="str">
            <v>10.188.32.193</v>
          </cell>
          <cell r="Q635" t="str">
            <v>/26</v>
          </cell>
          <cell r="R635">
            <v>827</v>
          </cell>
        </row>
        <row r="636">
          <cell r="E636" t="str">
            <v>AC223</v>
          </cell>
          <cell r="G636" t="str">
            <v>10.188.28.250</v>
          </cell>
          <cell r="H636" t="str">
            <v>10.188.28.193</v>
          </cell>
          <cell r="I636" t="str">
            <v>/26</v>
          </cell>
          <cell r="J636">
            <v>807</v>
          </cell>
          <cell r="K636" t="str">
            <v>10.188.30.250</v>
          </cell>
          <cell r="L636" t="str">
            <v>10.188.30.193</v>
          </cell>
          <cell r="M636" t="str">
            <v>/26</v>
          </cell>
          <cell r="N636">
            <v>817</v>
          </cell>
          <cell r="O636" t="str">
            <v>10.188.32.250</v>
          </cell>
          <cell r="P636" t="str">
            <v>10.188.32.193</v>
          </cell>
          <cell r="Q636" t="str">
            <v>/26</v>
          </cell>
          <cell r="R636">
            <v>827</v>
          </cell>
        </row>
        <row r="637">
          <cell r="E637" t="str">
            <v>AC223</v>
          </cell>
          <cell r="G637" t="str">
            <v>10.188.28.251</v>
          </cell>
          <cell r="H637" t="str">
            <v>10.188.28.193</v>
          </cell>
          <cell r="I637" t="str">
            <v>/26</v>
          </cell>
          <cell r="J637">
            <v>807</v>
          </cell>
          <cell r="K637" t="str">
            <v>10.188.30.251</v>
          </cell>
          <cell r="L637" t="str">
            <v>10.188.30.193</v>
          </cell>
          <cell r="M637" t="str">
            <v>/26</v>
          </cell>
          <cell r="N637">
            <v>817</v>
          </cell>
          <cell r="O637" t="str">
            <v>10.188.32.251</v>
          </cell>
          <cell r="P637" t="str">
            <v>10.188.32.193</v>
          </cell>
          <cell r="Q637" t="str">
            <v>/26</v>
          </cell>
          <cell r="R637">
            <v>827</v>
          </cell>
        </row>
        <row r="638">
          <cell r="E638" t="str">
            <v>AC223</v>
          </cell>
          <cell r="G638" t="str">
            <v>10.188.28.252</v>
          </cell>
          <cell r="H638" t="str">
            <v>10.188.28.193</v>
          </cell>
          <cell r="I638" t="str">
            <v>/26</v>
          </cell>
          <cell r="J638">
            <v>807</v>
          </cell>
          <cell r="K638" t="str">
            <v>10.188.30.252</v>
          </cell>
          <cell r="L638" t="str">
            <v>10.188.30.193</v>
          </cell>
          <cell r="M638" t="str">
            <v>/26</v>
          </cell>
          <cell r="N638">
            <v>817</v>
          </cell>
          <cell r="O638" t="str">
            <v>10.188.32.252</v>
          </cell>
          <cell r="P638" t="str">
            <v>10.188.32.193</v>
          </cell>
          <cell r="Q638" t="str">
            <v>/26</v>
          </cell>
          <cell r="R638">
            <v>827</v>
          </cell>
        </row>
        <row r="639">
          <cell r="E639" t="str">
            <v>AC223</v>
          </cell>
          <cell r="G639" t="str">
            <v>10.188.28.253</v>
          </cell>
          <cell r="H639" t="str">
            <v>10.188.28.193</v>
          </cell>
          <cell r="I639" t="str">
            <v>/26</v>
          </cell>
          <cell r="J639">
            <v>807</v>
          </cell>
          <cell r="K639" t="str">
            <v>10.188.30.253</v>
          </cell>
          <cell r="L639" t="str">
            <v>10.188.30.193</v>
          </cell>
          <cell r="M639" t="str">
            <v>/26</v>
          </cell>
          <cell r="N639">
            <v>817</v>
          </cell>
          <cell r="O639" t="str">
            <v>10.188.32.253</v>
          </cell>
          <cell r="P639" t="str">
            <v>10.188.32.193</v>
          </cell>
          <cell r="Q639" t="str">
            <v>/26</v>
          </cell>
          <cell r="R639">
            <v>827</v>
          </cell>
        </row>
        <row r="640">
          <cell r="E640" t="str">
            <v>AC223</v>
          </cell>
          <cell r="G640" t="str">
            <v>10.188.28.254</v>
          </cell>
          <cell r="H640" t="str">
            <v>10.188.28.193</v>
          </cell>
          <cell r="I640" t="str">
            <v>/26</v>
          </cell>
          <cell r="J640">
            <v>807</v>
          </cell>
          <cell r="K640" t="str">
            <v>10.188.30.254</v>
          </cell>
          <cell r="L640" t="str">
            <v>10.188.30.193</v>
          </cell>
          <cell r="M640" t="str">
            <v>/26</v>
          </cell>
          <cell r="N640">
            <v>817</v>
          </cell>
          <cell r="O640" t="str">
            <v>10.188.32.254</v>
          </cell>
          <cell r="P640" t="str">
            <v>10.188.32.193</v>
          </cell>
          <cell r="Q640" t="str">
            <v>/26</v>
          </cell>
          <cell r="R640">
            <v>827</v>
          </cell>
        </row>
        <row r="641">
          <cell r="E641" t="str">
            <v>AC223</v>
          </cell>
          <cell r="G641" t="str">
            <v>10.188.28.255</v>
          </cell>
          <cell r="H641" t="str">
            <v>10.188.28.193</v>
          </cell>
          <cell r="I641" t="str">
            <v>/26</v>
          </cell>
          <cell r="J641">
            <v>807</v>
          </cell>
          <cell r="K641" t="str">
            <v>10.188.30.255</v>
          </cell>
          <cell r="L641" t="str">
            <v>10.188.30.193</v>
          </cell>
          <cell r="M641" t="str">
            <v>/26</v>
          </cell>
          <cell r="N641">
            <v>817</v>
          </cell>
          <cell r="O641" t="str">
            <v>10.188.32.255</v>
          </cell>
          <cell r="P641" t="str">
            <v>10.188.32.193</v>
          </cell>
          <cell r="Q641" t="str">
            <v>/26</v>
          </cell>
          <cell r="R641">
            <v>827</v>
          </cell>
        </row>
        <row r="642">
          <cell r="E642" t="str">
            <v>AC225</v>
          </cell>
          <cell r="G642" t="str">
            <v>10.187.212.96</v>
          </cell>
          <cell r="H642" t="str">
            <v>10.187.212.97</v>
          </cell>
          <cell r="I642" t="str">
            <v>/27</v>
          </cell>
          <cell r="J642">
            <v>806</v>
          </cell>
          <cell r="K642" t="str">
            <v>10.187.213.96</v>
          </cell>
          <cell r="L642" t="str">
            <v>10.187.213.97</v>
          </cell>
          <cell r="M642" t="str">
            <v>/27</v>
          </cell>
          <cell r="N642">
            <v>816</v>
          </cell>
          <cell r="O642" t="str">
            <v>10.187.214.96</v>
          </cell>
          <cell r="P642" t="str">
            <v>10.187.214.97</v>
          </cell>
          <cell r="Q642" t="str">
            <v>/27</v>
          </cell>
          <cell r="R642">
            <v>826</v>
          </cell>
        </row>
        <row r="643">
          <cell r="E643" t="str">
            <v>AC225</v>
          </cell>
          <cell r="G643" t="str">
            <v>10.187.212.97</v>
          </cell>
          <cell r="H643" t="str">
            <v>10.187.212.97</v>
          </cell>
          <cell r="I643" t="str">
            <v>/27</v>
          </cell>
          <cell r="J643">
            <v>806</v>
          </cell>
          <cell r="K643" t="str">
            <v>10.187.213.97</v>
          </cell>
          <cell r="L643" t="str">
            <v>10.187.213.97</v>
          </cell>
          <cell r="M643" t="str">
            <v>/27</v>
          </cell>
          <cell r="N643">
            <v>816</v>
          </cell>
          <cell r="O643" t="str">
            <v>10.187.214.97</v>
          </cell>
          <cell r="P643" t="str">
            <v>10.187.214.97</v>
          </cell>
          <cell r="Q643" t="str">
            <v>/27</v>
          </cell>
          <cell r="R643">
            <v>826</v>
          </cell>
        </row>
        <row r="644">
          <cell r="E644" t="str">
            <v>AC225</v>
          </cell>
          <cell r="F644" t="str">
            <v>IM255</v>
          </cell>
          <cell r="G644" t="str">
            <v>10.187.212.98</v>
          </cell>
          <cell r="H644" t="str">
            <v>10.187.212.97</v>
          </cell>
          <cell r="I644" t="str">
            <v>/27</v>
          </cell>
          <cell r="J644">
            <v>806</v>
          </cell>
          <cell r="K644" t="str">
            <v>10.187.213.98</v>
          </cell>
          <cell r="L644" t="str">
            <v>10.187.213.97</v>
          </cell>
          <cell r="M644" t="str">
            <v>/27</v>
          </cell>
          <cell r="N644">
            <v>816</v>
          </cell>
          <cell r="O644" t="str">
            <v>10.187.214.98</v>
          </cell>
          <cell r="P644" t="str">
            <v>10.187.214.97</v>
          </cell>
          <cell r="Q644" t="str">
            <v>/27</v>
          </cell>
          <cell r="R644">
            <v>826</v>
          </cell>
        </row>
        <row r="645">
          <cell r="E645" t="str">
            <v>AC225</v>
          </cell>
          <cell r="F645" t="str">
            <v>IM255</v>
          </cell>
          <cell r="G645" t="str">
            <v>10.187.212.99</v>
          </cell>
          <cell r="H645" t="str">
            <v>10.187.212.97</v>
          </cell>
          <cell r="I645" t="str">
            <v>/27</v>
          </cell>
          <cell r="J645">
            <v>806</v>
          </cell>
          <cell r="K645" t="str">
            <v>10.187.213.99</v>
          </cell>
          <cell r="L645" t="str">
            <v>10.187.213.97</v>
          </cell>
          <cell r="M645" t="str">
            <v>/27</v>
          </cell>
          <cell r="N645">
            <v>816</v>
          </cell>
          <cell r="O645" t="str">
            <v>10.187.214.99</v>
          </cell>
          <cell r="P645" t="str">
            <v>10.187.214.97</v>
          </cell>
          <cell r="Q645" t="str">
            <v>/27</v>
          </cell>
          <cell r="R645">
            <v>826</v>
          </cell>
        </row>
        <row r="646">
          <cell r="E646" t="str">
            <v>AC225</v>
          </cell>
          <cell r="G646" t="str">
            <v>10.187.212.100</v>
          </cell>
          <cell r="H646" t="str">
            <v>10.187.212.97</v>
          </cell>
          <cell r="I646" t="str">
            <v>/27</v>
          </cell>
          <cell r="J646">
            <v>806</v>
          </cell>
          <cell r="K646" t="str">
            <v>10.187.213.100</v>
          </cell>
          <cell r="L646" t="str">
            <v>10.187.213.97</v>
          </cell>
          <cell r="M646" t="str">
            <v>/27</v>
          </cell>
          <cell r="N646">
            <v>816</v>
          </cell>
          <cell r="O646" t="str">
            <v>10.187.214.100</v>
          </cell>
          <cell r="P646" t="str">
            <v>10.187.214.97</v>
          </cell>
          <cell r="Q646" t="str">
            <v>/27</v>
          </cell>
          <cell r="R646">
            <v>826</v>
          </cell>
        </row>
        <row r="647">
          <cell r="E647" t="str">
            <v>AC225</v>
          </cell>
          <cell r="G647" t="str">
            <v>10.187.212.101</v>
          </cell>
          <cell r="H647" t="str">
            <v>10.187.212.97</v>
          </cell>
          <cell r="I647" t="str">
            <v>/27</v>
          </cell>
          <cell r="J647">
            <v>806</v>
          </cell>
          <cell r="K647" t="str">
            <v>10.187.213.101</v>
          </cell>
          <cell r="L647" t="str">
            <v>10.187.213.97</v>
          </cell>
          <cell r="M647" t="str">
            <v>/27</v>
          </cell>
          <cell r="N647">
            <v>816</v>
          </cell>
          <cell r="O647" t="str">
            <v>10.187.214.101</v>
          </cell>
          <cell r="P647" t="str">
            <v>10.187.214.97</v>
          </cell>
          <cell r="Q647" t="str">
            <v>/27</v>
          </cell>
          <cell r="R647">
            <v>826</v>
          </cell>
        </row>
        <row r="648">
          <cell r="E648" t="str">
            <v>AC225</v>
          </cell>
          <cell r="G648" t="str">
            <v>10.187.212.102</v>
          </cell>
          <cell r="H648" t="str">
            <v>10.187.212.97</v>
          </cell>
          <cell r="I648" t="str">
            <v>/27</v>
          </cell>
          <cell r="J648">
            <v>806</v>
          </cell>
          <cell r="K648" t="str">
            <v>10.187.213.102</v>
          </cell>
          <cell r="L648" t="str">
            <v>10.187.213.97</v>
          </cell>
          <cell r="M648" t="str">
            <v>/27</v>
          </cell>
          <cell r="N648">
            <v>816</v>
          </cell>
          <cell r="O648" t="str">
            <v>10.187.214.102</v>
          </cell>
          <cell r="P648" t="str">
            <v>10.187.214.97</v>
          </cell>
          <cell r="Q648" t="str">
            <v>/27</v>
          </cell>
          <cell r="R648">
            <v>826</v>
          </cell>
        </row>
        <row r="649">
          <cell r="E649" t="str">
            <v>AC225</v>
          </cell>
          <cell r="G649" t="str">
            <v>10.187.212.103</v>
          </cell>
          <cell r="H649" t="str">
            <v>10.187.212.97</v>
          </cell>
          <cell r="I649" t="str">
            <v>/27</v>
          </cell>
          <cell r="J649">
            <v>806</v>
          </cell>
          <cell r="K649" t="str">
            <v>10.187.213.103</v>
          </cell>
          <cell r="L649" t="str">
            <v>10.187.213.97</v>
          </cell>
          <cell r="M649" t="str">
            <v>/27</v>
          </cell>
          <cell r="N649">
            <v>816</v>
          </cell>
          <cell r="O649" t="str">
            <v>10.187.214.103</v>
          </cell>
          <cell r="P649" t="str">
            <v>10.187.214.97</v>
          </cell>
          <cell r="Q649" t="str">
            <v>/27</v>
          </cell>
          <cell r="R649">
            <v>826</v>
          </cell>
        </row>
        <row r="650">
          <cell r="E650" t="str">
            <v>AC225</v>
          </cell>
          <cell r="G650" t="str">
            <v>10.187.212.104</v>
          </cell>
          <cell r="H650" t="str">
            <v>10.187.212.97</v>
          </cell>
          <cell r="I650" t="str">
            <v>/27</v>
          </cell>
          <cell r="J650">
            <v>806</v>
          </cell>
          <cell r="K650" t="str">
            <v>10.187.213.104</v>
          </cell>
          <cell r="L650" t="str">
            <v>10.187.213.97</v>
          </cell>
          <cell r="M650" t="str">
            <v>/27</v>
          </cell>
          <cell r="N650">
            <v>816</v>
          </cell>
          <cell r="O650" t="str">
            <v>10.187.214.104</v>
          </cell>
          <cell r="P650" t="str">
            <v>10.187.214.97</v>
          </cell>
          <cell r="Q650" t="str">
            <v>/27</v>
          </cell>
          <cell r="R650">
            <v>826</v>
          </cell>
        </row>
        <row r="651">
          <cell r="E651" t="str">
            <v>AC225</v>
          </cell>
          <cell r="G651" t="str">
            <v>10.187.212.105</v>
          </cell>
          <cell r="H651" t="str">
            <v>10.187.212.97</v>
          </cell>
          <cell r="I651" t="str">
            <v>/27</v>
          </cell>
          <cell r="J651">
            <v>806</v>
          </cell>
          <cell r="K651" t="str">
            <v>10.187.213.105</v>
          </cell>
          <cell r="L651" t="str">
            <v>10.187.213.97</v>
          </cell>
          <cell r="M651" t="str">
            <v>/27</v>
          </cell>
          <cell r="N651">
            <v>816</v>
          </cell>
          <cell r="O651" t="str">
            <v>10.187.214.105</v>
          </cell>
          <cell r="P651" t="str">
            <v>10.187.214.97</v>
          </cell>
          <cell r="Q651" t="str">
            <v>/27</v>
          </cell>
          <cell r="R651">
            <v>826</v>
          </cell>
        </row>
        <row r="652">
          <cell r="E652" t="str">
            <v>AC225</v>
          </cell>
          <cell r="G652" t="str">
            <v>10.187.212.106</v>
          </cell>
          <cell r="H652" t="str">
            <v>10.187.212.97</v>
          </cell>
          <cell r="I652" t="str">
            <v>/27</v>
          </cell>
          <cell r="J652">
            <v>806</v>
          </cell>
          <cell r="K652" t="str">
            <v>10.187.213.106</v>
          </cell>
          <cell r="L652" t="str">
            <v>10.187.213.97</v>
          </cell>
          <cell r="M652" t="str">
            <v>/27</v>
          </cell>
          <cell r="N652">
            <v>816</v>
          </cell>
          <cell r="O652" t="str">
            <v>10.187.214.106</v>
          </cell>
          <cell r="P652" t="str">
            <v>10.187.214.97</v>
          </cell>
          <cell r="Q652" t="str">
            <v>/27</v>
          </cell>
          <cell r="R652">
            <v>826</v>
          </cell>
        </row>
        <row r="653">
          <cell r="E653" t="str">
            <v>AC225</v>
          </cell>
          <cell r="G653" t="str">
            <v>10.187.212.107</v>
          </cell>
          <cell r="H653" t="str">
            <v>10.187.212.97</v>
          </cell>
          <cell r="I653" t="str">
            <v>/27</v>
          </cell>
          <cell r="J653">
            <v>806</v>
          </cell>
          <cell r="K653" t="str">
            <v>10.187.213.107</v>
          </cell>
          <cell r="L653" t="str">
            <v>10.187.213.97</v>
          </cell>
          <cell r="M653" t="str">
            <v>/27</v>
          </cell>
          <cell r="N653">
            <v>816</v>
          </cell>
          <cell r="O653" t="str">
            <v>10.187.214.107</v>
          </cell>
          <cell r="P653" t="str">
            <v>10.187.214.97</v>
          </cell>
          <cell r="Q653" t="str">
            <v>/27</v>
          </cell>
          <cell r="R653">
            <v>826</v>
          </cell>
        </row>
        <row r="654">
          <cell r="E654" t="str">
            <v>AC225</v>
          </cell>
          <cell r="G654" t="str">
            <v>10.187.212.108</v>
          </cell>
          <cell r="H654" t="str">
            <v>10.187.212.97</v>
          </cell>
          <cell r="I654" t="str">
            <v>/27</v>
          </cell>
          <cell r="J654">
            <v>806</v>
          </cell>
          <cell r="K654" t="str">
            <v>10.187.213.108</v>
          </cell>
          <cell r="L654" t="str">
            <v>10.187.213.97</v>
          </cell>
          <cell r="M654" t="str">
            <v>/27</v>
          </cell>
          <cell r="N654">
            <v>816</v>
          </cell>
          <cell r="O654" t="str">
            <v>10.187.214.108</v>
          </cell>
          <cell r="P654" t="str">
            <v>10.187.214.97</v>
          </cell>
          <cell r="Q654" t="str">
            <v>/27</v>
          </cell>
          <cell r="R654">
            <v>826</v>
          </cell>
        </row>
        <row r="655">
          <cell r="E655" t="str">
            <v>AC225</v>
          </cell>
          <cell r="G655" t="str">
            <v>10.187.212.109</v>
          </cell>
          <cell r="H655" t="str">
            <v>10.187.212.97</v>
          </cell>
          <cell r="I655" t="str">
            <v>/27</v>
          </cell>
          <cell r="J655">
            <v>806</v>
          </cell>
          <cell r="K655" t="str">
            <v>10.187.213.109</v>
          </cell>
          <cell r="L655" t="str">
            <v>10.187.213.97</v>
          </cell>
          <cell r="M655" t="str">
            <v>/27</v>
          </cell>
          <cell r="N655">
            <v>816</v>
          </cell>
          <cell r="O655" t="str">
            <v>10.187.214.109</v>
          </cell>
          <cell r="P655" t="str">
            <v>10.187.214.97</v>
          </cell>
          <cell r="Q655" t="str">
            <v>/27</v>
          </cell>
          <cell r="R655">
            <v>826</v>
          </cell>
        </row>
        <row r="656">
          <cell r="E656" t="str">
            <v>AC225</v>
          </cell>
          <cell r="G656" t="str">
            <v>10.187.212.110</v>
          </cell>
          <cell r="H656" t="str">
            <v>10.187.212.97</v>
          </cell>
          <cell r="I656" t="str">
            <v>/27</v>
          </cell>
          <cell r="J656">
            <v>806</v>
          </cell>
          <cell r="K656" t="str">
            <v>10.187.213.110</v>
          </cell>
          <cell r="L656" t="str">
            <v>10.187.213.97</v>
          </cell>
          <cell r="M656" t="str">
            <v>/27</v>
          </cell>
          <cell r="N656">
            <v>816</v>
          </cell>
          <cell r="O656" t="str">
            <v>10.187.214.110</v>
          </cell>
          <cell r="P656" t="str">
            <v>10.187.214.97</v>
          </cell>
          <cell r="Q656" t="str">
            <v>/27</v>
          </cell>
          <cell r="R656">
            <v>826</v>
          </cell>
        </row>
        <row r="657">
          <cell r="E657" t="str">
            <v>AC225</v>
          </cell>
          <cell r="G657" t="str">
            <v>10.187.212.111</v>
          </cell>
          <cell r="H657" t="str">
            <v>10.187.212.97</v>
          </cell>
          <cell r="I657" t="str">
            <v>/27</v>
          </cell>
          <cell r="J657">
            <v>806</v>
          </cell>
          <cell r="K657" t="str">
            <v>10.187.213.111</v>
          </cell>
          <cell r="L657" t="str">
            <v>10.187.213.97</v>
          </cell>
          <cell r="M657" t="str">
            <v>/27</v>
          </cell>
          <cell r="N657">
            <v>816</v>
          </cell>
          <cell r="O657" t="str">
            <v>10.187.214.111</v>
          </cell>
          <cell r="P657" t="str">
            <v>10.187.214.97</v>
          </cell>
          <cell r="Q657" t="str">
            <v>/27</v>
          </cell>
          <cell r="R657">
            <v>826</v>
          </cell>
        </row>
        <row r="658">
          <cell r="E658" t="str">
            <v>AC225</v>
          </cell>
          <cell r="G658" t="str">
            <v>10.187.212.112</v>
          </cell>
          <cell r="H658" t="str">
            <v>10.187.212.97</v>
          </cell>
          <cell r="I658" t="str">
            <v>/27</v>
          </cell>
          <cell r="J658">
            <v>806</v>
          </cell>
          <cell r="K658" t="str">
            <v>10.187.213.112</v>
          </cell>
          <cell r="L658" t="str">
            <v>10.187.213.97</v>
          </cell>
          <cell r="M658" t="str">
            <v>/27</v>
          </cell>
          <cell r="N658">
            <v>816</v>
          </cell>
          <cell r="O658" t="str">
            <v>10.187.214.112</v>
          </cell>
          <cell r="P658" t="str">
            <v>10.187.214.97</v>
          </cell>
          <cell r="Q658" t="str">
            <v>/27</v>
          </cell>
          <cell r="R658">
            <v>826</v>
          </cell>
        </row>
        <row r="659">
          <cell r="E659" t="str">
            <v>AC225</v>
          </cell>
          <cell r="G659" t="str">
            <v>10.187.212.113</v>
          </cell>
          <cell r="H659" t="str">
            <v>10.187.212.97</v>
          </cell>
          <cell r="I659" t="str">
            <v>/27</v>
          </cell>
          <cell r="J659">
            <v>806</v>
          </cell>
          <cell r="K659" t="str">
            <v>10.187.213.113</v>
          </cell>
          <cell r="L659" t="str">
            <v>10.187.213.97</v>
          </cell>
          <cell r="M659" t="str">
            <v>/27</v>
          </cell>
          <cell r="N659">
            <v>816</v>
          </cell>
          <cell r="O659" t="str">
            <v>10.187.214.113</v>
          </cell>
          <cell r="P659" t="str">
            <v>10.187.214.97</v>
          </cell>
          <cell r="Q659" t="str">
            <v>/27</v>
          </cell>
          <cell r="R659">
            <v>826</v>
          </cell>
        </row>
        <row r="660">
          <cell r="E660" t="str">
            <v>AC225</v>
          </cell>
          <cell r="G660" t="str">
            <v>10.187.212.114</v>
          </cell>
          <cell r="H660" t="str">
            <v>10.187.212.97</v>
          </cell>
          <cell r="I660" t="str">
            <v>/27</v>
          </cell>
          <cell r="J660">
            <v>806</v>
          </cell>
          <cell r="K660" t="str">
            <v>10.187.213.114</v>
          </cell>
          <cell r="L660" t="str">
            <v>10.187.213.97</v>
          </cell>
          <cell r="M660" t="str">
            <v>/27</v>
          </cell>
          <cell r="N660">
            <v>816</v>
          </cell>
          <cell r="O660" t="str">
            <v>10.187.214.114</v>
          </cell>
          <cell r="P660" t="str">
            <v>10.187.214.97</v>
          </cell>
          <cell r="Q660" t="str">
            <v>/27</v>
          </cell>
          <cell r="R660">
            <v>826</v>
          </cell>
        </row>
        <row r="661">
          <cell r="E661" t="str">
            <v>AC225</v>
          </cell>
          <cell r="G661" t="str">
            <v>10.187.212.115</v>
          </cell>
          <cell r="H661" t="str">
            <v>10.187.212.97</v>
          </cell>
          <cell r="I661" t="str">
            <v>/27</v>
          </cell>
          <cell r="J661">
            <v>806</v>
          </cell>
          <cell r="K661" t="str">
            <v>10.187.213.115</v>
          </cell>
          <cell r="L661" t="str">
            <v>10.187.213.97</v>
          </cell>
          <cell r="M661" t="str">
            <v>/27</v>
          </cell>
          <cell r="N661">
            <v>816</v>
          </cell>
          <cell r="O661" t="str">
            <v>10.187.214.115</v>
          </cell>
          <cell r="P661" t="str">
            <v>10.187.214.97</v>
          </cell>
          <cell r="Q661" t="str">
            <v>/27</v>
          </cell>
          <cell r="R661">
            <v>826</v>
          </cell>
        </row>
        <row r="662">
          <cell r="E662" t="str">
            <v>AC225</v>
          </cell>
          <cell r="G662" t="str">
            <v>10.187.212.116</v>
          </cell>
          <cell r="H662" t="str">
            <v>10.187.212.97</v>
          </cell>
          <cell r="I662" t="str">
            <v>/27</v>
          </cell>
          <cell r="J662">
            <v>806</v>
          </cell>
          <cell r="K662" t="str">
            <v>10.187.213.116</v>
          </cell>
          <cell r="L662" t="str">
            <v>10.187.213.97</v>
          </cell>
          <cell r="M662" t="str">
            <v>/27</v>
          </cell>
          <cell r="N662">
            <v>816</v>
          </cell>
          <cell r="O662" t="str">
            <v>10.187.214.116</v>
          </cell>
          <cell r="P662" t="str">
            <v>10.187.214.97</v>
          </cell>
          <cell r="Q662" t="str">
            <v>/27</v>
          </cell>
          <cell r="R662">
            <v>826</v>
          </cell>
        </row>
        <row r="663">
          <cell r="E663" t="str">
            <v>AC225</v>
          </cell>
          <cell r="G663" t="str">
            <v>10.187.212.117</v>
          </cell>
          <cell r="H663" t="str">
            <v>10.187.212.97</v>
          </cell>
          <cell r="I663" t="str">
            <v>/27</v>
          </cell>
          <cell r="J663">
            <v>806</v>
          </cell>
          <cell r="K663" t="str">
            <v>10.187.213.117</v>
          </cell>
          <cell r="L663" t="str">
            <v>10.187.213.97</v>
          </cell>
          <cell r="M663" t="str">
            <v>/27</v>
          </cell>
          <cell r="N663">
            <v>816</v>
          </cell>
          <cell r="O663" t="str">
            <v>10.187.214.117</v>
          </cell>
          <cell r="P663" t="str">
            <v>10.187.214.97</v>
          </cell>
          <cell r="Q663" t="str">
            <v>/27</v>
          </cell>
          <cell r="R663">
            <v>826</v>
          </cell>
        </row>
        <row r="664">
          <cell r="E664" t="str">
            <v>AC225</v>
          </cell>
          <cell r="G664" t="str">
            <v>10.187.212.118</v>
          </cell>
          <cell r="H664" t="str">
            <v>10.187.212.97</v>
          </cell>
          <cell r="I664" t="str">
            <v>/27</v>
          </cell>
          <cell r="J664">
            <v>806</v>
          </cell>
          <cell r="K664" t="str">
            <v>10.187.213.118</v>
          </cell>
          <cell r="L664" t="str">
            <v>10.187.213.97</v>
          </cell>
          <cell r="M664" t="str">
            <v>/27</v>
          </cell>
          <cell r="N664">
            <v>816</v>
          </cell>
          <cell r="O664" t="str">
            <v>10.187.214.118</v>
          </cell>
          <cell r="P664" t="str">
            <v>10.187.214.97</v>
          </cell>
          <cell r="Q664" t="str">
            <v>/27</v>
          </cell>
          <cell r="R664">
            <v>826</v>
          </cell>
        </row>
        <row r="665">
          <cell r="E665" t="str">
            <v>AC225</v>
          </cell>
          <cell r="G665" t="str">
            <v>10.187.212.119</v>
          </cell>
          <cell r="H665" t="str">
            <v>10.187.212.97</v>
          </cell>
          <cell r="I665" t="str">
            <v>/27</v>
          </cell>
          <cell r="J665">
            <v>806</v>
          </cell>
          <cell r="K665" t="str">
            <v>10.187.213.119</v>
          </cell>
          <cell r="L665" t="str">
            <v>10.187.213.97</v>
          </cell>
          <cell r="M665" t="str">
            <v>/27</v>
          </cell>
          <cell r="N665">
            <v>816</v>
          </cell>
          <cell r="O665" t="str">
            <v>10.187.214.119</v>
          </cell>
          <cell r="P665" t="str">
            <v>10.187.214.97</v>
          </cell>
          <cell r="Q665" t="str">
            <v>/27</v>
          </cell>
          <cell r="R665">
            <v>826</v>
          </cell>
        </row>
        <row r="666">
          <cell r="E666" t="str">
            <v>AC225</v>
          </cell>
          <cell r="G666" t="str">
            <v>10.187.212.120</v>
          </cell>
          <cell r="H666" t="str">
            <v>10.187.212.97</v>
          </cell>
          <cell r="I666" t="str">
            <v>/27</v>
          </cell>
          <cell r="J666">
            <v>806</v>
          </cell>
          <cell r="K666" t="str">
            <v>10.187.213.120</v>
          </cell>
          <cell r="L666" t="str">
            <v>10.187.213.97</v>
          </cell>
          <cell r="M666" t="str">
            <v>/27</v>
          </cell>
          <cell r="N666">
            <v>816</v>
          </cell>
          <cell r="O666" t="str">
            <v>10.187.214.120</v>
          </cell>
          <cell r="P666" t="str">
            <v>10.187.214.97</v>
          </cell>
          <cell r="Q666" t="str">
            <v>/27</v>
          </cell>
          <cell r="R666">
            <v>826</v>
          </cell>
        </row>
        <row r="667">
          <cell r="E667" t="str">
            <v>AC225</v>
          </cell>
          <cell r="G667" t="str">
            <v>10.187.212.121</v>
          </cell>
          <cell r="H667" t="str">
            <v>10.187.212.97</v>
          </cell>
          <cell r="I667" t="str">
            <v>/27</v>
          </cell>
          <cell r="J667">
            <v>806</v>
          </cell>
          <cell r="K667" t="str">
            <v>10.187.213.121</v>
          </cell>
          <cell r="L667" t="str">
            <v>10.187.213.97</v>
          </cell>
          <cell r="M667" t="str">
            <v>/27</v>
          </cell>
          <cell r="N667">
            <v>816</v>
          </cell>
          <cell r="O667" t="str">
            <v>10.187.214.121</v>
          </cell>
          <cell r="P667" t="str">
            <v>10.187.214.97</v>
          </cell>
          <cell r="Q667" t="str">
            <v>/27</v>
          </cell>
          <cell r="R667">
            <v>826</v>
          </cell>
        </row>
        <row r="668">
          <cell r="E668" t="str">
            <v>AC225</v>
          </cell>
          <cell r="G668" t="str">
            <v>10.187.212.122</v>
          </cell>
          <cell r="H668" t="str">
            <v>10.187.212.97</v>
          </cell>
          <cell r="I668" t="str">
            <v>/27</v>
          </cell>
          <cell r="J668">
            <v>806</v>
          </cell>
          <cell r="K668" t="str">
            <v>10.187.213.122</v>
          </cell>
          <cell r="L668" t="str">
            <v>10.187.213.97</v>
          </cell>
          <cell r="M668" t="str">
            <v>/27</v>
          </cell>
          <cell r="N668">
            <v>816</v>
          </cell>
          <cell r="O668" t="str">
            <v>10.187.214.122</v>
          </cell>
          <cell r="P668" t="str">
            <v>10.187.214.97</v>
          </cell>
          <cell r="Q668" t="str">
            <v>/27</v>
          </cell>
          <cell r="R668">
            <v>826</v>
          </cell>
        </row>
        <row r="669">
          <cell r="E669" t="str">
            <v>AC225</v>
          </cell>
          <cell r="G669" t="str">
            <v>10.187.212.123</v>
          </cell>
          <cell r="H669" t="str">
            <v>10.187.212.97</v>
          </cell>
          <cell r="I669" t="str">
            <v>/27</v>
          </cell>
          <cell r="J669">
            <v>806</v>
          </cell>
          <cell r="K669" t="str">
            <v>10.187.213.123</v>
          </cell>
          <cell r="L669" t="str">
            <v>10.187.213.97</v>
          </cell>
          <cell r="M669" t="str">
            <v>/27</v>
          </cell>
          <cell r="N669">
            <v>816</v>
          </cell>
          <cell r="O669" t="str">
            <v>10.187.214.123</v>
          </cell>
          <cell r="P669" t="str">
            <v>10.187.214.97</v>
          </cell>
          <cell r="Q669" t="str">
            <v>/27</v>
          </cell>
          <cell r="R669">
            <v>826</v>
          </cell>
        </row>
        <row r="670">
          <cell r="E670" t="str">
            <v>AC225</v>
          </cell>
          <cell r="G670" t="str">
            <v>10.187.212.124</v>
          </cell>
          <cell r="H670" t="str">
            <v>10.187.212.97</v>
          </cell>
          <cell r="I670" t="str">
            <v>/27</v>
          </cell>
          <cell r="J670">
            <v>806</v>
          </cell>
          <cell r="K670" t="str">
            <v>10.187.213.124</v>
          </cell>
          <cell r="L670" t="str">
            <v>10.187.213.97</v>
          </cell>
          <cell r="M670" t="str">
            <v>/27</v>
          </cell>
          <cell r="N670">
            <v>816</v>
          </cell>
          <cell r="O670" t="str">
            <v>10.187.214.124</v>
          </cell>
          <cell r="P670" t="str">
            <v>10.187.214.97</v>
          </cell>
          <cell r="Q670" t="str">
            <v>/27</v>
          </cell>
          <cell r="R670">
            <v>826</v>
          </cell>
        </row>
        <row r="671">
          <cell r="E671" t="str">
            <v>AC225</v>
          </cell>
          <cell r="G671" t="str">
            <v>10.187.212.125</v>
          </cell>
          <cell r="H671" t="str">
            <v>10.187.212.97</v>
          </cell>
          <cell r="I671" t="str">
            <v>/27</v>
          </cell>
          <cell r="J671">
            <v>806</v>
          </cell>
          <cell r="K671" t="str">
            <v>10.187.213.125</v>
          </cell>
          <cell r="L671" t="str">
            <v>10.187.213.97</v>
          </cell>
          <cell r="M671" t="str">
            <v>/27</v>
          </cell>
          <cell r="N671">
            <v>816</v>
          </cell>
          <cell r="O671" t="str">
            <v>10.187.214.125</v>
          </cell>
          <cell r="P671" t="str">
            <v>10.187.214.97</v>
          </cell>
          <cell r="Q671" t="str">
            <v>/27</v>
          </cell>
          <cell r="R671">
            <v>826</v>
          </cell>
        </row>
        <row r="672">
          <cell r="E672" t="str">
            <v>AC225</v>
          </cell>
          <cell r="G672" t="str">
            <v>10.187.212.126</v>
          </cell>
          <cell r="H672" t="str">
            <v>10.187.212.97</v>
          </cell>
          <cell r="I672" t="str">
            <v>/27</v>
          </cell>
          <cell r="J672">
            <v>806</v>
          </cell>
          <cell r="K672" t="str">
            <v>10.187.213.126</v>
          </cell>
          <cell r="L672" t="str">
            <v>10.187.213.97</v>
          </cell>
          <cell r="M672" t="str">
            <v>/27</v>
          </cell>
          <cell r="N672">
            <v>816</v>
          </cell>
          <cell r="O672" t="str">
            <v>10.187.214.126</v>
          </cell>
          <cell r="P672" t="str">
            <v>10.187.214.97</v>
          </cell>
          <cell r="Q672" t="str">
            <v>/27</v>
          </cell>
          <cell r="R672">
            <v>826</v>
          </cell>
        </row>
        <row r="673">
          <cell r="E673" t="str">
            <v>AC225</v>
          </cell>
          <cell r="G673" t="str">
            <v>10.187.212.127</v>
          </cell>
          <cell r="H673" t="str">
            <v>10.187.212.97</v>
          </cell>
          <cell r="I673" t="str">
            <v>/27</v>
          </cell>
          <cell r="J673">
            <v>806</v>
          </cell>
          <cell r="K673" t="str">
            <v>10.187.213.127</v>
          </cell>
          <cell r="L673" t="str">
            <v>10.187.213.97</v>
          </cell>
          <cell r="M673" t="str">
            <v>/27</v>
          </cell>
          <cell r="N673">
            <v>816</v>
          </cell>
          <cell r="O673" t="str">
            <v>10.187.214.127</v>
          </cell>
          <cell r="P673" t="str">
            <v>10.187.214.97</v>
          </cell>
          <cell r="Q673" t="str">
            <v>/27</v>
          </cell>
          <cell r="R673">
            <v>826</v>
          </cell>
        </row>
        <row r="674">
          <cell r="E674" t="str">
            <v>AC225</v>
          </cell>
          <cell r="G674" t="str">
            <v>10.187.207.16</v>
          </cell>
          <cell r="H674" t="str">
            <v>10.187.207.17</v>
          </cell>
          <cell r="I674" t="str">
            <v>/28</v>
          </cell>
          <cell r="J674">
            <v>802</v>
          </cell>
          <cell r="K674" t="str">
            <v>10.187.207.80</v>
          </cell>
          <cell r="L674" t="str">
            <v>10.187.207.81</v>
          </cell>
          <cell r="M674" t="str">
            <v>/28</v>
          </cell>
          <cell r="N674">
            <v>812</v>
          </cell>
          <cell r="O674" t="str">
            <v>10.187.207.144</v>
          </cell>
          <cell r="P674" t="str">
            <v>10.187.207.145</v>
          </cell>
          <cell r="Q674" t="str">
            <v>/28</v>
          </cell>
          <cell r="R674">
            <v>822</v>
          </cell>
        </row>
        <row r="675">
          <cell r="E675" t="str">
            <v>AC225</v>
          </cell>
          <cell r="G675" t="str">
            <v>10.187.207.17</v>
          </cell>
          <cell r="H675" t="str">
            <v>10.187.207.17</v>
          </cell>
          <cell r="I675" t="str">
            <v>/28</v>
          </cell>
          <cell r="J675">
            <v>802</v>
          </cell>
          <cell r="K675" t="str">
            <v>10.187.207.81</v>
          </cell>
          <cell r="L675" t="str">
            <v>10.187.207.81</v>
          </cell>
          <cell r="M675" t="str">
            <v>/28</v>
          </cell>
          <cell r="N675">
            <v>812</v>
          </cell>
          <cell r="O675" t="str">
            <v>10.187.207.145</v>
          </cell>
          <cell r="P675" t="str">
            <v>10.187.207.145</v>
          </cell>
          <cell r="Q675" t="str">
            <v>/28</v>
          </cell>
          <cell r="R675">
            <v>822</v>
          </cell>
        </row>
        <row r="676">
          <cell r="E676" t="str">
            <v>AC225</v>
          </cell>
          <cell r="F676" t="str">
            <v>ET632</v>
          </cell>
          <cell r="G676" t="str">
            <v>10.187.207.18</v>
          </cell>
          <cell r="H676" t="str">
            <v>10.187.207.17</v>
          </cell>
          <cell r="I676" t="str">
            <v>/28</v>
          </cell>
          <cell r="J676">
            <v>802</v>
          </cell>
          <cell r="K676" t="str">
            <v>10.187.207.82</v>
          </cell>
          <cell r="L676" t="str">
            <v>10.187.207.81</v>
          </cell>
          <cell r="M676" t="str">
            <v>/28</v>
          </cell>
          <cell r="N676">
            <v>812</v>
          </cell>
          <cell r="O676" t="str">
            <v>10.187.207.146</v>
          </cell>
          <cell r="P676" t="str">
            <v>10.187.207.145</v>
          </cell>
          <cell r="Q676" t="str">
            <v>/28</v>
          </cell>
          <cell r="R676">
            <v>822</v>
          </cell>
        </row>
        <row r="677">
          <cell r="E677" t="str">
            <v>AC225</v>
          </cell>
          <cell r="F677" t="str">
            <v>AC225</v>
          </cell>
          <cell r="G677" t="str">
            <v>10.187.207.19</v>
          </cell>
          <cell r="H677" t="str">
            <v>10.187.207.17</v>
          </cell>
          <cell r="I677" t="str">
            <v>/28</v>
          </cell>
          <cell r="J677">
            <v>802</v>
          </cell>
          <cell r="K677" t="str">
            <v>10.187.207.83</v>
          </cell>
          <cell r="L677" t="str">
            <v>10.187.207.81</v>
          </cell>
          <cell r="M677" t="str">
            <v>/28</v>
          </cell>
          <cell r="N677">
            <v>812</v>
          </cell>
          <cell r="O677" t="str">
            <v>10.187.207.147</v>
          </cell>
          <cell r="P677" t="str">
            <v>10.187.207.145</v>
          </cell>
          <cell r="Q677" t="str">
            <v>/28</v>
          </cell>
          <cell r="R677">
            <v>822</v>
          </cell>
        </row>
        <row r="678">
          <cell r="E678" t="str">
            <v>AC225</v>
          </cell>
          <cell r="F678" t="str">
            <v>ET466</v>
          </cell>
          <cell r="G678" t="str">
            <v>10.187.207.20</v>
          </cell>
          <cell r="H678" t="str">
            <v>10.187.207.17</v>
          </cell>
          <cell r="I678" t="str">
            <v>/28</v>
          </cell>
          <cell r="J678">
            <v>802</v>
          </cell>
          <cell r="K678" t="str">
            <v>10.187.207.84</v>
          </cell>
          <cell r="L678" t="str">
            <v>10.187.207.81</v>
          </cell>
          <cell r="M678" t="str">
            <v>/28</v>
          </cell>
          <cell r="N678">
            <v>812</v>
          </cell>
          <cell r="O678" t="str">
            <v>10.187.207.148</v>
          </cell>
          <cell r="P678" t="str">
            <v>10.187.207.145</v>
          </cell>
          <cell r="Q678" t="str">
            <v>/28</v>
          </cell>
          <cell r="R678">
            <v>822</v>
          </cell>
        </row>
        <row r="679">
          <cell r="E679" t="str">
            <v>AC225</v>
          </cell>
          <cell r="F679" t="str">
            <v>ET392</v>
          </cell>
          <cell r="G679" t="str">
            <v>10.187.207.21</v>
          </cell>
          <cell r="H679" t="str">
            <v>10.187.207.17</v>
          </cell>
          <cell r="I679" t="str">
            <v>/28</v>
          </cell>
          <cell r="J679">
            <v>802</v>
          </cell>
          <cell r="K679" t="str">
            <v>10.187.207.85</v>
          </cell>
          <cell r="L679" t="str">
            <v>10.187.207.81</v>
          </cell>
          <cell r="M679" t="str">
            <v>/28</v>
          </cell>
          <cell r="N679">
            <v>812</v>
          </cell>
          <cell r="O679" t="str">
            <v>10.187.207.149</v>
          </cell>
          <cell r="P679" t="str">
            <v>10.187.207.145</v>
          </cell>
          <cell r="Q679" t="str">
            <v>/28</v>
          </cell>
          <cell r="R679">
            <v>822</v>
          </cell>
        </row>
        <row r="680">
          <cell r="E680" t="str">
            <v>AC225</v>
          </cell>
          <cell r="F680" t="str">
            <v>ET392</v>
          </cell>
          <cell r="G680" t="str">
            <v>10.187.207.22</v>
          </cell>
          <cell r="H680" t="str">
            <v>10.187.207.17</v>
          </cell>
          <cell r="I680" t="str">
            <v>/28</v>
          </cell>
          <cell r="J680">
            <v>802</v>
          </cell>
          <cell r="K680" t="str">
            <v>10.187.207.86</v>
          </cell>
          <cell r="L680" t="str">
            <v>10.187.207.81</v>
          </cell>
          <cell r="M680" t="str">
            <v>/28</v>
          </cell>
          <cell r="N680">
            <v>812</v>
          </cell>
          <cell r="O680" t="str">
            <v>10.187.207.150</v>
          </cell>
          <cell r="P680" t="str">
            <v>10.187.207.145</v>
          </cell>
          <cell r="Q680" t="str">
            <v>/28</v>
          </cell>
          <cell r="R680">
            <v>822</v>
          </cell>
        </row>
        <row r="681">
          <cell r="E681" t="str">
            <v>AC225</v>
          </cell>
          <cell r="F681" t="str">
            <v>AC799</v>
          </cell>
          <cell r="G681" t="str">
            <v>10.187.207.23</v>
          </cell>
          <cell r="H681" t="str">
            <v>10.187.207.17</v>
          </cell>
          <cell r="I681" t="str">
            <v>/28</v>
          </cell>
          <cell r="J681">
            <v>802</v>
          </cell>
          <cell r="K681" t="str">
            <v>10.187.207.87</v>
          </cell>
          <cell r="L681" t="str">
            <v>10.187.207.81</v>
          </cell>
          <cell r="M681" t="str">
            <v>/28</v>
          </cell>
          <cell r="N681">
            <v>812</v>
          </cell>
          <cell r="O681" t="str">
            <v>10.187.207.151</v>
          </cell>
          <cell r="P681" t="str">
            <v>10.187.207.145</v>
          </cell>
          <cell r="Q681" t="str">
            <v>/28</v>
          </cell>
          <cell r="R681">
            <v>822</v>
          </cell>
        </row>
        <row r="682">
          <cell r="E682" t="str">
            <v>AC225</v>
          </cell>
          <cell r="F682" t="str">
            <v>AC799</v>
          </cell>
          <cell r="G682" t="str">
            <v>10.187.207.24</v>
          </cell>
          <cell r="H682" t="str">
            <v>10.187.207.17</v>
          </cell>
          <cell r="I682" t="str">
            <v>/28</v>
          </cell>
          <cell r="J682">
            <v>802</v>
          </cell>
          <cell r="K682" t="str">
            <v>10.187.207.88</v>
          </cell>
          <cell r="L682" t="str">
            <v>10.187.207.81</v>
          </cell>
          <cell r="M682" t="str">
            <v>/28</v>
          </cell>
          <cell r="N682">
            <v>812</v>
          </cell>
          <cell r="O682" t="str">
            <v>10.187.207.152</v>
          </cell>
          <cell r="P682" t="str">
            <v>10.187.207.145</v>
          </cell>
          <cell r="Q682" t="str">
            <v>/28</v>
          </cell>
          <cell r="R682">
            <v>822</v>
          </cell>
        </row>
        <row r="683">
          <cell r="E683" t="str">
            <v>AC225</v>
          </cell>
          <cell r="F683" t="str">
            <v>ET470</v>
          </cell>
          <cell r="G683" t="str">
            <v>10.187.207.25</v>
          </cell>
          <cell r="H683" t="str">
            <v>10.187.207.17</v>
          </cell>
          <cell r="I683" t="str">
            <v>/28</v>
          </cell>
          <cell r="J683">
            <v>802</v>
          </cell>
          <cell r="K683" t="str">
            <v>10.187.207.89</v>
          </cell>
          <cell r="L683" t="str">
            <v>10.187.207.81</v>
          </cell>
          <cell r="M683" t="str">
            <v>/28</v>
          </cell>
          <cell r="N683">
            <v>812</v>
          </cell>
          <cell r="O683" t="str">
            <v>10.187.207.153</v>
          </cell>
          <cell r="P683" t="str">
            <v>10.187.207.145</v>
          </cell>
          <cell r="Q683" t="str">
            <v>/28</v>
          </cell>
          <cell r="R683">
            <v>822</v>
          </cell>
        </row>
        <row r="684">
          <cell r="E684" t="str">
            <v>AC225</v>
          </cell>
          <cell r="F684" t="str">
            <v>ET470</v>
          </cell>
          <cell r="G684" t="str">
            <v>10.187.207.26</v>
          </cell>
          <cell r="H684" t="str">
            <v>10.187.207.17</v>
          </cell>
          <cell r="I684" t="str">
            <v>/28</v>
          </cell>
          <cell r="J684">
            <v>802</v>
          </cell>
          <cell r="K684" t="str">
            <v>10.187.207.90</v>
          </cell>
          <cell r="L684" t="str">
            <v>10.187.207.81</v>
          </cell>
          <cell r="M684" t="str">
            <v>/28</v>
          </cell>
          <cell r="N684">
            <v>812</v>
          </cell>
          <cell r="O684" t="str">
            <v>10.187.207.154</v>
          </cell>
          <cell r="P684" t="str">
            <v>10.187.207.145</v>
          </cell>
          <cell r="Q684" t="str">
            <v>/28</v>
          </cell>
          <cell r="R684">
            <v>822</v>
          </cell>
        </row>
        <row r="685">
          <cell r="E685" t="str">
            <v>AC225</v>
          </cell>
          <cell r="F685" t="str">
            <v>ET224</v>
          </cell>
          <cell r="G685" t="str">
            <v>10.187.207.27</v>
          </cell>
          <cell r="H685" t="str">
            <v>10.187.207.17</v>
          </cell>
          <cell r="I685" t="str">
            <v>/28</v>
          </cell>
          <cell r="J685">
            <v>802</v>
          </cell>
          <cell r="K685" t="str">
            <v>10.187.207.91</v>
          </cell>
          <cell r="L685" t="str">
            <v>10.187.207.81</v>
          </cell>
          <cell r="M685" t="str">
            <v>/28</v>
          </cell>
          <cell r="N685">
            <v>812</v>
          </cell>
          <cell r="O685" t="str">
            <v>10.187.207.155</v>
          </cell>
          <cell r="P685" t="str">
            <v>10.187.207.145</v>
          </cell>
          <cell r="Q685" t="str">
            <v>/28</v>
          </cell>
          <cell r="R685">
            <v>822</v>
          </cell>
        </row>
        <row r="686">
          <cell r="E686" t="str">
            <v>AC225</v>
          </cell>
          <cell r="F686" t="str">
            <v>ET627</v>
          </cell>
          <cell r="G686" t="str">
            <v>10.187.207.28</v>
          </cell>
          <cell r="H686" t="str">
            <v>10.187.207.17</v>
          </cell>
          <cell r="I686" t="str">
            <v>/28</v>
          </cell>
          <cell r="J686">
            <v>802</v>
          </cell>
          <cell r="K686" t="str">
            <v>10.187.207.92</v>
          </cell>
          <cell r="L686" t="str">
            <v>10.187.207.81</v>
          </cell>
          <cell r="M686" t="str">
            <v>/28</v>
          </cell>
          <cell r="N686">
            <v>812</v>
          </cell>
          <cell r="O686" t="str">
            <v>10.187.207.156</v>
          </cell>
          <cell r="P686" t="str">
            <v>10.187.207.145</v>
          </cell>
          <cell r="Q686" t="str">
            <v>/28</v>
          </cell>
          <cell r="R686">
            <v>822</v>
          </cell>
        </row>
        <row r="687">
          <cell r="E687" t="str">
            <v>AC225</v>
          </cell>
          <cell r="F687" t="str">
            <v>ET627</v>
          </cell>
          <cell r="G687" t="str">
            <v>10.187.207.29</v>
          </cell>
          <cell r="H687" t="str">
            <v>10.187.207.17</v>
          </cell>
          <cell r="I687" t="str">
            <v>/28</v>
          </cell>
          <cell r="J687">
            <v>802</v>
          </cell>
          <cell r="K687" t="str">
            <v>10.187.207.93</v>
          </cell>
          <cell r="L687" t="str">
            <v>10.187.207.81</v>
          </cell>
          <cell r="M687" t="str">
            <v>/28</v>
          </cell>
          <cell r="N687">
            <v>812</v>
          </cell>
          <cell r="O687" t="str">
            <v>10.187.207.157</v>
          </cell>
          <cell r="P687" t="str">
            <v>10.187.207.145</v>
          </cell>
          <cell r="Q687" t="str">
            <v>/28</v>
          </cell>
          <cell r="R687">
            <v>822</v>
          </cell>
        </row>
        <row r="688">
          <cell r="E688" t="str">
            <v>AC225</v>
          </cell>
          <cell r="F688" t="str">
            <v>ET466</v>
          </cell>
          <cell r="G688" t="str">
            <v>10.187.207.30</v>
          </cell>
          <cell r="H688" t="str">
            <v>10.187.207.17</v>
          </cell>
          <cell r="I688" t="str">
            <v>/28</v>
          </cell>
          <cell r="J688">
            <v>802</v>
          </cell>
          <cell r="K688" t="str">
            <v>10.187.207.94</v>
          </cell>
          <cell r="L688" t="str">
            <v>10.187.207.81</v>
          </cell>
          <cell r="M688" t="str">
            <v>/28</v>
          </cell>
          <cell r="N688">
            <v>812</v>
          </cell>
          <cell r="O688" t="str">
            <v>10.187.207.158</v>
          </cell>
          <cell r="P688" t="str">
            <v>10.187.207.145</v>
          </cell>
          <cell r="Q688" t="str">
            <v>/28</v>
          </cell>
          <cell r="R688">
            <v>822</v>
          </cell>
        </row>
        <row r="689">
          <cell r="E689" t="str">
            <v>AC225</v>
          </cell>
          <cell r="G689" t="str">
            <v>10.187.207.31</v>
          </cell>
          <cell r="H689" t="str">
            <v>10.187.207.17</v>
          </cell>
          <cell r="I689" t="str">
            <v>/28</v>
          </cell>
          <cell r="J689">
            <v>802</v>
          </cell>
          <cell r="K689" t="str">
            <v>10.187.207.95</v>
          </cell>
          <cell r="L689" t="str">
            <v>10.187.207.81</v>
          </cell>
          <cell r="M689" t="str">
            <v>/28</v>
          </cell>
          <cell r="N689">
            <v>812</v>
          </cell>
          <cell r="O689" t="str">
            <v>10.187.207.159</v>
          </cell>
          <cell r="P689" t="str">
            <v>10.187.207.145</v>
          </cell>
          <cell r="Q689" t="str">
            <v>/28</v>
          </cell>
          <cell r="R689">
            <v>822</v>
          </cell>
        </row>
        <row r="690">
          <cell r="E690" t="str">
            <v>AC263</v>
          </cell>
          <cell r="G690" t="str">
            <v>10.187.200.112</v>
          </cell>
          <cell r="H690" t="str">
            <v>10.187.200.113</v>
          </cell>
          <cell r="I690" t="str">
            <v>/28</v>
          </cell>
          <cell r="J690">
            <v>801</v>
          </cell>
          <cell r="K690" t="str">
            <v>10.187.202.112</v>
          </cell>
          <cell r="L690" t="str">
            <v>10.187.202.113</v>
          </cell>
          <cell r="M690" t="str">
            <v>/28</v>
          </cell>
          <cell r="N690">
            <v>811</v>
          </cell>
          <cell r="O690" t="str">
            <v>10.187.204.112</v>
          </cell>
          <cell r="P690" t="str">
            <v>10.187.204.113</v>
          </cell>
          <cell r="Q690" t="str">
            <v>/28</v>
          </cell>
          <cell r="R690">
            <v>821</v>
          </cell>
        </row>
        <row r="691">
          <cell r="E691" t="str">
            <v>AC263</v>
          </cell>
          <cell r="G691" t="str">
            <v>10.187.200.113</v>
          </cell>
          <cell r="H691" t="str">
            <v>10.187.200.113</v>
          </cell>
          <cell r="I691" t="str">
            <v>/28</v>
          </cell>
          <cell r="J691">
            <v>801</v>
          </cell>
          <cell r="K691" t="str">
            <v>10.187.202.113</v>
          </cell>
          <cell r="L691" t="str">
            <v>10.187.202.113</v>
          </cell>
          <cell r="M691" t="str">
            <v>/28</v>
          </cell>
          <cell r="N691">
            <v>811</v>
          </cell>
          <cell r="O691" t="str">
            <v>10.187.204.113</v>
          </cell>
          <cell r="P691" t="str">
            <v>10.187.204.113</v>
          </cell>
          <cell r="Q691" t="str">
            <v>/28</v>
          </cell>
          <cell r="R691">
            <v>821</v>
          </cell>
        </row>
        <row r="692">
          <cell r="E692" t="str">
            <v>AC263</v>
          </cell>
          <cell r="F692" t="str">
            <v>IM106</v>
          </cell>
          <cell r="G692" t="str">
            <v>10.187.200.114</v>
          </cell>
          <cell r="H692" t="str">
            <v>10.187.200.113</v>
          </cell>
          <cell r="I692" t="str">
            <v>/28</v>
          </cell>
          <cell r="J692">
            <v>801</v>
          </cell>
          <cell r="K692" t="str">
            <v>10.187.202.114</v>
          </cell>
          <cell r="L692" t="str">
            <v>10.187.202.113</v>
          </cell>
          <cell r="M692" t="str">
            <v>/28</v>
          </cell>
          <cell r="N692">
            <v>811</v>
          </cell>
          <cell r="O692" t="str">
            <v>10.187.204.114</v>
          </cell>
          <cell r="P692" t="str">
            <v>10.187.204.113</v>
          </cell>
          <cell r="Q692" t="str">
            <v>/28</v>
          </cell>
          <cell r="R692">
            <v>821</v>
          </cell>
        </row>
        <row r="693">
          <cell r="E693" t="str">
            <v>AC263</v>
          </cell>
          <cell r="F693" t="str">
            <v>IM106</v>
          </cell>
          <cell r="G693" t="str">
            <v>10.187.200.115</v>
          </cell>
          <cell r="H693" t="str">
            <v>10.187.200.113</v>
          </cell>
          <cell r="I693" t="str">
            <v>/28</v>
          </cell>
          <cell r="J693">
            <v>801</v>
          </cell>
          <cell r="K693" t="str">
            <v>10.187.202.115</v>
          </cell>
          <cell r="L693" t="str">
            <v>10.187.202.113</v>
          </cell>
          <cell r="M693" t="str">
            <v>/28</v>
          </cell>
          <cell r="N693">
            <v>811</v>
          </cell>
          <cell r="O693" t="str">
            <v>10.187.204.115</v>
          </cell>
          <cell r="P693" t="str">
            <v>10.187.204.113</v>
          </cell>
          <cell r="Q693" t="str">
            <v>/28</v>
          </cell>
          <cell r="R693">
            <v>821</v>
          </cell>
        </row>
        <row r="694">
          <cell r="E694" t="str">
            <v>AC263</v>
          </cell>
          <cell r="F694" t="str">
            <v>AC263</v>
          </cell>
          <cell r="G694" t="str">
            <v>10.187.200.116</v>
          </cell>
          <cell r="H694" t="str">
            <v>10.187.200.113</v>
          </cell>
          <cell r="I694" t="str">
            <v>/28</v>
          </cell>
          <cell r="J694">
            <v>801</v>
          </cell>
          <cell r="K694" t="str">
            <v>10.187.202.116</v>
          </cell>
          <cell r="L694" t="str">
            <v>10.187.202.113</v>
          </cell>
          <cell r="M694" t="str">
            <v>/28</v>
          </cell>
          <cell r="N694">
            <v>811</v>
          </cell>
          <cell r="O694" t="str">
            <v>10.187.204.116</v>
          </cell>
          <cell r="P694" t="str">
            <v>10.187.204.113</v>
          </cell>
          <cell r="Q694" t="str">
            <v>/28</v>
          </cell>
          <cell r="R694">
            <v>821</v>
          </cell>
        </row>
        <row r="695">
          <cell r="E695" t="str">
            <v>AC263</v>
          </cell>
          <cell r="F695" t="str">
            <v>ET183</v>
          </cell>
          <cell r="G695" t="str">
            <v>10.187.200.117</v>
          </cell>
          <cell r="H695" t="str">
            <v>10.187.200.113</v>
          </cell>
          <cell r="I695" t="str">
            <v>/28</v>
          </cell>
          <cell r="J695">
            <v>801</v>
          </cell>
          <cell r="K695" t="str">
            <v>10.187.202.117</v>
          </cell>
          <cell r="L695" t="str">
            <v>10.187.202.113</v>
          </cell>
          <cell r="M695" t="str">
            <v>/28</v>
          </cell>
          <cell r="N695">
            <v>811</v>
          </cell>
          <cell r="O695" t="str">
            <v>10.187.204.117</v>
          </cell>
          <cell r="P695" t="str">
            <v>10.187.204.113</v>
          </cell>
          <cell r="Q695" t="str">
            <v>/28</v>
          </cell>
          <cell r="R695">
            <v>821</v>
          </cell>
        </row>
        <row r="696">
          <cell r="E696" t="str">
            <v>AC263</v>
          </cell>
          <cell r="F696" t="str">
            <v>AC763</v>
          </cell>
          <cell r="G696" t="str">
            <v>10.187.200.118</v>
          </cell>
          <cell r="H696" t="str">
            <v>10.187.200.113</v>
          </cell>
          <cell r="I696" t="str">
            <v>/28</v>
          </cell>
          <cell r="J696">
            <v>801</v>
          </cell>
          <cell r="K696" t="str">
            <v>10.187.202.118</v>
          </cell>
          <cell r="L696" t="str">
            <v>10.187.202.113</v>
          </cell>
          <cell r="M696" t="str">
            <v>/28</v>
          </cell>
          <cell r="N696">
            <v>811</v>
          </cell>
          <cell r="O696" t="str">
            <v>10.187.204.118</v>
          </cell>
          <cell r="P696" t="str">
            <v>10.187.204.113</v>
          </cell>
          <cell r="Q696" t="str">
            <v>/28</v>
          </cell>
          <cell r="R696">
            <v>821</v>
          </cell>
        </row>
        <row r="697">
          <cell r="E697" t="str">
            <v>AC263</v>
          </cell>
          <cell r="F697" t="str">
            <v>ET148</v>
          </cell>
          <cell r="G697" t="str">
            <v>10.187.200.119</v>
          </cell>
          <cell r="H697" t="str">
            <v>10.187.200.113</v>
          </cell>
          <cell r="I697" t="str">
            <v>/28</v>
          </cell>
          <cell r="J697">
            <v>801</v>
          </cell>
          <cell r="K697" t="str">
            <v>10.187.202.119</v>
          </cell>
          <cell r="L697" t="str">
            <v>10.187.202.113</v>
          </cell>
          <cell r="M697" t="str">
            <v>/28</v>
          </cell>
          <cell r="N697">
            <v>811</v>
          </cell>
          <cell r="O697" t="str">
            <v>10.187.204.119</v>
          </cell>
          <cell r="P697" t="str">
            <v>10.187.204.113</v>
          </cell>
          <cell r="Q697" t="str">
            <v>/28</v>
          </cell>
          <cell r="R697">
            <v>821</v>
          </cell>
        </row>
        <row r="698">
          <cell r="E698" t="str">
            <v>AC263</v>
          </cell>
          <cell r="G698" t="str">
            <v>10.187.200.120</v>
          </cell>
          <cell r="H698" t="str">
            <v>10.187.200.113</v>
          </cell>
          <cell r="I698" t="str">
            <v>/28</v>
          </cell>
          <cell r="J698">
            <v>801</v>
          </cell>
          <cell r="K698" t="str">
            <v>10.187.202.120</v>
          </cell>
          <cell r="L698" t="str">
            <v>10.187.202.113</v>
          </cell>
          <cell r="M698" t="str">
            <v>/28</v>
          </cell>
          <cell r="N698">
            <v>811</v>
          </cell>
          <cell r="O698" t="str">
            <v>10.187.204.120</v>
          </cell>
          <cell r="P698" t="str">
            <v>10.187.204.113</v>
          </cell>
          <cell r="Q698" t="str">
            <v>/28</v>
          </cell>
          <cell r="R698">
            <v>821</v>
          </cell>
        </row>
        <row r="699">
          <cell r="E699" t="str">
            <v>AC263</v>
          </cell>
          <cell r="F699" t="str">
            <v>AC263</v>
          </cell>
          <cell r="G699" t="str">
            <v>10.187.200.121</v>
          </cell>
          <cell r="H699" t="str">
            <v>10.187.200.113</v>
          </cell>
          <cell r="I699" t="str">
            <v>/28</v>
          </cell>
          <cell r="J699">
            <v>801</v>
          </cell>
          <cell r="K699" t="str">
            <v>10.187.202.121</v>
          </cell>
          <cell r="L699" t="str">
            <v>10.187.202.113</v>
          </cell>
          <cell r="M699" t="str">
            <v>/28</v>
          </cell>
          <cell r="N699">
            <v>811</v>
          </cell>
          <cell r="O699" t="str">
            <v>10.187.204.121</v>
          </cell>
          <cell r="P699" t="str">
            <v>10.187.204.113</v>
          </cell>
          <cell r="Q699" t="str">
            <v>/28</v>
          </cell>
          <cell r="R699">
            <v>821</v>
          </cell>
        </row>
        <row r="700">
          <cell r="E700" t="str">
            <v>AC263</v>
          </cell>
          <cell r="F700" t="str">
            <v>ET769</v>
          </cell>
          <cell r="G700" t="str">
            <v>10.187.200.122</v>
          </cell>
          <cell r="H700" t="str">
            <v>10.187.200.113</v>
          </cell>
          <cell r="I700" t="str">
            <v>/28</v>
          </cell>
          <cell r="J700">
            <v>801</v>
          </cell>
          <cell r="K700" t="str">
            <v>10.187.202.122</v>
          </cell>
          <cell r="L700" t="str">
            <v>10.187.202.113</v>
          </cell>
          <cell r="M700" t="str">
            <v>/28</v>
          </cell>
          <cell r="N700">
            <v>811</v>
          </cell>
          <cell r="O700" t="str">
            <v>10.187.204.122</v>
          </cell>
          <cell r="P700" t="str">
            <v>10.187.204.113</v>
          </cell>
          <cell r="Q700" t="str">
            <v>/28</v>
          </cell>
          <cell r="R700">
            <v>821</v>
          </cell>
        </row>
        <row r="701">
          <cell r="E701" t="str">
            <v>AC263</v>
          </cell>
          <cell r="F701" t="str">
            <v>ET769</v>
          </cell>
          <cell r="G701" t="str">
            <v>10.187.200.123</v>
          </cell>
          <cell r="H701" t="str">
            <v>10.187.200.113</v>
          </cell>
          <cell r="I701" t="str">
            <v>/28</v>
          </cell>
          <cell r="J701">
            <v>801</v>
          </cell>
          <cell r="K701" t="str">
            <v>10.187.202.123</v>
          </cell>
          <cell r="L701" t="str">
            <v>10.187.202.113</v>
          </cell>
          <cell r="M701" t="str">
            <v>/28</v>
          </cell>
          <cell r="N701">
            <v>811</v>
          </cell>
          <cell r="O701" t="str">
            <v>10.187.204.123</v>
          </cell>
          <cell r="P701" t="str">
            <v>10.187.204.113</v>
          </cell>
          <cell r="Q701" t="str">
            <v>/28</v>
          </cell>
          <cell r="R701">
            <v>821</v>
          </cell>
        </row>
        <row r="702">
          <cell r="E702" t="str">
            <v>AC263</v>
          </cell>
          <cell r="F702" t="str">
            <v>ET148</v>
          </cell>
          <cell r="G702" t="str">
            <v>10.187.200.124</v>
          </cell>
          <cell r="H702" t="str">
            <v>10.187.200.113</v>
          </cell>
          <cell r="I702" t="str">
            <v>/28</v>
          </cell>
          <cell r="J702">
            <v>801</v>
          </cell>
          <cell r="K702" t="str">
            <v>10.187.202.124</v>
          </cell>
          <cell r="L702" t="str">
            <v>10.187.202.113</v>
          </cell>
          <cell r="M702" t="str">
            <v>/28</v>
          </cell>
          <cell r="N702">
            <v>811</v>
          </cell>
          <cell r="O702" t="str">
            <v>10.187.204.124</v>
          </cell>
          <cell r="P702" t="str">
            <v>10.187.204.113</v>
          </cell>
          <cell r="Q702" t="str">
            <v>/28</v>
          </cell>
          <cell r="R702">
            <v>821</v>
          </cell>
        </row>
        <row r="703">
          <cell r="E703" t="str">
            <v>AC263</v>
          </cell>
          <cell r="F703" t="str">
            <v>ET148</v>
          </cell>
          <cell r="G703" t="str">
            <v>10.187.200.125</v>
          </cell>
          <cell r="H703" t="str">
            <v>10.187.200.113</v>
          </cell>
          <cell r="I703" t="str">
            <v>/28</v>
          </cell>
          <cell r="J703">
            <v>801</v>
          </cell>
          <cell r="K703" t="str">
            <v>10.187.202.125</v>
          </cell>
          <cell r="L703" t="str">
            <v>10.187.202.113</v>
          </cell>
          <cell r="M703" t="str">
            <v>/28</v>
          </cell>
          <cell r="N703">
            <v>811</v>
          </cell>
          <cell r="O703" t="str">
            <v>10.187.204.125</v>
          </cell>
          <cell r="P703" t="str">
            <v>10.187.204.113</v>
          </cell>
          <cell r="Q703" t="str">
            <v>/28</v>
          </cell>
          <cell r="R703">
            <v>821</v>
          </cell>
        </row>
        <row r="704">
          <cell r="E704" t="str">
            <v>AC263</v>
          </cell>
          <cell r="G704" t="str">
            <v>10.187.200.126</v>
          </cell>
          <cell r="H704" t="str">
            <v>10.187.200.113</v>
          </cell>
          <cell r="I704" t="str">
            <v>/28</v>
          </cell>
          <cell r="J704">
            <v>801</v>
          </cell>
          <cell r="K704" t="str">
            <v>10.187.202.126</v>
          </cell>
          <cell r="L704" t="str">
            <v>10.187.202.113</v>
          </cell>
          <cell r="M704" t="str">
            <v>/28</v>
          </cell>
          <cell r="N704">
            <v>811</v>
          </cell>
          <cell r="O704" t="str">
            <v>10.187.204.126</v>
          </cell>
          <cell r="P704" t="str">
            <v>10.187.204.113</v>
          </cell>
          <cell r="Q704" t="str">
            <v>/28</v>
          </cell>
          <cell r="R704">
            <v>821</v>
          </cell>
        </row>
        <row r="705">
          <cell r="E705" t="str">
            <v>AC263</v>
          </cell>
          <cell r="G705" t="str">
            <v>10.187.200.127</v>
          </cell>
          <cell r="H705" t="str">
            <v>10.187.200.113</v>
          </cell>
          <cell r="I705" t="str">
            <v>/28</v>
          </cell>
          <cell r="J705">
            <v>801</v>
          </cell>
          <cell r="K705" t="str">
            <v>10.187.202.127</v>
          </cell>
          <cell r="L705" t="str">
            <v>10.187.202.113</v>
          </cell>
          <cell r="M705" t="str">
            <v>/28</v>
          </cell>
          <cell r="N705">
            <v>811</v>
          </cell>
          <cell r="O705" t="str">
            <v>10.187.204.127</v>
          </cell>
          <cell r="P705" t="str">
            <v>10.187.204.113</v>
          </cell>
          <cell r="Q705" t="str">
            <v>/28</v>
          </cell>
          <cell r="R705">
            <v>821</v>
          </cell>
        </row>
        <row r="706">
          <cell r="E706" t="str">
            <v>AC269</v>
          </cell>
          <cell r="G706" t="str">
            <v>10.187.200.224</v>
          </cell>
          <cell r="H706" t="str">
            <v>10.187.200.225</v>
          </cell>
          <cell r="I706" t="str">
            <v>/28</v>
          </cell>
          <cell r="J706">
            <v>800</v>
          </cell>
          <cell r="K706" t="str">
            <v>10.187.202.224</v>
          </cell>
          <cell r="L706" t="str">
            <v>10.187.202.225</v>
          </cell>
          <cell r="M706" t="str">
            <v>/28</v>
          </cell>
          <cell r="N706">
            <v>810</v>
          </cell>
          <cell r="O706" t="str">
            <v>10.187.204.224</v>
          </cell>
          <cell r="P706" t="str">
            <v>10.187.204.225</v>
          </cell>
          <cell r="Q706" t="str">
            <v>/28</v>
          </cell>
          <cell r="R706">
            <v>820</v>
          </cell>
        </row>
        <row r="707">
          <cell r="E707" t="str">
            <v>AC269</v>
          </cell>
          <cell r="G707" t="str">
            <v>10.187.200.225</v>
          </cell>
          <cell r="H707" t="str">
            <v>10.187.200.225</v>
          </cell>
          <cell r="I707" t="str">
            <v>/28</v>
          </cell>
          <cell r="J707">
            <v>800</v>
          </cell>
          <cell r="K707" t="str">
            <v>10.187.202.225</v>
          </cell>
          <cell r="L707" t="str">
            <v>10.187.202.225</v>
          </cell>
          <cell r="M707" t="str">
            <v>/28</v>
          </cell>
          <cell r="N707">
            <v>810</v>
          </cell>
          <cell r="O707" t="str">
            <v>10.187.204.225</v>
          </cell>
          <cell r="P707" t="str">
            <v>10.187.204.225</v>
          </cell>
          <cell r="Q707" t="str">
            <v>/28</v>
          </cell>
          <cell r="R707">
            <v>820</v>
          </cell>
        </row>
        <row r="708">
          <cell r="E708" t="str">
            <v>AC269</v>
          </cell>
          <cell r="F708" t="str">
            <v>ET667</v>
          </cell>
          <cell r="G708" t="str">
            <v>10.187.200.226</v>
          </cell>
          <cell r="H708" t="str">
            <v>10.187.200.225</v>
          </cell>
          <cell r="I708" t="str">
            <v>/28</v>
          </cell>
          <cell r="J708">
            <v>800</v>
          </cell>
          <cell r="K708" t="str">
            <v>10.187.202.226</v>
          </cell>
          <cell r="L708" t="str">
            <v>10.187.202.225</v>
          </cell>
          <cell r="M708" t="str">
            <v>/28</v>
          </cell>
          <cell r="N708">
            <v>810</v>
          </cell>
          <cell r="O708" t="str">
            <v>10.187.204.226</v>
          </cell>
          <cell r="P708" t="str">
            <v>10.187.204.225</v>
          </cell>
          <cell r="Q708" t="str">
            <v>/28</v>
          </cell>
          <cell r="R708">
            <v>820</v>
          </cell>
        </row>
        <row r="709">
          <cell r="E709" t="str">
            <v>AC269</v>
          </cell>
          <cell r="F709" t="str">
            <v>ET667</v>
          </cell>
          <cell r="G709" t="str">
            <v>10.187.200.227</v>
          </cell>
          <cell r="H709" t="str">
            <v>10.187.200.225</v>
          </cell>
          <cell r="I709" t="str">
            <v>/28</v>
          </cell>
          <cell r="J709">
            <v>800</v>
          </cell>
          <cell r="K709" t="str">
            <v>10.187.202.227</v>
          </cell>
          <cell r="L709" t="str">
            <v>10.187.202.225</v>
          </cell>
          <cell r="M709" t="str">
            <v>/28</v>
          </cell>
          <cell r="N709">
            <v>810</v>
          </cell>
          <cell r="O709" t="str">
            <v>10.187.204.227</v>
          </cell>
          <cell r="P709" t="str">
            <v>10.187.204.225</v>
          </cell>
          <cell r="Q709" t="str">
            <v>/28</v>
          </cell>
          <cell r="R709">
            <v>820</v>
          </cell>
        </row>
        <row r="710">
          <cell r="E710" t="str">
            <v>AC269</v>
          </cell>
          <cell r="F710" t="str">
            <v>AC760</v>
          </cell>
          <cell r="G710" t="str">
            <v>10.187.200.228</v>
          </cell>
          <cell r="H710" t="str">
            <v>10.187.200.225</v>
          </cell>
          <cell r="I710" t="str">
            <v>/28</v>
          </cell>
          <cell r="J710">
            <v>800</v>
          </cell>
          <cell r="K710" t="str">
            <v>10.187.202.228</v>
          </cell>
          <cell r="L710" t="str">
            <v>10.187.202.225</v>
          </cell>
          <cell r="M710" t="str">
            <v>/28</v>
          </cell>
          <cell r="N710">
            <v>810</v>
          </cell>
          <cell r="O710" t="str">
            <v>10.187.204.228</v>
          </cell>
          <cell r="P710" t="str">
            <v>10.187.204.225</v>
          </cell>
          <cell r="Q710" t="str">
            <v>/28</v>
          </cell>
          <cell r="R710">
            <v>820</v>
          </cell>
        </row>
        <row r="711">
          <cell r="E711" t="str">
            <v>AC269</v>
          </cell>
          <cell r="G711" t="str">
            <v>10.187.200.229</v>
          </cell>
          <cell r="H711" t="str">
            <v>10.187.200.225</v>
          </cell>
          <cell r="I711" t="str">
            <v>/28</v>
          </cell>
          <cell r="J711">
            <v>800</v>
          </cell>
          <cell r="K711" t="str">
            <v>10.187.202.229</v>
          </cell>
          <cell r="L711" t="str">
            <v>10.187.202.225</v>
          </cell>
          <cell r="M711" t="str">
            <v>/28</v>
          </cell>
          <cell r="N711">
            <v>810</v>
          </cell>
          <cell r="O711" t="str">
            <v>10.187.204.229</v>
          </cell>
          <cell r="P711" t="str">
            <v>10.187.204.225</v>
          </cell>
          <cell r="Q711" t="str">
            <v>/28</v>
          </cell>
          <cell r="R711">
            <v>820</v>
          </cell>
        </row>
        <row r="712">
          <cell r="E712" t="str">
            <v>AC269</v>
          </cell>
          <cell r="F712" t="str">
            <v>ET729</v>
          </cell>
          <cell r="G712" t="str">
            <v>10.187.200.230</v>
          </cell>
          <cell r="H712" t="str">
            <v>10.187.200.225</v>
          </cell>
          <cell r="I712" t="str">
            <v>/28</v>
          </cell>
          <cell r="J712">
            <v>800</v>
          </cell>
          <cell r="K712" t="str">
            <v>10.187.202.230</v>
          </cell>
          <cell r="L712" t="str">
            <v>10.187.202.225</v>
          </cell>
          <cell r="M712" t="str">
            <v>/28</v>
          </cell>
          <cell r="N712">
            <v>810</v>
          </cell>
          <cell r="O712" t="str">
            <v>10.187.204.230</v>
          </cell>
          <cell r="P712" t="str">
            <v>10.187.204.225</v>
          </cell>
          <cell r="Q712" t="str">
            <v>/28</v>
          </cell>
          <cell r="R712">
            <v>820</v>
          </cell>
        </row>
        <row r="713">
          <cell r="E713" t="str">
            <v>AC269</v>
          </cell>
          <cell r="F713" t="str">
            <v>AC785</v>
          </cell>
          <cell r="G713" t="str">
            <v>10.187.200.231</v>
          </cell>
          <cell r="H713" t="str">
            <v>10.187.200.225</v>
          </cell>
          <cell r="I713" t="str">
            <v>/28</v>
          </cell>
          <cell r="J713">
            <v>800</v>
          </cell>
          <cell r="K713" t="str">
            <v>10.187.202.231</v>
          </cell>
          <cell r="L713" t="str">
            <v>10.187.202.225</v>
          </cell>
          <cell r="M713" t="str">
            <v>/28</v>
          </cell>
          <cell r="N713">
            <v>810</v>
          </cell>
          <cell r="O713" t="str">
            <v>10.187.204.231</v>
          </cell>
          <cell r="P713" t="str">
            <v>10.187.204.225</v>
          </cell>
          <cell r="Q713" t="str">
            <v>/28</v>
          </cell>
          <cell r="R713">
            <v>820</v>
          </cell>
        </row>
        <row r="714">
          <cell r="E714" t="str">
            <v>AC269</v>
          </cell>
          <cell r="F714" t="str">
            <v>ET612</v>
          </cell>
          <cell r="G714" t="str">
            <v>10.187.200.232</v>
          </cell>
          <cell r="H714" t="str">
            <v>10.187.200.225</v>
          </cell>
          <cell r="I714" t="str">
            <v>/28</v>
          </cell>
          <cell r="J714">
            <v>800</v>
          </cell>
          <cell r="K714" t="str">
            <v>10.187.202.232</v>
          </cell>
          <cell r="L714" t="str">
            <v>10.187.202.225</v>
          </cell>
          <cell r="M714" t="str">
            <v>/28</v>
          </cell>
          <cell r="N714">
            <v>810</v>
          </cell>
          <cell r="O714" t="str">
            <v>10.187.204.232</v>
          </cell>
          <cell r="P714" t="str">
            <v>10.187.204.225</v>
          </cell>
          <cell r="Q714" t="str">
            <v>/28</v>
          </cell>
          <cell r="R714">
            <v>820</v>
          </cell>
        </row>
        <row r="715">
          <cell r="E715" t="str">
            <v>AC269</v>
          </cell>
          <cell r="F715" t="str">
            <v>ET612</v>
          </cell>
          <cell r="G715" t="str">
            <v>10.187.200.233</v>
          </cell>
          <cell r="H715" t="str">
            <v>10.187.200.225</v>
          </cell>
          <cell r="I715" t="str">
            <v>/28</v>
          </cell>
          <cell r="J715">
            <v>800</v>
          </cell>
          <cell r="K715" t="str">
            <v>10.187.202.233</v>
          </cell>
          <cell r="L715" t="str">
            <v>10.187.202.225</v>
          </cell>
          <cell r="M715" t="str">
            <v>/28</v>
          </cell>
          <cell r="N715">
            <v>810</v>
          </cell>
          <cell r="O715" t="str">
            <v>10.187.204.233</v>
          </cell>
          <cell r="P715" t="str">
            <v>10.187.204.225</v>
          </cell>
          <cell r="Q715" t="str">
            <v>/28</v>
          </cell>
          <cell r="R715">
            <v>820</v>
          </cell>
        </row>
        <row r="716">
          <cell r="E716" t="str">
            <v>AC269</v>
          </cell>
          <cell r="F716" t="str">
            <v>AC536</v>
          </cell>
          <cell r="G716" t="str">
            <v>10.187.200.234</v>
          </cell>
          <cell r="H716" t="str">
            <v>10.187.200.225</v>
          </cell>
          <cell r="I716" t="str">
            <v>/28</v>
          </cell>
          <cell r="J716">
            <v>800</v>
          </cell>
          <cell r="K716" t="str">
            <v>10.187.202.234</v>
          </cell>
          <cell r="L716" t="str">
            <v>10.187.202.225</v>
          </cell>
          <cell r="M716" t="str">
            <v>/28</v>
          </cell>
          <cell r="N716">
            <v>810</v>
          </cell>
          <cell r="O716" t="str">
            <v>10.187.204.234</v>
          </cell>
          <cell r="P716" t="str">
            <v>10.187.204.225</v>
          </cell>
          <cell r="Q716" t="str">
            <v>/28</v>
          </cell>
          <cell r="R716">
            <v>820</v>
          </cell>
        </row>
        <row r="717">
          <cell r="E717" t="str">
            <v>AC269</v>
          </cell>
          <cell r="F717" t="str">
            <v>AC536</v>
          </cell>
          <cell r="G717" t="str">
            <v>10.187.200.235</v>
          </cell>
          <cell r="H717" t="str">
            <v>10.187.200.225</v>
          </cell>
          <cell r="I717" t="str">
            <v>/28</v>
          </cell>
          <cell r="J717">
            <v>800</v>
          </cell>
          <cell r="K717" t="str">
            <v>10.187.202.235</v>
          </cell>
          <cell r="L717" t="str">
            <v>10.187.202.225</v>
          </cell>
          <cell r="M717" t="str">
            <v>/28</v>
          </cell>
          <cell r="N717">
            <v>810</v>
          </cell>
          <cell r="O717" t="str">
            <v>10.187.204.235</v>
          </cell>
          <cell r="P717" t="str">
            <v>10.187.204.225</v>
          </cell>
          <cell r="Q717" t="str">
            <v>/28</v>
          </cell>
          <cell r="R717">
            <v>820</v>
          </cell>
        </row>
        <row r="718">
          <cell r="E718" t="str">
            <v>AC269</v>
          </cell>
          <cell r="F718" t="str">
            <v>ET729</v>
          </cell>
          <cell r="G718" t="str">
            <v>10.187.200.236</v>
          </cell>
          <cell r="H718" t="str">
            <v>10.187.200.225</v>
          </cell>
          <cell r="I718" t="str">
            <v>/28</v>
          </cell>
          <cell r="J718">
            <v>800</v>
          </cell>
          <cell r="K718" t="str">
            <v>10.187.202.236</v>
          </cell>
          <cell r="L718" t="str">
            <v>10.187.202.225</v>
          </cell>
          <cell r="M718" t="str">
            <v>/28</v>
          </cell>
          <cell r="N718">
            <v>810</v>
          </cell>
          <cell r="O718" t="str">
            <v>10.187.204.236</v>
          </cell>
          <cell r="P718" t="str">
            <v>10.187.204.225</v>
          </cell>
          <cell r="Q718" t="str">
            <v>/28</v>
          </cell>
          <cell r="R718">
            <v>820</v>
          </cell>
        </row>
        <row r="719">
          <cell r="E719" t="str">
            <v>AC269</v>
          </cell>
          <cell r="F719" t="str">
            <v>ET687</v>
          </cell>
          <cell r="G719" t="str">
            <v>10.187.200.237</v>
          </cell>
          <cell r="H719" t="str">
            <v>10.187.200.225</v>
          </cell>
          <cell r="I719" t="str">
            <v>/28</v>
          </cell>
          <cell r="J719">
            <v>800</v>
          </cell>
          <cell r="K719" t="str">
            <v>10.187.202.237</v>
          </cell>
          <cell r="L719" t="str">
            <v>10.187.202.225</v>
          </cell>
          <cell r="M719" t="str">
            <v>/28</v>
          </cell>
          <cell r="N719">
            <v>810</v>
          </cell>
          <cell r="O719" t="str">
            <v>10.187.204.237</v>
          </cell>
          <cell r="P719" t="str">
            <v>10.187.204.225</v>
          </cell>
          <cell r="Q719" t="str">
            <v>/28</v>
          </cell>
          <cell r="R719">
            <v>820</v>
          </cell>
        </row>
        <row r="720">
          <cell r="E720" t="str">
            <v>AC269</v>
          </cell>
          <cell r="F720" t="str">
            <v>ET687</v>
          </cell>
          <cell r="G720" t="str">
            <v>10.187.200.238</v>
          </cell>
          <cell r="H720" t="str">
            <v>10.187.200.225</v>
          </cell>
          <cell r="I720" t="str">
            <v>/28</v>
          </cell>
          <cell r="J720">
            <v>800</v>
          </cell>
          <cell r="K720" t="str">
            <v>10.187.202.238</v>
          </cell>
          <cell r="L720" t="str">
            <v>10.187.202.225</v>
          </cell>
          <cell r="M720" t="str">
            <v>/28</v>
          </cell>
          <cell r="N720">
            <v>810</v>
          </cell>
          <cell r="O720" t="str">
            <v>10.187.204.238</v>
          </cell>
          <cell r="P720" t="str">
            <v>10.187.204.225</v>
          </cell>
          <cell r="Q720" t="str">
            <v>/28</v>
          </cell>
          <cell r="R720">
            <v>820</v>
          </cell>
        </row>
        <row r="721">
          <cell r="E721" t="str">
            <v>AC269</v>
          </cell>
          <cell r="G721" t="str">
            <v>10.187.200.239</v>
          </cell>
          <cell r="H721" t="str">
            <v>10.187.200.225</v>
          </cell>
          <cell r="I721" t="str">
            <v>/28</v>
          </cell>
          <cell r="J721">
            <v>800</v>
          </cell>
          <cell r="K721" t="str">
            <v>10.187.202.239</v>
          </cell>
          <cell r="L721" t="str">
            <v>10.187.202.225</v>
          </cell>
          <cell r="M721" t="str">
            <v>/28</v>
          </cell>
          <cell r="N721">
            <v>810</v>
          </cell>
          <cell r="O721" t="str">
            <v>10.187.204.239</v>
          </cell>
          <cell r="P721" t="str">
            <v>10.187.204.225</v>
          </cell>
          <cell r="Q721" t="str">
            <v>/28</v>
          </cell>
          <cell r="R721">
            <v>820</v>
          </cell>
        </row>
        <row r="722">
          <cell r="E722" t="str">
            <v>AC269</v>
          </cell>
          <cell r="G722" t="str">
            <v>10.188.28.0</v>
          </cell>
          <cell r="H722" t="str">
            <v>10.188.28.1</v>
          </cell>
          <cell r="I722" t="str">
            <v>/26</v>
          </cell>
          <cell r="J722">
            <v>805</v>
          </cell>
          <cell r="K722" t="str">
            <v>10.188.30.0</v>
          </cell>
          <cell r="L722" t="str">
            <v>10.188.30.1</v>
          </cell>
          <cell r="M722" t="str">
            <v>/26</v>
          </cell>
          <cell r="N722">
            <v>815</v>
          </cell>
          <cell r="O722" t="str">
            <v>10.188.32.0</v>
          </cell>
          <cell r="P722" t="str">
            <v>10.188.32.1</v>
          </cell>
          <cell r="Q722" t="str">
            <v>/26</v>
          </cell>
          <cell r="R722">
            <v>825</v>
          </cell>
        </row>
        <row r="723">
          <cell r="E723" t="str">
            <v>AC269</v>
          </cell>
          <cell r="G723" t="str">
            <v>10.188.28.1</v>
          </cell>
          <cell r="H723" t="str">
            <v>10.188.28.1</v>
          </cell>
          <cell r="I723" t="str">
            <v>/26</v>
          </cell>
          <cell r="J723">
            <v>805</v>
          </cell>
          <cell r="K723" t="str">
            <v>10.188.30.1</v>
          </cell>
          <cell r="L723" t="str">
            <v>10.188.30.1</v>
          </cell>
          <cell r="M723" t="str">
            <v>/26</v>
          </cell>
          <cell r="N723">
            <v>815</v>
          </cell>
          <cell r="O723" t="str">
            <v>10.188.32.1</v>
          </cell>
          <cell r="P723" t="str">
            <v>10.188.32.1</v>
          </cell>
          <cell r="Q723" t="str">
            <v>/26</v>
          </cell>
          <cell r="R723">
            <v>825</v>
          </cell>
        </row>
        <row r="724">
          <cell r="E724" t="str">
            <v>AC269</v>
          </cell>
          <cell r="F724" t="str">
            <v>AC773</v>
          </cell>
          <cell r="G724" t="str">
            <v>10.188.28.2</v>
          </cell>
          <cell r="H724" t="str">
            <v>10.188.28.1</v>
          </cell>
          <cell r="I724" t="str">
            <v>/26</v>
          </cell>
          <cell r="J724">
            <v>805</v>
          </cell>
          <cell r="K724" t="str">
            <v>10.188.30.2</v>
          </cell>
          <cell r="L724" t="str">
            <v>10.188.30.1</v>
          </cell>
          <cell r="M724" t="str">
            <v>/26</v>
          </cell>
          <cell r="N724">
            <v>815</v>
          </cell>
          <cell r="O724" t="str">
            <v>10.188.32.2</v>
          </cell>
          <cell r="P724" t="str">
            <v>10.188.32.1</v>
          </cell>
          <cell r="Q724" t="str">
            <v>/26</v>
          </cell>
          <cell r="R724">
            <v>825</v>
          </cell>
        </row>
        <row r="725">
          <cell r="E725" t="str">
            <v>AC269</v>
          </cell>
          <cell r="F725" t="str">
            <v>AC788</v>
          </cell>
          <cell r="G725" t="str">
            <v>10.188.28.3</v>
          </cell>
          <cell r="H725" t="str">
            <v>10.188.28.1</v>
          </cell>
          <cell r="I725" t="str">
            <v>/26</v>
          </cell>
          <cell r="J725">
            <v>805</v>
          </cell>
          <cell r="K725" t="str">
            <v>10.188.30.3</v>
          </cell>
          <cell r="L725" t="str">
            <v>10.188.30.1</v>
          </cell>
          <cell r="M725" t="str">
            <v>/26</v>
          </cell>
          <cell r="N725">
            <v>815</v>
          </cell>
          <cell r="O725" t="str">
            <v>10.188.32.3</v>
          </cell>
          <cell r="P725" t="str">
            <v>10.188.32.1</v>
          </cell>
          <cell r="Q725" t="str">
            <v>/26</v>
          </cell>
          <cell r="R725">
            <v>825</v>
          </cell>
        </row>
        <row r="726">
          <cell r="E726" t="str">
            <v>AC269</v>
          </cell>
          <cell r="F726" t="str">
            <v>AC269</v>
          </cell>
          <cell r="G726" t="str">
            <v>10.188.28.4</v>
          </cell>
          <cell r="H726" t="str">
            <v>10.188.28.1</v>
          </cell>
          <cell r="I726" t="str">
            <v>/26</v>
          </cell>
          <cell r="J726">
            <v>805</v>
          </cell>
          <cell r="K726" t="str">
            <v>10.188.30.4</v>
          </cell>
          <cell r="L726" t="str">
            <v>10.188.30.1</v>
          </cell>
          <cell r="M726" t="str">
            <v>/26</v>
          </cell>
          <cell r="N726">
            <v>815</v>
          </cell>
          <cell r="O726" t="str">
            <v>10.188.32.4</v>
          </cell>
          <cell r="P726" t="str">
            <v>10.188.32.1</v>
          </cell>
          <cell r="Q726" t="str">
            <v>/26</v>
          </cell>
          <cell r="R726">
            <v>825</v>
          </cell>
        </row>
        <row r="727">
          <cell r="E727" t="str">
            <v>AC269</v>
          </cell>
          <cell r="G727" t="str">
            <v>10.188.28.5</v>
          </cell>
          <cell r="H727" t="str">
            <v>10.188.28.1</v>
          </cell>
          <cell r="I727" t="str">
            <v>/26</v>
          </cell>
          <cell r="J727">
            <v>805</v>
          </cell>
          <cell r="K727" t="str">
            <v>10.188.30.5</v>
          </cell>
          <cell r="L727" t="str">
            <v>10.188.30.1</v>
          </cell>
          <cell r="M727" t="str">
            <v>/26</v>
          </cell>
          <cell r="N727">
            <v>815</v>
          </cell>
          <cell r="O727" t="str">
            <v>10.188.32.5</v>
          </cell>
          <cell r="P727" t="str">
            <v>10.188.32.1</v>
          </cell>
          <cell r="Q727" t="str">
            <v>/26</v>
          </cell>
          <cell r="R727">
            <v>825</v>
          </cell>
        </row>
        <row r="728">
          <cell r="E728" t="str">
            <v>AC269</v>
          </cell>
          <cell r="G728" t="str">
            <v>10.188.28.6</v>
          </cell>
          <cell r="H728" t="str">
            <v>10.188.28.1</v>
          </cell>
          <cell r="I728" t="str">
            <v>/26</v>
          </cell>
          <cell r="J728">
            <v>805</v>
          </cell>
          <cell r="K728" t="str">
            <v>10.188.30.6</v>
          </cell>
          <cell r="L728" t="str">
            <v>10.188.30.1</v>
          </cell>
          <cell r="M728" t="str">
            <v>/26</v>
          </cell>
          <cell r="N728">
            <v>815</v>
          </cell>
          <cell r="O728" t="str">
            <v>10.188.32.6</v>
          </cell>
          <cell r="P728" t="str">
            <v>10.188.32.1</v>
          </cell>
          <cell r="Q728" t="str">
            <v>/26</v>
          </cell>
          <cell r="R728">
            <v>825</v>
          </cell>
        </row>
        <row r="729">
          <cell r="E729" t="str">
            <v>AC269</v>
          </cell>
          <cell r="F729" t="str">
            <v>ET490</v>
          </cell>
          <cell r="G729" t="str">
            <v>10.188.28.7</v>
          </cell>
          <cell r="H729" t="str">
            <v>10.188.28.1</v>
          </cell>
          <cell r="I729" t="str">
            <v>/26</v>
          </cell>
          <cell r="J729">
            <v>805</v>
          </cell>
          <cell r="K729" t="str">
            <v>10.188.30.7</v>
          </cell>
          <cell r="L729" t="str">
            <v>10.188.30.1</v>
          </cell>
          <cell r="M729" t="str">
            <v>/26</v>
          </cell>
          <cell r="N729">
            <v>815</v>
          </cell>
          <cell r="O729" t="str">
            <v>10.188.32.7</v>
          </cell>
          <cell r="P729" t="str">
            <v>10.188.32.1</v>
          </cell>
          <cell r="Q729" t="str">
            <v>/26</v>
          </cell>
          <cell r="R729">
            <v>825</v>
          </cell>
        </row>
        <row r="730">
          <cell r="E730" t="str">
            <v>AC269</v>
          </cell>
          <cell r="F730" t="str">
            <v>ET687</v>
          </cell>
          <cell r="G730" t="str">
            <v>10.188.28.8</v>
          </cell>
          <cell r="H730" t="str">
            <v>10.188.28.1</v>
          </cell>
          <cell r="I730" t="str">
            <v>/26</v>
          </cell>
          <cell r="J730">
            <v>805</v>
          </cell>
          <cell r="K730" t="str">
            <v>10.188.30.8</v>
          </cell>
          <cell r="L730" t="str">
            <v>10.188.30.1</v>
          </cell>
          <cell r="M730" t="str">
            <v>/26</v>
          </cell>
          <cell r="N730">
            <v>815</v>
          </cell>
          <cell r="O730" t="str">
            <v>10.188.32.8</v>
          </cell>
          <cell r="P730" t="str">
            <v>10.188.32.1</v>
          </cell>
          <cell r="Q730" t="str">
            <v>/26</v>
          </cell>
          <cell r="R730">
            <v>825</v>
          </cell>
        </row>
        <row r="731">
          <cell r="E731" t="str">
            <v>AC269</v>
          </cell>
          <cell r="F731" t="str">
            <v>ET687</v>
          </cell>
          <cell r="G731" t="str">
            <v>10.188.28.9</v>
          </cell>
          <cell r="H731" t="str">
            <v>10.188.28.1</v>
          </cell>
          <cell r="I731" t="str">
            <v>/26</v>
          </cell>
          <cell r="J731">
            <v>805</v>
          </cell>
          <cell r="K731" t="str">
            <v>10.188.30.9</v>
          </cell>
          <cell r="L731" t="str">
            <v>10.188.30.1</v>
          </cell>
          <cell r="M731" t="str">
            <v>/26</v>
          </cell>
          <cell r="N731">
            <v>815</v>
          </cell>
          <cell r="O731" t="str">
            <v>10.188.32.9</v>
          </cell>
          <cell r="P731" t="str">
            <v>10.188.32.1</v>
          </cell>
          <cell r="Q731" t="str">
            <v>/26</v>
          </cell>
          <cell r="R731">
            <v>825</v>
          </cell>
        </row>
        <row r="732">
          <cell r="E732" t="str">
            <v>AC269</v>
          </cell>
          <cell r="F732" t="str">
            <v>AC773</v>
          </cell>
          <cell r="G732" t="str">
            <v>10.188.28.10</v>
          </cell>
          <cell r="H732" t="str">
            <v>10.188.28.1</v>
          </cell>
          <cell r="I732" t="str">
            <v>/26</v>
          </cell>
          <cell r="J732">
            <v>805</v>
          </cell>
          <cell r="K732" t="str">
            <v>10.188.30.10</v>
          </cell>
          <cell r="L732" t="str">
            <v>10.188.30.1</v>
          </cell>
          <cell r="M732" t="str">
            <v>/26</v>
          </cell>
          <cell r="N732">
            <v>815</v>
          </cell>
          <cell r="O732" t="str">
            <v>10.188.32.10</v>
          </cell>
          <cell r="P732" t="str">
            <v>10.188.32.1</v>
          </cell>
          <cell r="Q732" t="str">
            <v>/26</v>
          </cell>
          <cell r="R732">
            <v>825</v>
          </cell>
        </row>
        <row r="733">
          <cell r="E733" t="str">
            <v>AC269</v>
          </cell>
          <cell r="F733" t="str">
            <v>ET202</v>
          </cell>
          <cell r="G733" t="str">
            <v>10.188.28.11</v>
          </cell>
          <cell r="H733" t="str">
            <v>10.188.28.1</v>
          </cell>
          <cell r="I733" t="str">
            <v>/26</v>
          </cell>
          <cell r="J733">
            <v>805</v>
          </cell>
          <cell r="K733" t="str">
            <v>10.188.30.11</v>
          </cell>
          <cell r="L733" t="str">
            <v>10.188.30.1</v>
          </cell>
          <cell r="M733" t="str">
            <v>/26</v>
          </cell>
          <cell r="N733">
            <v>815</v>
          </cell>
          <cell r="O733" t="str">
            <v>10.188.32.11</v>
          </cell>
          <cell r="P733" t="str">
            <v>10.188.32.1</v>
          </cell>
          <cell r="Q733" t="str">
            <v>/26</v>
          </cell>
          <cell r="R733">
            <v>825</v>
          </cell>
        </row>
        <row r="734">
          <cell r="E734" t="str">
            <v>AC269</v>
          </cell>
          <cell r="F734" t="str">
            <v>ET195</v>
          </cell>
          <cell r="G734" t="str">
            <v>10.188.28.12</v>
          </cell>
          <cell r="H734" t="str">
            <v>10.188.28.1</v>
          </cell>
          <cell r="I734" t="str">
            <v>/26</v>
          </cell>
          <cell r="J734">
            <v>805</v>
          </cell>
          <cell r="K734" t="str">
            <v>10.188.30.12</v>
          </cell>
          <cell r="L734" t="str">
            <v>10.188.30.1</v>
          </cell>
          <cell r="M734" t="str">
            <v>/26</v>
          </cell>
          <cell r="N734">
            <v>815</v>
          </cell>
          <cell r="O734" t="str">
            <v>10.188.32.12</v>
          </cell>
          <cell r="P734" t="str">
            <v>10.188.32.1</v>
          </cell>
          <cell r="Q734" t="str">
            <v>/26</v>
          </cell>
          <cell r="R734">
            <v>825</v>
          </cell>
        </row>
        <row r="735">
          <cell r="E735" t="str">
            <v>AC269</v>
          </cell>
          <cell r="F735" t="str">
            <v>ET206</v>
          </cell>
          <cell r="G735" t="str">
            <v>10.188.28.13</v>
          </cell>
          <cell r="H735" t="str">
            <v>10.188.28.1</v>
          </cell>
          <cell r="I735" t="str">
            <v>/26</v>
          </cell>
          <cell r="J735">
            <v>805</v>
          </cell>
          <cell r="K735" t="str">
            <v>10.188.30.13</v>
          </cell>
          <cell r="L735" t="str">
            <v>10.188.30.1</v>
          </cell>
          <cell r="M735" t="str">
            <v>/26</v>
          </cell>
          <cell r="N735">
            <v>815</v>
          </cell>
          <cell r="O735" t="str">
            <v>10.188.32.13</v>
          </cell>
          <cell r="P735" t="str">
            <v>10.188.32.1</v>
          </cell>
          <cell r="Q735" t="str">
            <v>/26</v>
          </cell>
          <cell r="R735">
            <v>825</v>
          </cell>
        </row>
        <row r="736">
          <cell r="E736" t="str">
            <v>AC269</v>
          </cell>
          <cell r="F736" t="str">
            <v>ET195</v>
          </cell>
          <cell r="G736" t="str">
            <v>10.188.28.14</v>
          </cell>
          <cell r="H736" t="str">
            <v>10.188.28.1</v>
          </cell>
          <cell r="I736" t="str">
            <v>/26</v>
          </cell>
          <cell r="J736">
            <v>805</v>
          </cell>
          <cell r="K736" t="str">
            <v>10.188.30.14</v>
          </cell>
          <cell r="L736" t="str">
            <v>10.188.30.1</v>
          </cell>
          <cell r="M736" t="str">
            <v>/26</v>
          </cell>
          <cell r="N736">
            <v>815</v>
          </cell>
          <cell r="O736" t="str">
            <v>10.188.32.14</v>
          </cell>
          <cell r="P736" t="str">
            <v>10.188.32.1</v>
          </cell>
          <cell r="Q736" t="str">
            <v>/26</v>
          </cell>
          <cell r="R736">
            <v>825</v>
          </cell>
        </row>
        <row r="737">
          <cell r="E737" t="str">
            <v>AC269</v>
          </cell>
          <cell r="F737" t="str">
            <v>ET195</v>
          </cell>
          <cell r="G737" t="str">
            <v>10.188.28.15</v>
          </cell>
          <cell r="H737" t="str">
            <v>10.188.28.1</v>
          </cell>
          <cell r="I737" t="str">
            <v>/26</v>
          </cell>
          <cell r="J737">
            <v>805</v>
          </cell>
          <cell r="K737" t="str">
            <v>10.188.30.15</v>
          </cell>
          <cell r="L737" t="str">
            <v>10.188.30.1</v>
          </cell>
          <cell r="M737" t="str">
            <v>/26</v>
          </cell>
          <cell r="N737">
            <v>815</v>
          </cell>
          <cell r="O737" t="str">
            <v>10.188.32.15</v>
          </cell>
          <cell r="P737" t="str">
            <v>10.188.32.1</v>
          </cell>
          <cell r="Q737" t="str">
            <v>/26</v>
          </cell>
          <cell r="R737">
            <v>825</v>
          </cell>
        </row>
        <row r="738">
          <cell r="E738" t="str">
            <v>AC269</v>
          </cell>
          <cell r="F738" t="str">
            <v>ET770</v>
          </cell>
          <cell r="G738" t="str">
            <v>10.188.28.16</v>
          </cell>
          <cell r="H738" t="str">
            <v>10.188.28.1</v>
          </cell>
          <cell r="I738" t="str">
            <v>/26</v>
          </cell>
          <cell r="J738">
            <v>805</v>
          </cell>
          <cell r="K738" t="str">
            <v>10.188.30.16</v>
          </cell>
          <cell r="L738" t="str">
            <v>10.188.30.1</v>
          </cell>
          <cell r="M738" t="str">
            <v>/26</v>
          </cell>
          <cell r="N738">
            <v>815</v>
          </cell>
          <cell r="O738" t="str">
            <v>10.188.32.16</v>
          </cell>
          <cell r="P738" t="str">
            <v>10.188.32.1</v>
          </cell>
          <cell r="Q738" t="str">
            <v>/26</v>
          </cell>
          <cell r="R738">
            <v>825</v>
          </cell>
        </row>
        <row r="739">
          <cell r="E739" t="str">
            <v>AC269</v>
          </cell>
          <cell r="F739" t="str">
            <v>ET770</v>
          </cell>
          <cell r="G739" t="str">
            <v>10.188.28.17</v>
          </cell>
          <cell r="H739" t="str">
            <v>10.188.28.1</v>
          </cell>
          <cell r="I739" t="str">
            <v>/26</v>
          </cell>
          <cell r="J739">
            <v>805</v>
          </cell>
          <cell r="K739" t="str">
            <v>10.188.30.17</v>
          </cell>
          <cell r="L739" t="str">
            <v>10.188.30.1</v>
          </cell>
          <cell r="M739" t="str">
            <v>/26</v>
          </cell>
          <cell r="N739">
            <v>815</v>
          </cell>
          <cell r="O739" t="str">
            <v>10.188.32.17</v>
          </cell>
          <cell r="P739" t="str">
            <v>10.188.32.1</v>
          </cell>
          <cell r="Q739" t="str">
            <v>/26</v>
          </cell>
          <cell r="R739">
            <v>825</v>
          </cell>
        </row>
        <row r="740">
          <cell r="E740" t="str">
            <v>AC269</v>
          </cell>
          <cell r="F740" t="str">
            <v>ET202</v>
          </cell>
          <cell r="G740" t="str">
            <v>10.188.28.18</v>
          </cell>
          <cell r="H740" t="str">
            <v>10.188.28.1</v>
          </cell>
          <cell r="I740" t="str">
            <v>/26</v>
          </cell>
          <cell r="J740">
            <v>805</v>
          </cell>
          <cell r="K740" t="str">
            <v>10.188.30.18</v>
          </cell>
          <cell r="L740" t="str">
            <v>10.188.30.1</v>
          </cell>
          <cell r="M740" t="str">
            <v>/26</v>
          </cell>
          <cell r="N740">
            <v>815</v>
          </cell>
          <cell r="O740" t="str">
            <v>10.188.32.18</v>
          </cell>
          <cell r="P740" t="str">
            <v>10.188.32.1</v>
          </cell>
          <cell r="Q740" t="str">
            <v>/26</v>
          </cell>
          <cell r="R740">
            <v>825</v>
          </cell>
        </row>
        <row r="741">
          <cell r="E741" t="str">
            <v>AC269</v>
          </cell>
          <cell r="F741" t="str">
            <v>ET202</v>
          </cell>
          <cell r="G741" t="str">
            <v>10.188.28.19</v>
          </cell>
          <cell r="H741" t="str">
            <v>10.188.28.1</v>
          </cell>
          <cell r="I741" t="str">
            <v>/26</v>
          </cell>
          <cell r="J741">
            <v>805</v>
          </cell>
          <cell r="K741" t="str">
            <v>10.188.30.19</v>
          </cell>
          <cell r="L741" t="str">
            <v>10.188.30.1</v>
          </cell>
          <cell r="M741" t="str">
            <v>/26</v>
          </cell>
          <cell r="N741">
            <v>815</v>
          </cell>
          <cell r="O741" t="str">
            <v>10.188.32.19</v>
          </cell>
          <cell r="P741" t="str">
            <v>10.188.32.1</v>
          </cell>
          <cell r="Q741" t="str">
            <v>/26</v>
          </cell>
          <cell r="R741">
            <v>825</v>
          </cell>
        </row>
        <row r="742">
          <cell r="E742" t="str">
            <v>AC269</v>
          </cell>
          <cell r="F742" t="str">
            <v>ET206</v>
          </cell>
          <cell r="G742" t="str">
            <v>10.188.28.20</v>
          </cell>
          <cell r="H742" t="str">
            <v>10.188.28.1</v>
          </cell>
          <cell r="I742" t="str">
            <v>/26</v>
          </cell>
          <cell r="J742">
            <v>805</v>
          </cell>
          <cell r="K742" t="str">
            <v>10.188.30.20</v>
          </cell>
          <cell r="L742" t="str">
            <v>10.188.30.1</v>
          </cell>
          <cell r="M742" t="str">
            <v>/26</v>
          </cell>
          <cell r="N742">
            <v>815</v>
          </cell>
          <cell r="O742" t="str">
            <v>10.188.32.20</v>
          </cell>
          <cell r="P742" t="str">
            <v>10.188.32.1</v>
          </cell>
          <cell r="Q742" t="str">
            <v>/26</v>
          </cell>
          <cell r="R742">
            <v>825</v>
          </cell>
        </row>
        <row r="743">
          <cell r="E743" t="str">
            <v>AC269</v>
          </cell>
          <cell r="F743" t="str">
            <v>ET206</v>
          </cell>
          <cell r="G743" t="str">
            <v>10.188.28.21</v>
          </cell>
          <cell r="H743" t="str">
            <v>10.188.28.1</v>
          </cell>
          <cell r="I743" t="str">
            <v>/26</v>
          </cell>
          <cell r="J743">
            <v>805</v>
          </cell>
          <cell r="K743" t="str">
            <v>10.188.30.21</v>
          </cell>
          <cell r="L743" t="str">
            <v>10.188.30.1</v>
          </cell>
          <cell r="M743" t="str">
            <v>/26</v>
          </cell>
          <cell r="N743">
            <v>815</v>
          </cell>
          <cell r="O743" t="str">
            <v>10.188.32.21</v>
          </cell>
          <cell r="P743" t="str">
            <v>10.188.32.1</v>
          </cell>
          <cell r="Q743" t="str">
            <v>/26</v>
          </cell>
          <cell r="R743">
            <v>825</v>
          </cell>
        </row>
        <row r="744">
          <cell r="E744" t="str">
            <v>AC269</v>
          </cell>
          <cell r="F744" t="str">
            <v>ET665</v>
          </cell>
          <cell r="G744" t="str">
            <v>10.188.28.22</v>
          </cell>
          <cell r="H744" t="str">
            <v>10.188.28.1</v>
          </cell>
          <cell r="I744" t="str">
            <v>/26</v>
          </cell>
          <cell r="J744">
            <v>805</v>
          </cell>
          <cell r="K744" t="str">
            <v>10.188.30.22</v>
          </cell>
          <cell r="L744" t="str">
            <v>10.188.30.1</v>
          </cell>
          <cell r="M744" t="str">
            <v>/26</v>
          </cell>
          <cell r="N744">
            <v>815</v>
          </cell>
          <cell r="O744" t="str">
            <v>10.188.32.22</v>
          </cell>
          <cell r="P744" t="str">
            <v>10.188.32.1</v>
          </cell>
          <cell r="Q744" t="str">
            <v>/26</v>
          </cell>
          <cell r="R744">
            <v>825</v>
          </cell>
        </row>
        <row r="745">
          <cell r="E745" t="str">
            <v>AC269</v>
          </cell>
          <cell r="F745" t="str">
            <v>ET665</v>
          </cell>
          <cell r="G745" t="str">
            <v>10.188.28.23</v>
          </cell>
          <cell r="H745" t="str">
            <v>10.188.28.1</v>
          </cell>
          <cell r="I745" t="str">
            <v>/26</v>
          </cell>
          <cell r="J745">
            <v>805</v>
          </cell>
          <cell r="K745" t="str">
            <v>10.188.30.23</v>
          </cell>
          <cell r="L745" t="str">
            <v>10.188.30.1</v>
          </cell>
          <cell r="M745" t="str">
            <v>/26</v>
          </cell>
          <cell r="N745">
            <v>815</v>
          </cell>
          <cell r="O745" t="str">
            <v>10.188.32.23</v>
          </cell>
          <cell r="P745" t="str">
            <v>10.188.32.1</v>
          </cell>
          <cell r="Q745" t="str">
            <v>/26</v>
          </cell>
          <cell r="R745">
            <v>825</v>
          </cell>
        </row>
        <row r="746">
          <cell r="E746" t="str">
            <v>AC269</v>
          </cell>
          <cell r="F746" t="str">
            <v>ET889</v>
          </cell>
          <cell r="G746" t="str">
            <v>10.188.28.24</v>
          </cell>
          <cell r="H746" t="str">
            <v>10.188.28.1</v>
          </cell>
          <cell r="I746" t="str">
            <v>/26</v>
          </cell>
          <cell r="J746">
            <v>805</v>
          </cell>
          <cell r="K746" t="str">
            <v>10.188.30.24</v>
          </cell>
          <cell r="L746" t="str">
            <v>10.188.30.1</v>
          </cell>
          <cell r="M746" t="str">
            <v>/26</v>
          </cell>
          <cell r="N746">
            <v>815</v>
          </cell>
          <cell r="O746" t="str">
            <v>10.188.32.24</v>
          </cell>
          <cell r="P746" t="str">
            <v>10.188.32.1</v>
          </cell>
          <cell r="Q746" t="str">
            <v>/26</v>
          </cell>
          <cell r="R746">
            <v>825</v>
          </cell>
        </row>
        <row r="747">
          <cell r="E747" t="str">
            <v>AC269</v>
          </cell>
          <cell r="F747" t="str">
            <v>ET889</v>
          </cell>
          <cell r="G747" t="str">
            <v>10.188.28.25</v>
          </cell>
          <cell r="H747" t="str">
            <v>10.188.28.1</v>
          </cell>
          <cell r="I747" t="str">
            <v>/26</v>
          </cell>
          <cell r="J747">
            <v>805</v>
          </cell>
          <cell r="K747" t="str">
            <v>10.188.30.25</v>
          </cell>
          <cell r="L747" t="str">
            <v>10.188.30.1</v>
          </cell>
          <cell r="M747" t="str">
            <v>/26</v>
          </cell>
          <cell r="N747">
            <v>815</v>
          </cell>
          <cell r="O747" t="str">
            <v>10.188.32.25</v>
          </cell>
          <cell r="P747" t="str">
            <v>10.188.32.1</v>
          </cell>
          <cell r="Q747" t="str">
            <v>/26</v>
          </cell>
          <cell r="R747">
            <v>825</v>
          </cell>
        </row>
        <row r="748">
          <cell r="E748" t="str">
            <v>AC269</v>
          </cell>
          <cell r="G748" t="str">
            <v>10.188.28.26</v>
          </cell>
          <cell r="H748" t="str">
            <v>10.188.28.1</v>
          </cell>
          <cell r="I748" t="str">
            <v>/26</v>
          </cell>
          <cell r="J748">
            <v>805</v>
          </cell>
          <cell r="K748" t="str">
            <v>10.188.30.26</v>
          </cell>
          <cell r="L748" t="str">
            <v>10.188.30.1</v>
          </cell>
          <cell r="M748" t="str">
            <v>/26</v>
          </cell>
          <cell r="N748">
            <v>815</v>
          </cell>
          <cell r="O748" t="str">
            <v>10.188.32.26</v>
          </cell>
          <cell r="P748" t="str">
            <v>10.188.32.1</v>
          </cell>
          <cell r="Q748" t="str">
            <v>/26</v>
          </cell>
          <cell r="R748">
            <v>825</v>
          </cell>
        </row>
        <row r="749">
          <cell r="E749" t="str">
            <v>AC269</v>
          </cell>
          <cell r="G749" t="str">
            <v>10.188.28.27</v>
          </cell>
          <cell r="H749" t="str">
            <v>10.188.28.1</v>
          </cell>
          <cell r="I749" t="str">
            <v>/26</v>
          </cell>
          <cell r="J749">
            <v>805</v>
          </cell>
          <cell r="K749" t="str">
            <v>10.188.30.27</v>
          </cell>
          <cell r="L749" t="str">
            <v>10.188.30.1</v>
          </cell>
          <cell r="M749" t="str">
            <v>/26</v>
          </cell>
          <cell r="N749">
            <v>815</v>
          </cell>
          <cell r="O749" t="str">
            <v>10.188.32.27</v>
          </cell>
          <cell r="P749" t="str">
            <v>10.188.32.1</v>
          </cell>
          <cell r="Q749" t="str">
            <v>/26</v>
          </cell>
          <cell r="R749">
            <v>825</v>
          </cell>
        </row>
        <row r="750">
          <cell r="E750" t="str">
            <v>AC269</v>
          </cell>
          <cell r="F750" t="str">
            <v>IM306</v>
          </cell>
          <cell r="G750" t="str">
            <v>10.188.28.28</v>
          </cell>
          <cell r="H750" t="str">
            <v>10.188.28.1</v>
          </cell>
          <cell r="I750" t="str">
            <v>/26</v>
          </cell>
          <cell r="J750">
            <v>805</v>
          </cell>
          <cell r="K750" t="str">
            <v>10.188.30.28</v>
          </cell>
          <cell r="L750" t="str">
            <v>10.188.30.1</v>
          </cell>
          <cell r="M750" t="str">
            <v>/26</v>
          </cell>
          <cell r="N750">
            <v>815</v>
          </cell>
          <cell r="O750" t="str">
            <v>10.188.32.28</v>
          </cell>
          <cell r="P750" t="str">
            <v>10.188.32.1</v>
          </cell>
          <cell r="Q750" t="str">
            <v>/26</v>
          </cell>
          <cell r="R750">
            <v>825</v>
          </cell>
        </row>
        <row r="751">
          <cell r="E751" t="str">
            <v>AC269</v>
          </cell>
          <cell r="F751" t="str">
            <v>IM306</v>
          </cell>
          <cell r="G751" t="str">
            <v>10.188.28.29</v>
          </cell>
          <cell r="H751" t="str">
            <v>10.188.28.1</v>
          </cell>
          <cell r="I751" t="str">
            <v>/26</v>
          </cell>
          <cell r="J751">
            <v>805</v>
          </cell>
          <cell r="K751" t="str">
            <v>10.188.30.29</v>
          </cell>
          <cell r="L751" t="str">
            <v>10.188.30.1</v>
          </cell>
          <cell r="M751" t="str">
            <v>/26</v>
          </cell>
          <cell r="N751">
            <v>815</v>
          </cell>
          <cell r="O751" t="str">
            <v>10.188.32.29</v>
          </cell>
          <cell r="P751" t="str">
            <v>10.188.32.1</v>
          </cell>
          <cell r="Q751" t="str">
            <v>/26</v>
          </cell>
          <cell r="R751">
            <v>825</v>
          </cell>
        </row>
        <row r="752">
          <cell r="E752" t="str">
            <v>AC269</v>
          </cell>
          <cell r="G752" t="str">
            <v>10.188.28.30</v>
          </cell>
          <cell r="H752" t="str">
            <v>10.188.28.1</v>
          </cell>
          <cell r="I752" t="str">
            <v>/26</v>
          </cell>
          <cell r="J752">
            <v>805</v>
          </cell>
          <cell r="K752" t="str">
            <v>10.188.30.30</v>
          </cell>
          <cell r="L752" t="str">
            <v>10.188.30.1</v>
          </cell>
          <cell r="M752" t="str">
            <v>/26</v>
          </cell>
          <cell r="N752">
            <v>815</v>
          </cell>
          <cell r="O752" t="str">
            <v>10.188.32.30</v>
          </cell>
          <cell r="P752" t="str">
            <v>10.188.32.1</v>
          </cell>
          <cell r="Q752" t="str">
            <v>/26</v>
          </cell>
          <cell r="R752">
            <v>825</v>
          </cell>
        </row>
        <row r="753">
          <cell r="E753" t="str">
            <v>AC269</v>
          </cell>
          <cell r="G753" t="str">
            <v>10.188.28.31</v>
          </cell>
          <cell r="H753" t="str">
            <v>10.188.28.1</v>
          </cell>
          <cell r="I753" t="str">
            <v>/26</v>
          </cell>
          <cell r="J753">
            <v>805</v>
          </cell>
          <cell r="K753" t="str">
            <v>10.188.30.31</v>
          </cell>
          <cell r="L753" t="str">
            <v>10.188.30.1</v>
          </cell>
          <cell r="M753" t="str">
            <v>/26</v>
          </cell>
          <cell r="N753">
            <v>815</v>
          </cell>
          <cell r="O753" t="str">
            <v>10.188.32.31</v>
          </cell>
          <cell r="P753" t="str">
            <v>10.188.32.1</v>
          </cell>
          <cell r="Q753" t="str">
            <v>/26</v>
          </cell>
          <cell r="R753">
            <v>825</v>
          </cell>
        </row>
        <row r="754">
          <cell r="E754" t="str">
            <v>AC269</v>
          </cell>
          <cell r="G754" t="str">
            <v>10.188.28.32</v>
          </cell>
          <cell r="H754" t="str">
            <v>10.188.28.1</v>
          </cell>
          <cell r="I754" t="str">
            <v>/26</v>
          </cell>
          <cell r="J754">
            <v>805</v>
          </cell>
          <cell r="K754" t="str">
            <v>10.188.30.32</v>
          </cell>
          <cell r="L754" t="str">
            <v>10.188.30.1</v>
          </cell>
          <cell r="M754" t="str">
            <v>/26</v>
          </cell>
          <cell r="N754">
            <v>815</v>
          </cell>
          <cell r="O754" t="str">
            <v>10.188.32.32</v>
          </cell>
          <cell r="P754" t="str">
            <v>10.188.32.1</v>
          </cell>
          <cell r="Q754" t="str">
            <v>/26</v>
          </cell>
          <cell r="R754">
            <v>825</v>
          </cell>
        </row>
        <row r="755">
          <cell r="E755" t="str">
            <v>AC269</v>
          </cell>
          <cell r="G755" t="str">
            <v>10.188.28.33</v>
          </cell>
          <cell r="H755" t="str">
            <v>10.188.28.1</v>
          </cell>
          <cell r="I755" t="str">
            <v>/26</v>
          </cell>
          <cell r="J755">
            <v>805</v>
          </cell>
          <cell r="K755" t="str">
            <v>10.188.30.33</v>
          </cell>
          <cell r="L755" t="str">
            <v>10.188.30.1</v>
          </cell>
          <cell r="M755" t="str">
            <v>/26</v>
          </cell>
          <cell r="N755">
            <v>815</v>
          </cell>
          <cell r="O755" t="str">
            <v>10.188.32.33</v>
          </cell>
          <cell r="P755" t="str">
            <v>10.188.32.1</v>
          </cell>
          <cell r="Q755" t="str">
            <v>/26</v>
          </cell>
          <cell r="R755">
            <v>825</v>
          </cell>
        </row>
        <row r="756">
          <cell r="E756" t="str">
            <v>AC269</v>
          </cell>
          <cell r="G756" t="str">
            <v>10.188.28.34</v>
          </cell>
          <cell r="H756" t="str">
            <v>10.188.28.1</v>
          </cell>
          <cell r="I756" t="str">
            <v>/26</v>
          </cell>
          <cell r="J756">
            <v>805</v>
          </cell>
          <cell r="K756" t="str">
            <v>10.188.30.34</v>
          </cell>
          <cell r="L756" t="str">
            <v>10.188.30.1</v>
          </cell>
          <cell r="M756" t="str">
            <v>/26</v>
          </cell>
          <cell r="N756">
            <v>815</v>
          </cell>
          <cell r="O756" t="str">
            <v>10.188.32.34</v>
          </cell>
          <cell r="P756" t="str">
            <v>10.188.32.1</v>
          </cell>
          <cell r="Q756" t="str">
            <v>/26</v>
          </cell>
          <cell r="R756">
            <v>825</v>
          </cell>
        </row>
        <row r="757">
          <cell r="E757" t="str">
            <v>AC269</v>
          </cell>
          <cell r="G757" t="str">
            <v>10.188.28.35</v>
          </cell>
          <cell r="H757" t="str">
            <v>10.188.28.1</v>
          </cell>
          <cell r="I757" t="str">
            <v>/26</v>
          </cell>
          <cell r="J757">
            <v>805</v>
          </cell>
          <cell r="K757" t="str">
            <v>10.188.30.35</v>
          </cell>
          <cell r="L757" t="str">
            <v>10.188.30.1</v>
          </cell>
          <cell r="M757" t="str">
            <v>/26</v>
          </cell>
          <cell r="N757">
            <v>815</v>
          </cell>
          <cell r="O757" t="str">
            <v>10.188.32.35</v>
          </cell>
          <cell r="P757" t="str">
            <v>10.188.32.1</v>
          </cell>
          <cell r="Q757" t="str">
            <v>/26</v>
          </cell>
          <cell r="R757">
            <v>825</v>
          </cell>
        </row>
        <row r="758">
          <cell r="E758" t="str">
            <v>AC269</v>
          </cell>
          <cell r="G758" t="str">
            <v>10.188.28.36</v>
          </cell>
          <cell r="H758" t="str">
            <v>10.188.28.1</v>
          </cell>
          <cell r="I758" t="str">
            <v>/26</v>
          </cell>
          <cell r="J758">
            <v>805</v>
          </cell>
          <cell r="K758" t="str">
            <v>10.188.30.36</v>
          </cell>
          <cell r="L758" t="str">
            <v>10.188.30.1</v>
          </cell>
          <cell r="M758" t="str">
            <v>/26</v>
          </cell>
          <cell r="N758">
            <v>815</v>
          </cell>
          <cell r="O758" t="str">
            <v>10.188.32.36</v>
          </cell>
          <cell r="P758" t="str">
            <v>10.188.32.1</v>
          </cell>
          <cell r="Q758" t="str">
            <v>/26</v>
          </cell>
          <cell r="R758">
            <v>825</v>
          </cell>
        </row>
        <row r="759">
          <cell r="E759" t="str">
            <v>AC269</v>
          </cell>
          <cell r="G759" t="str">
            <v>10.188.28.37</v>
          </cell>
          <cell r="H759" t="str">
            <v>10.188.28.1</v>
          </cell>
          <cell r="I759" t="str">
            <v>/26</v>
          </cell>
          <cell r="J759">
            <v>805</v>
          </cell>
          <cell r="K759" t="str">
            <v>10.188.30.37</v>
          </cell>
          <cell r="L759" t="str">
            <v>10.188.30.1</v>
          </cell>
          <cell r="M759" t="str">
            <v>/26</v>
          </cell>
          <cell r="N759">
            <v>815</v>
          </cell>
          <cell r="O759" t="str">
            <v>10.188.32.37</v>
          </cell>
          <cell r="P759" t="str">
            <v>10.188.32.1</v>
          </cell>
          <cell r="Q759" t="str">
            <v>/26</v>
          </cell>
          <cell r="R759">
            <v>825</v>
          </cell>
        </row>
        <row r="760">
          <cell r="E760" t="str">
            <v>AC269</v>
          </cell>
          <cell r="G760" t="str">
            <v>10.188.28.38</v>
          </cell>
          <cell r="H760" t="str">
            <v>10.188.28.1</v>
          </cell>
          <cell r="I760" t="str">
            <v>/26</v>
          </cell>
          <cell r="J760">
            <v>805</v>
          </cell>
          <cell r="K760" t="str">
            <v>10.188.30.38</v>
          </cell>
          <cell r="L760" t="str">
            <v>10.188.30.1</v>
          </cell>
          <cell r="M760" t="str">
            <v>/26</v>
          </cell>
          <cell r="N760">
            <v>815</v>
          </cell>
          <cell r="O760" t="str">
            <v>10.188.32.38</v>
          </cell>
          <cell r="P760" t="str">
            <v>10.188.32.1</v>
          </cell>
          <cell r="Q760" t="str">
            <v>/26</v>
          </cell>
          <cell r="R760">
            <v>825</v>
          </cell>
        </row>
        <row r="761">
          <cell r="E761" t="str">
            <v>AC269</v>
          </cell>
          <cell r="G761" t="str">
            <v>10.188.28.39</v>
          </cell>
          <cell r="H761" t="str">
            <v>10.188.28.1</v>
          </cell>
          <cell r="I761" t="str">
            <v>/26</v>
          </cell>
          <cell r="J761">
            <v>805</v>
          </cell>
          <cell r="K761" t="str">
            <v>10.188.30.39</v>
          </cell>
          <cell r="L761" t="str">
            <v>10.188.30.1</v>
          </cell>
          <cell r="M761" t="str">
            <v>/26</v>
          </cell>
          <cell r="N761">
            <v>815</v>
          </cell>
          <cell r="O761" t="str">
            <v>10.188.32.39</v>
          </cell>
          <cell r="P761" t="str">
            <v>10.188.32.1</v>
          </cell>
          <cell r="Q761" t="str">
            <v>/26</v>
          </cell>
          <cell r="R761">
            <v>825</v>
          </cell>
        </row>
        <row r="762">
          <cell r="E762" t="str">
            <v>AC269</v>
          </cell>
          <cell r="G762" t="str">
            <v>10.188.28.40</v>
          </cell>
          <cell r="H762" t="str">
            <v>10.188.28.1</v>
          </cell>
          <cell r="I762" t="str">
            <v>/26</v>
          </cell>
          <cell r="J762">
            <v>805</v>
          </cell>
          <cell r="K762" t="str">
            <v>10.188.30.40</v>
          </cell>
          <cell r="L762" t="str">
            <v>10.188.30.1</v>
          </cell>
          <cell r="M762" t="str">
            <v>/26</v>
          </cell>
          <cell r="N762">
            <v>815</v>
          </cell>
          <cell r="O762" t="str">
            <v>10.188.32.40</v>
          </cell>
          <cell r="P762" t="str">
            <v>10.188.32.1</v>
          </cell>
          <cell r="Q762" t="str">
            <v>/26</v>
          </cell>
          <cell r="R762">
            <v>825</v>
          </cell>
        </row>
        <row r="763">
          <cell r="E763" t="str">
            <v>AC269</v>
          </cell>
          <cell r="G763" t="str">
            <v>10.188.28.41</v>
          </cell>
          <cell r="H763" t="str">
            <v>10.188.28.1</v>
          </cell>
          <cell r="I763" t="str">
            <v>/26</v>
          </cell>
          <cell r="J763">
            <v>805</v>
          </cell>
          <cell r="K763" t="str">
            <v>10.188.30.41</v>
          </cell>
          <cell r="L763" t="str">
            <v>10.188.30.1</v>
          </cell>
          <cell r="M763" t="str">
            <v>/26</v>
          </cell>
          <cell r="N763">
            <v>815</v>
          </cell>
          <cell r="O763" t="str">
            <v>10.188.32.41</v>
          </cell>
          <cell r="P763" t="str">
            <v>10.188.32.1</v>
          </cell>
          <cell r="Q763" t="str">
            <v>/26</v>
          </cell>
          <cell r="R763">
            <v>825</v>
          </cell>
        </row>
        <row r="764">
          <cell r="E764" t="str">
            <v>AC269</v>
          </cell>
          <cell r="G764" t="str">
            <v>10.188.28.42</v>
          </cell>
          <cell r="H764" t="str">
            <v>10.188.28.1</v>
          </cell>
          <cell r="I764" t="str">
            <v>/26</v>
          </cell>
          <cell r="J764">
            <v>805</v>
          </cell>
          <cell r="K764" t="str">
            <v>10.188.30.42</v>
          </cell>
          <cell r="L764" t="str">
            <v>10.188.30.1</v>
          </cell>
          <cell r="M764" t="str">
            <v>/26</v>
          </cell>
          <cell r="N764">
            <v>815</v>
          </cell>
          <cell r="O764" t="str">
            <v>10.188.32.42</v>
          </cell>
          <cell r="P764" t="str">
            <v>10.188.32.1</v>
          </cell>
          <cell r="Q764" t="str">
            <v>/26</v>
          </cell>
          <cell r="R764">
            <v>825</v>
          </cell>
        </row>
        <row r="765">
          <cell r="E765" t="str">
            <v>AC269</v>
          </cell>
          <cell r="G765" t="str">
            <v>10.188.28.43</v>
          </cell>
          <cell r="H765" t="str">
            <v>10.188.28.1</v>
          </cell>
          <cell r="I765" t="str">
            <v>/26</v>
          </cell>
          <cell r="J765">
            <v>805</v>
          </cell>
          <cell r="K765" t="str">
            <v>10.188.30.43</v>
          </cell>
          <cell r="L765" t="str">
            <v>10.188.30.1</v>
          </cell>
          <cell r="M765" t="str">
            <v>/26</v>
          </cell>
          <cell r="N765">
            <v>815</v>
          </cell>
          <cell r="O765" t="str">
            <v>10.188.32.43</v>
          </cell>
          <cell r="P765" t="str">
            <v>10.188.32.1</v>
          </cell>
          <cell r="Q765" t="str">
            <v>/26</v>
          </cell>
          <cell r="R765">
            <v>825</v>
          </cell>
        </row>
        <row r="766">
          <cell r="E766" t="str">
            <v>AC269</v>
          </cell>
          <cell r="G766" t="str">
            <v>10.188.28.44</v>
          </cell>
          <cell r="H766" t="str">
            <v>10.188.28.1</v>
          </cell>
          <cell r="I766" t="str">
            <v>/26</v>
          </cell>
          <cell r="J766">
            <v>805</v>
          </cell>
          <cell r="K766" t="str">
            <v>10.188.30.44</v>
          </cell>
          <cell r="L766" t="str">
            <v>10.188.30.1</v>
          </cell>
          <cell r="M766" t="str">
            <v>/26</v>
          </cell>
          <cell r="N766">
            <v>815</v>
          </cell>
          <cell r="O766" t="str">
            <v>10.188.32.44</v>
          </cell>
          <cell r="P766" t="str">
            <v>10.188.32.1</v>
          </cell>
          <cell r="Q766" t="str">
            <v>/26</v>
          </cell>
          <cell r="R766">
            <v>825</v>
          </cell>
        </row>
        <row r="767">
          <cell r="E767" t="str">
            <v>AC269</v>
          </cell>
          <cell r="G767" t="str">
            <v>10.188.28.45</v>
          </cell>
          <cell r="H767" t="str">
            <v>10.188.28.1</v>
          </cell>
          <cell r="I767" t="str">
            <v>/26</v>
          </cell>
          <cell r="J767">
            <v>805</v>
          </cell>
          <cell r="K767" t="str">
            <v>10.188.30.45</v>
          </cell>
          <cell r="L767" t="str">
            <v>10.188.30.1</v>
          </cell>
          <cell r="M767" t="str">
            <v>/26</v>
          </cell>
          <cell r="N767">
            <v>815</v>
          </cell>
          <cell r="O767" t="str">
            <v>10.188.32.45</v>
          </cell>
          <cell r="P767" t="str">
            <v>10.188.32.1</v>
          </cell>
          <cell r="Q767" t="str">
            <v>/26</v>
          </cell>
          <cell r="R767">
            <v>825</v>
          </cell>
        </row>
        <row r="768">
          <cell r="E768" t="str">
            <v>AC269</v>
          </cell>
          <cell r="G768" t="str">
            <v>10.188.28.46</v>
          </cell>
          <cell r="H768" t="str">
            <v>10.188.28.1</v>
          </cell>
          <cell r="I768" t="str">
            <v>/26</v>
          </cell>
          <cell r="J768">
            <v>805</v>
          </cell>
          <cell r="K768" t="str">
            <v>10.188.30.46</v>
          </cell>
          <cell r="L768" t="str">
            <v>10.188.30.1</v>
          </cell>
          <cell r="M768" t="str">
            <v>/26</v>
          </cell>
          <cell r="N768">
            <v>815</v>
          </cell>
          <cell r="O768" t="str">
            <v>10.188.32.46</v>
          </cell>
          <cell r="P768" t="str">
            <v>10.188.32.1</v>
          </cell>
          <cell r="Q768" t="str">
            <v>/26</v>
          </cell>
          <cell r="R768">
            <v>825</v>
          </cell>
        </row>
        <row r="769">
          <cell r="E769" t="str">
            <v>AC269</v>
          </cell>
          <cell r="G769" t="str">
            <v>10.188.28.47</v>
          </cell>
          <cell r="H769" t="str">
            <v>10.188.28.1</v>
          </cell>
          <cell r="I769" t="str">
            <v>/26</v>
          </cell>
          <cell r="J769">
            <v>805</v>
          </cell>
          <cell r="K769" t="str">
            <v>10.188.30.47</v>
          </cell>
          <cell r="L769" t="str">
            <v>10.188.30.1</v>
          </cell>
          <cell r="M769" t="str">
            <v>/26</v>
          </cell>
          <cell r="N769">
            <v>815</v>
          </cell>
          <cell r="O769" t="str">
            <v>10.188.32.47</v>
          </cell>
          <cell r="P769" t="str">
            <v>10.188.32.1</v>
          </cell>
          <cell r="Q769" t="str">
            <v>/26</v>
          </cell>
          <cell r="R769">
            <v>825</v>
          </cell>
        </row>
        <row r="770">
          <cell r="E770" t="str">
            <v>AC269</v>
          </cell>
          <cell r="G770" t="str">
            <v>10.188.28.48</v>
          </cell>
          <cell r="H770" t="str">
            <v>10.188.28.1</v>
          </cell>
          <cell r="I770" t="str">
            <v>/26</v>
          </cell>
          <cell r="J770">
            <v>805</v>
          </cell>
          <cell r="K770" t="str">
            <v>10.188.30.48</v>
          </cell>
          <cell r="L770" t="str">
            <v>10.188.30.1</v>
          </cell>
          <cell r="M770" t="str">
            <v>/26</v>
          </cell>
          <cell r="N770">
            <v>815</v>
          </cell>
          <cell r="O770" t="str">
            <v>10.188.32.48</v>
          </cell>
          <cell r="P770" t="str">
            <v>10.188.32.1</v>
          </cell>
          <cell r="Q770" t="str">
            <v>/26</v>
          </cell>
          <cell r="R770">
            <v>825</v>
          </cell>
        </row>
        <row r="771">
          <cell r="E771" t="str">
            <v>AC269</v>
          </cell>
          <cell r="G771" t="str">
            <v>10.188.28.49</v>
          </cell>
          <cell r="H771" t="str">
            <v>10.188.28.1</v>
          </cell>
          <cell r="I771" t="str">
            <v>/26</v>
          </cell>
          <cell r="J771">
            <v>805</v>
          </cell>
          <cell r="K771" t="str">
            <v>10.188.30.49</v>
          </cell>
          <cell r="L771" t="str">
            <v>10.188.30.1</v>
          </cell>
          <cell r="M771" t="str">
            <v>/26</v>
          </cell>
          <cell r="N771">
            <v>815</v>
          </cell>
          <cell r="O771" t="str">
            <v>10.188.32.49</v>
          </cell>
          <cell r="P771" t="str">
            <v>10.188.32.1</v>
          </cell>
          <cell r="Q771" t="str">
            <v>/26</v>
          </cell>
          <cell r="R771">
            <v>825</v>
          </cell>
        </row>
        <row r="772">
          <cell r="E772" t="str">
            <v>AC269</v>
          </cell>
          <cell r="G772" t="str">
            <v>10.188.28.50</v>
          </cell>
          <cell r="H772" t="str">
            <v>10.188.28.1</v>
          </cell>
          <cell r="I772" t="str">
            <v>/26</v>
          </cell>
          <cell r="J772">
            <v>805</v>
          </cell>
          <cell r="K772" t="str">
            <v>10.188.30.50</v>
          </cell>
          <cell r="L772" t="str">
            <v>10.188.30.1</v>
          </cell>
          <cell r="M772" t="str">
            <v>/26</v>
          </cell>
          <cell r="N772">
            <v>815</v>
          </cell>
          <cell r="O772" t="str">
            <v>10.188.32.50</v>
          </cell>
          <cell r="P772" t="str">
            <v>10.188.32.1</v>
          </cell>
          <cell r="Q772" t="str">
            <v>/26</v>
          </cell>
          <cell r="R772">
            <v>825</v>
          </cell>
        </row>
        <row r="773">
          <cell r="E773" t="str">
            <v>AC269</v>
          </cell>
          <cell r="G773" t="str">
            <v>10.188.28.51</v>
          </cell>
          <cell r="H773" t="str">
            <v>10.188.28.1</v>
          </cell>
          <cell r="I773" t="str">
            <v>/26</v>
          </cell>
          <cell r="J773">
            <v>805</v>
          </cell>
          <cell r="K773" t="str">
            <v>10.188.30.51</v>
          </cell>
          <cell r="L773" t="str">
            <v>10.188.30.1</v>
          </cell>
          <cell r="M773" t="str">
            <v>/26</v>
          </cell>
          <cell r="N773">
            <v>815</v>
          </cell>
          <cell r="O773" t="str">
            <v>10.188.32.51</v>
          </cell>
          <cell r="P773" t="str">
            <v>10.188.32.1</v>
          </cell>
          <cell r="Q773" t="str">
            <v>/26</v>
          </cell>
          <cell r="R773">
            <v>825</v>
          </cell>
        </row>
        <row r="774">
          <cell r="E774" t="str">
            <v>AC269</v>
          </cell>
          <cell r="G774" t="str">
            <v>10.188.28.52</v>
          </cell>
          <cell r="H774" t="str">
            <v>10.188.28.1</v>
          </cell>
          <cell r="I774" t="str">
            <v>/26</v>
          </cell>
          <cell r="J774">
            <v>805</v>
          </cell>
          <cell r="K774" t="str">
            <v>10.188.30.52</v>
          </cell>
          <cell r="L774" t="str">
            <v>10.188.30.1</v>
          </cell>
          <cell r="M774" t="str">
            <v>/26</v>
          </cell>
          <cell r="N774">
            <v>815</v>
          </cell>
          <cell r="O774" t="str">
            <v>10.188.32.52</v>
          </cell>
          <cell r="P774" t="str">
            <v>10.188.32.1</v>
          </cell>
          <cell r="Q774" t="str">
            <v>/26</v>
          </cell>
          <cell r="R774">
            <v>825</v>
          </cell>
        </row>
        <row r="775">
          <cell r="E775" t="str">
            <v>AC269</v>
          </cell>
          <cell r="G775" t="str">
            <v>10.188.28.53</v>
          </cell>
          <cell r="H775" t="str">
            <v>10.188.28.1</v>
          </cell>
          <cell r="I775" t="str">
            <v>/26</v>
          </cell>
          <cell r="J775">
            <v>805</v>
          </cell>
          <cell r="K775" t="str">
            <v>10.188.30.53</v>
          </cell>
          <cell r="L775" t="str">
            <v>10.188.30.1</v>
          </cell>
          <cell r="M775" t="str">
            <v>/26</v>
          </cell>
          <cell r="N775">
            <v>815</v>
          </cell>
          <cell r="O775" t="str">
            <v>10.188.32.53</v>
          </cell>
          <cell r="P775" t="str">
            <v>10.188.32.1</v>
          </cell>
          <cell r="Q775" t="str">
            <v>/26</v>
          </cell>
          <cell r="R775">
            <v>825</v>
          </cell>
        </row>
        <row r="776">
          <cell r="E776" t="str">
            <v>AC269</v>
          </cell>
          <cell r="G776" t="str">
            <v>10.188.28.54</v>
          </cell>
          <cell r="H776" t="str">
            <v>10.188.28.1</v>
          </cell>
          <cell r="I776" t="str">
            <v>/26</v>
          </cell>
          <cell r="J776">
            <v>805</v>
          </cell>
          <cell r="K776" t="str">
            <v>10.188.30.54</v>
          </cell>
          <cell r="L776" t="str">
            <v>10.188.30.1</v>
          </cell>
          <cell r="M776" t="str">
            <v>/26</v>
          </cell>
          <cell r="N776">
            <v>815</v>
          </cell>
          <cell r="O776" t="str">
            <v>10.188.32.54</v>
          </cell>
          <cell r="P776" t="str">
            <v>10.188.32.1</v>
          </cell>
          <cell r="Q776" t="str">
            <v>/26</v>
          </cell>
          <cell r="R776">
            <v>825</v>
          </cell>
        </row>
        <row r="777">
          <cell r="E777" t="str">
            <v>AC269</v>
          </cell>
          <cell r="G777" t="str">
            <v>10.188.28.55</v>
          </cell>
          <cell r="H777" t="str">
            <v>10.188.28.1</v>
          </cell>
          <cell r="I777" t="str">
            <v>/26</v>
          </cell>
          <cell r="J777">
            <v>805</v>
          </cell>
          <cell r="K777" t="str">
            <v>10.188.30.55</v>
          </cell>
          <cell r="L777" t="str">
            <v>10.188.30.1</v>
          </cell>
          <cell r="M777" t="str">
            <v>/26</v>
          </cell>
          <cell r="N777">
            <v>815</v>
          </cell>
          <cell r="O777" t="str">
            <v>10.188.32.55</v>
          </cell>
          <cell r="P777" t="str">
            <v>10.188.32.1</v>
          </cell>
          <cell r="Q777" t="str">
            <v>/26</v>
          </cell>
          <cell r="R777">
            <v>825</v>
          </cell>
        </row>
        <row r="778">
          <cell r="E778" t="str">
            <v>AC269</v>
          </cell>
          <cell r="G778" t="str">
            <v>10.188.28.56</v>
          </cell>
          <cell r="H778" t="str">
            <v>10.188.28.1</v>
          </cell>
          <cell r="I778" t="str">
            <v>/26</v>
          </cell>
          <cell r="J778">
            <v>805</v>
          </cell>
          <cell r="K778" t="str">
            <v>10.188.30.56</v>
          </cell>
          <cell r="L778" t="str">
            <v>10.188.30.1</v>
          </cell>
          <cell r="M778" t="str">
            <v>/26</v>
          </cell>
          <cell r="N778">
            <v>815</v>
          </cell>
          <cell r="O778" t="str">
            <v>10.188.32.56</v>
          </cell>
          <cell r="P778" t="str">
            <v>10.188.32.1</v>
          </cell>
          <cell r="Q778" t="str">
            <v>/26</v>
          </cell>
          <cell r="R778">
            <v>825</v>
          </cell>
        </row>
        <row r="779">
          <cell r="E779" t="str">
            <v>AC269</v>
          </cell>
          <cell r="G779" t="str">
            <v>10.188.28.57</v>
          </cell>
          <cell r="H779" t="str">
            <v>10.188.28.1</v>
          </cell>
          <cell r="I779" t="str">
            <v>/26</v>
          </cell>
          <cell r="J779">
            <v>805</v>
          </cell>
          <cell r="K779" t="str">
            <v>10.188.30.57</v>
          </cell>
          <cell r="L779" t="str">
            <v>10.188.30.1</v>
          </cell>
          <cell r="M779" t="str">
            <v>/26</v>
          </cell>
          <cell r="N779">
            <v>815</v>
          </cell>
          <cell r="O779" t="str">
            <v>10.188.32.57</v>
          </cell>
          <cell r="P779" t="str">
            <v>10.188.32.1</v>
          </cell>
          <cell r="Q779" t="str">
            <v>/26</v>
          </cell>
          <cell r="R779">
            <v>825</v>
          </cell>
        </row>
        <row r="780">
          <cell r="E780" t="str">
            <v>AC269</v>
          </cell>
          <cell r="G780" t="str">
            <v>10.188.28.58</v>
          </cell>
          <cell r="H780" t="str">
            <v>10.188.28.1</v>
          </cell>
          <cell r="I780" t="str">
            <v>/26</v>
          </cell>
          <cell r="J780">
            <v>805</v>
          </cell>
          <cell r="K780" t="str">
            <v>10.188.30.58</v>
          </cell>
          <cell r="L780" t="str">
            <v>10.188.30.1</v>
          </cell>
          <cell r="M780" t="str">
            <v>/26</v>
          </cell>
          <cell r="N780">
            <v>815</v>
          </cell>
          <cell r="O780" t="str">
            <v>10.188.32.58</v>
          </cell>
          <cell r="P780" t="str">
            <v>10.188.32.1</v>
          </cell>
          <cell r="Q780" t="str">
            <v>/26</v>
          </cell>
          <cell r="R780">
            <v>825</v>
          </cell>
        </row>
        <row r="781">
          <cell r="E781" t="str">
            <v>AC269</v>
          </cell>
          <cell r="G781" t="str">
            <v>10.188.28.59</v>
          </cell>
          <cell r="H781" t="str">
            <v>10.188.28.1</v>
          </cell>
          <cell r="I781" t="str">
            <v>/26</v>
          </cell>
          <cell r="J781">
            <v>805</v>
          </cell>
          <cell r="K781" t="str">
            <v>10.188.30.59</v>
          </cell>
          <cell r="L781" t="str">
            <v>10.188.30.1</v>
          </cell>
          <cell r="M781" t="str">
            <v>/26</v>
          </cell>
          <cell r="N781">
            <v>815</v>
          </cell>
          <cell r="O781" t="str">
            <v>10.188.32.59</v>
          </cell>
          <cell r="P781" t="str">
            <v>10.188.32.1</v>
          </cell>
          <cell r="Q781" t="str">
            <v>/26</v>
          </cell>
          <cell r="R781">
            <v>825</v>
          </cell>
        </row>
        <row r="782">
          <cell r="E782" t="str">
            <v>AC269</v>
          </cell>
          <cell r="G782" t="str">
            <v>10.188.28.60</v>
          </cell>
          <cell r="H782" t="str">
            <v>10.188.28.1</v>
          </cell>
          <cell r="I782" t="str">
            <v>/26</v>
          </cell>
          <cell r="J782">
            <v>805</v>
          </cell>
          <cell r="K782" t="str">
            <v>10.188.30.60</v>
          </cell>
          <cell r="L782" t="str">
            <v>10.188.30.1</v>
          </cell>
          <cell r="M782" t="str">
            <v>/26</v>
          </cell>
          <cell r="N782">
            <v>815</v>
          </cell>
          <cell r="O782" t="str">
            <v>10.188.32.60</v>
          </cell>
          <cell r="P782" t="str">
            <v>10.188.32.1</v>
          </cell>
          <cell r="Q782" t="str">
            <v>/26</v>
          </cell>
          <cell r="R782">
            <v>825</v>
          </cell>
        </row>
        <row r="783">
          <cell r="E783" t="str">
            <v>AC269</v>
          </cell>
          <cell r="G783" t="str">
            <v>10.188.28.61</v>
          </cell>
          <cell r="H783" t="str">
            <v>10.188.28.1</v>
          </cell>
          <cell r="I783" t="str">
            <v>/26</v>
          </cell>
          <cell r="J783">
            <v>805</v>
          </cell>
          <cell r="K783" t="str">
            <v>10.188.30.61</v>
          </cell>
          <cell r="L783" t="str">
            <v>10.188.30.1</v>
          </cell>
          <cell r="M783" t="str">
            <v>/26</v>
          </cell>
          <cell r="N783">
            <v>815</v>
          </cell>
          <cell r="O783" t="str">
            <v>10.188.32.61</v>
          </cell>
          <cell r="P783" t="str">
            <v>10.188.32.1</v>
          </cell>
          <cell r="Q783" t="str">
            <v>/26</v>
          </cell>
          <cell r="R783">
            <v>825</v>
          </cell>
        </row>
        <row r="784">
          <cell r="E784" t="str">
            <v>AC269</v>
          </cell>
          <cell r="G784" t="str">
            <v>10.188.28.62</v>
          </cell>
          <cell r="H784" t="str">
            <v>10.188.28.1</v>
          </cell>
          <cell r="I784" t="str">
            <v>/26</v>
          </cell>
          <cell r="J784">
            <v>805</v>
          </cell>
          <cell r="K784" t="str">
            <v>10.188.30.62</v>
          </cell>
          <cell r="L784" t="str">
            <v>10.188.30.1</v>
          </cell>
          <cell r="M784" t="str">
            <v>/26</v>
          </cell>
          <cell r="N784">
            <v>815</v>
          </cell>
          <cell r="O784" t="str">
            <v>10.188.32.62</v>
          </cell>
          <cell r="P784" t="str">
            <v>10.188.32.1</v>
          </cell>
          <cell r="Q784" t="str">
            <v>/26</v>
          </cell>
          <cell r="R784">
            <v>825</v>
          </cell>
        </row>
        <row r="785">
          <cell r="E785" t="str">
            <v>AC269</v>
          </cell>
          <cell r="G785" t="str">
            <v>10.188.28.63</v>
          </cell>
          <cell r="H785" t="str">
            <v>10.188.28.1</v>
          </cell>
          <cell r="I785" t="str">
            <v>/26</v>
          </cell>
          <cell r="J785">
            <v>805</v>
          </cell>
          <cell r="K785" t="str">
            <v>10.188.30.63</v>
          </cell>
          <cell r="L785" t="str">
            <v>10.188.30.1</v>
          </cell>
          <cell r="M785" t="str">
            <v>/26</v>
          </cell>
          <cell r="N785">
            <v>815</v>
          </cell>
          <cell r="O785" t="str">
            <v>10.188.32.63</v>
          </cell>
          <cell r="P785" t="str">
            <v>10.188.32.1</v>
          </cell>
          <cell r="Q785" t="str">
            <v>/26</v>
          </cell>
          <cell r="R785">
            <v>825</v>
          </cell>
        </row>
        <row r="786">
          <cell r="E786" t="str">
            <v>AC270</v>
          </cell>
          <cell r="G786" t="str">
            <v>10.186.192.208</v>
          </cell>
          <cell r="H786" t="str">
            <v>10.186.192.209</v>
          </cell>
          <cell r="I786" t="str">
            <v>/28</v>
          </cell>
          <cell r="J786">
            <v>803</v>
          </cell>
          <cell r="K786" t="str">
            <v>10.186.212.208</v>
          </cell>
          <cell r="L786" t="str">
            <v>10.186.212.209</v>
          </cell>
          <cell r="M786" t="str">
            <v>/28</v>
          </cell>
          <cell r="N786">
            <v>813</v>
          </cell>
          <cell r="O786" t="str">
            <v>10.186.222.208</v>
          </cell>
          <cell r="P786" t="str">
            <v>10.186.222.209</v>
          </cell>
          <cell r="Q786" t="str">
            <v>/28</v>
          </cell>
          <cell r="R786">
            <v>823</v>
          </cell>
        </row>
        <row r="787">
          <cell r="E787" t="str">
            <v>AC270</v>
          </cell>
          <cell r="G787" t="str">
            <v>10.186.192.209</v>
          </cell>
          <cell r="H787" t="str">
            <v>10.186.192.209</v>
          </cell>
          <cell r="I787" t="str">
            <v>/28</v>
          </cell>
          <cell r="J787">
            <v>803</v>
          </cell>
          <cell r="K787" t="str">
            <v>10.186.212.209</v>
          </cell>
          <cell r="L787" t="str">
            <v>10.186.212.209</v>
          </cell>
          <cell r="M787" t="str">
            <v>/28</v>
          </cell>
          <cell r="N787">
            <v>813</v>
          </cell>
          <cell r="O787" t="str">
            <v>10.186.222.209</v>
          </cell>
          <cell r="P787" t="str">
            <v>10.186.222.209</v>
          </cell>
          <cell r="Q787" t="str">
            <v>/28</v>
          </cell>
          <cell r="R787">
            <v>823</v>
          </cell>
        </row>
        <row r="788">
          <cell r="E788" t="str">
            <v>AC270</v>
          </cell>
          <cell r="F788" t="str">
            <v>AC270</v>
          </cell>
          <cell r="G788" t="str">
            <v>10.186.192.210</v>
          </cell>
          <cell r="H788" t="str">
            <v>10.186.192.209</v>
          </cell>
          <cell r="I788" t="str">
            <v>/28</v>
          </cell>
          <cell r="J788">
            <v>803</v>
          </cell>
          <cell r="K788" t="str">
            <v>10.186.212.210</v>
          </cell>
          <cell r="L788" t="str">
            <v>10.186.212.209</v>
          </cell>
          <cell r="M788" t="str">
            <v>/28</v>
          </cell>
          <cell r="N788">
            <v>813</v>
          </cell>
          <cell r="O788" t="str">
            <v>10.186.222.210</v>
          </cell>
          <cell r="P788" t="str">
            <v>10.186.222.209</v>
          </cell>
          <cell r="Q788" t="str">
            <v>/28</v>
          </cell>
          <cell r="R788">
            <v>823</v>
          </cell>
        </row>
        <row r="789">
          <cell r="E789" t="str">
            <v>AC270</v>
          </cell>
          <cell r="F789" t="str">
            <v>ET841</v>
          </cell>
          <cell r="G789" t="str">
            <v>10.186.192.211</v>
          </cell>
          <cell r="H789" t="str">
            <v>10.186.192.209</v>
          </cell>
          <cell r="I789" t="str">
            <v>/28</v>
          </cell>
          <cell r="J789">
            <v>803</v>
          </cell>
          <cell r="K789" t="str">
            <v>10.186.212.211</v>
          </cell>
          <cell r="L789" t="str">
            <v>10.186.212.209</v>
          </cell>
          <cell r="M789" t="str">
            <v>/28</v>
          </cell>
          <cell r="N789">
            <v>813</v>
          </cell>
          <cell r="O789" t="str">
            <v>10.186.222.211</v>
          </cell>
          <cell r="P789" t="str">
            <v>10.186.222.209</v>
          </cell>
          <cell r="Q789" t="str">
            <v>/28</v>
          </cell>
          <cell r="R789">
            <v>823</v>
          </cell>
        </row>
        <row r="790">
          <cell r="E790" t="str">
            <v>AC270</v>
          </cell>
          <cell r="F790" t="str">
            <v>AC535</v>
          </cell>
          <cell r="G790" t="str">
            <v>10.186.192.212</v>
          </cell>
          <cell r="H790" t="str">
            <v>10.186.192.209</v>
          </cell>
          <cell r="I790" t="str">
            <v>/28</v>
          </cell>
          <cell r="J790">
            <v>803</v>
          </cell>
          <cell r="K790" t="str">
            <v>10.186.212.212</v>
          </cell>
          <cell r="L790" t="str">
            <v>10.186.212.209</v>
          </cell>
          <cell r="M790" t="str">
            <v>/28</v>
          </cell>
          <cell r="N790">
            <v>813</v>
          </cell>
          <cell r="O790" t="str">
            <v>10.186.222.212</v>
          </cell>
          <cell r="P790" t="str">
            <v>10.186.222.209</v>
          </cell>
          <cell r="Q790" t="str">
            <v>/28</v>
          </cell>
          <cell r="R790">
            <v>823</v>
          </cell>
        </row>
        <row r="791">
          <cell r="E791" t="str">
            <v>AC270</v>
          </cell>
          <cell r="F791" t="str">
            <v>ET487</v>
          </cell>
          <cell r="G791" t="str">
            <v>10.186.192.213</v>
          </cell>
          <cell r="H791" t="str">
            <v>10.186.192.209</v>
          </cell>
          <cell r="I791" t="str">
            <v>/28</v>
          </cell>
          <cell r="J791">
            <v>803</v>
          </cell>
          <cell r="K791" t="str">
            <v>10.186.212.213</v>
          </cell>
          <cell r="L791" t="str">
            <v>10.186.212.209</v>
          </cell>
          <cell r="M791" t="str">
            <v>/28</v>
          </cell>
          <cell r="N791">
            <v>813</v>
          </cell>
          <cell r="O791" t="str">
            <v>10.186.222.213</v>
          </cell>
          <cell r="P791" t="str">
            <v>10.186.222.209</v>
          </cell>
          <cell r="Q791" t="str">
            <v>/28</v>
          </cell>
          <cell r="R791">
            <v>823</v>
          </cell>
        </row>
        <row r="792">
          <cell r="E792" t="str">
            <v>AC270</v>
          </cell>
          <cell r="F792" t="str">
            <v>AC535</v>
          </cell>
          <cell r="G792" t="str">
            <v>10.186.192.214</v>
          </cell>
          <cell r="H792" t="str">
            <v>10.186.192.209</v>
          </cell>
          <cell r="I792" t="str">
            <v>/28</v>
          </cell>
          <cell r="J792">
            <v>803</v>
          </cell>
          <cell r="K792" t="str">
            <v>10.186.212.214</v>
          </cell>
          <cell r="L792" t="str">
            <v>10.186.212.209</v>
          </cell>
          <cell r="M792" t="str">
            <v>/28</v>
          </cell>
          <cell r="N792">
            <v>813</v>
          </cell>
          <cell r="O792" t="str">
            <v>10.186.222.214</v>
          </cell>
          <cell r="P792" t="str">
            <v>10.186.222.209</v>
          </cell>
          <cell r="Q792" t="str">
            <v>/28</v>
          </cell>
          <cell r="R792">
            <v>823</v>
          </cell>
        </row>
        <row r="793">
          <cell r="E793" t="str">
            <v>AC270</v>
          </cell>
          <cell r="F793" t="str">
            <v>ET198</v>
          </cell>
          <cell r="G793" t="str">
            <v>10.186.192.215</v>
          </cell>
          <cell r="H793" t="str">
            <v>10.186.192.209</v>
          </cell>
          <cell r="I793" t="str">
            <v>/28</v>
          </cell>
          <cell r="J793">
            <v>803</v>
          </cell>
          <cell r="K793" t="str">
            <v>10.186.212.215</v>
          </cell>
          <cell r="L793" t="str">
            <v>10.186.212.209</v>
          </cell>
          <cell r="M793" t="str">
            <v>/28</v>
          </cell>
          <cell r="N793">
            <v>813</v>
          </cell>
          <cell r="O793" t="str">
            <v>10.186.222.215</v>
          </cell>
          <cell r="P793" t="str">
            <v>10.186.222.209</v>
          </cell>
          <cell r="Q793" t="str">
            <v>/28</v>
          </cell>
          <cell r="R793">
            <v>823</v>
          </cell>
        </row>
        <row r="794">
          <cell r="E794" t="str">
            <v>AC270</v>
          </cell>
          <cell r="F794" t="str">
            <v>ET198</v>
          </cell>
          <cell r="G794" t="str">
            <v>10.186.192.216</v>
          </cell>
          <cell r="H794" t="str">
            <v>10.186.192.209</v>
          </cell>
          <cell r="I794" t="str">
            <v>/28</v>
          </cell>
          <cell r="J794">
            <v>803</v>
          </cell>
          <cell r="K794" t="str">
            <v>10.186.212.216</v>
          </cell>
          <cell r="L794" t="str">
            <v>10.186.212.209</v>
          </cell>
          <cell r="M794" t="str">
            <v>/28</v>
          </cell>
          <cell r="N794">
            <v>813</v>
          </cell>
          <cell r="O794" t="str">
            <v>10.186.222.216</v>
          </cell>
          <cell r="P794" t="str">
            <v>10.186.222.209</v>
          </cell>
          <cell r="Q794" t="str">
            <v>/28</v>
          </cell>
          <cell r="R794">
            <v>823</v>
          </cell>
        </row>
        <row r="795">
          <cell r="E795" t="str">
            <v>AC270</v>
          </cell>
          <cell r="F795" t="str">
            <v>ET681</v>
          </cell>
          <cell r="G795" t="str">
            <v>10.186.192.217</v>
          </cell>
          <cell r="H795" t="str">
            <v>10.186.192.209</v>
          </cell>
          <cell r="I795" t="str">
            <v>/28</v>
          </cell>
          <cell r="J795">
            <v>803</v>
          </cell>
          <cell r="K795" t="str">
            <v>10.186.212.217</v>
          </cell>
          <cell r="L795" t="str">
            <v>10.186.212.209</v>
          </cell>
          <cell r="M795" t="str">
            <v>/28</v>
          </cell>
          <cell r="N795">
            <v>813</v>
          </cell>
          <cell r="O795" t="str">
            <v>10.186.222.217</v>
          </cell>
          <cell r="P795" t="str">
            <v>10.186.222.209</v>
          </cell>
          <cell r="Q795" t="str">
            <v>/28</v>
          </cell>
          <cell r="R795">
            <v>823</v>
          </cell>
        </row>
        <row r="796">
          <cell r="E796" t="str">
            <v>AC270</v>
          </cell>
          <cell r="F796" t="str">
            <v>ET681</v>
          </cell>
          <cell r="G796" t="str">
            <v>10.186.192.218</v>
          </cell>
          <cell r="H796" t="str">
            <v>10.186.192.209</v>
          </cell>
          <cell r="I796" t="str">
            <v>/28</v>
          </cell>
          <cell r="J796">
            <v>803</v>
          </cell>
          <cell r="K796" t="str">
            <v>10.186.212.218</v>
          </cell>
          <cell r="L796" t="str">
            <v>10.186.212.209</v>
          </cell>
          <cell r="M796" t="str">
            <v>/28</v>
          </cell>
          <cell r="N796">
            <v>813</v>
          </cell>
          <cell r="O796" t="str">
            <v>10.186.222.218</v>
          </cell>
          <cell r="P796" t="str">
            <v>10.186.222.209</v>
          </cell>
          <cell r="Q796" t="str">
            <v>/28</v>
          </cell>
          <cell r="R796">
            <v>823</v>
          </cell>
        </row>
        <row r="797">
          <cell r="E797" t="str">
            <v>AC270</v>
          </cell>
          <cell r="F797" t="str">
            <v>ET198</v>
          </cell>
          <cell r="G797" t="str">
            <v>10.186.192.219</v>
          </cell>
          <cell r="H797" t="str">
            <v>10.186.192.209</v>
          </cell>
          <cell r="I797" t="str">
            <v>/28</v>
          </cell>
          <cell r="J797">
            <v>803</v>
          </cell>
          <cell r="K797" t="str">
            <v>10.186.212.219</v>
          </cell>
          <cell r="L797" t="str">
            <v>10.186.212.209</v>
          </cell>
          <cell r="M797" t="str">
            <v>/28</v>
          </cell>
          <cell r="N797">
            <v>813</v>
          </cell>
          <cell r="O797" t="str">
            <v>10.186.222.219</v>
          </cell>
          <cell r="P797" t="str">
            <v>10.186.222.209</v>
          </cell>
          <cell r="Q797" t="str">
            <v>/28</v>
          </cell>
          <cell r="R797">
            <v>823</v>
          </cell>
        </row>
        <row r="798">
          <cell r="E798" t="str">
            <v>AC270</v>
          </cell>
          <cell r="F798" t="str">
            <v>ET674</v>
          </cell>
          <cell r="G798" t="str">
            <v>10.186.192.220</v>
          </cell>
          <cell r="H798" t="str">
            <v>10.186.192.209</v>
          </cell>
          <cell r="I798" t="str">
            <v>/28</v>
          </cell>
          <cell r="J798">
            <v>803</v>
          </cell>
          <cell r="K798" t="str">
            <v>10.186.212.220</v>
          </cell>
          <cell r="L798" t="str">
            <v>10.186.212.209</v>
          </cell>
          <cell r="M798" t="str">
            <v>/28</v>
          </cell>
          <cell r="N798">
            <v>813</v>
          </cell>
          <cell r="O798" t="str">
            <v>10.186.222.220</v>
          </cell>
          <cell r="P798" t="str">
            <v>10.186.222.209</v>
          </cell>
          <cell r="Q798" t="str">
            <v>/28</v>
          </cell>
          <cell r="R798">
            <v>823</v>
          </cell>
        </row>
        <row r="799">
          <cell r="E799" t="str">
            <v>AC270</v>
          </cell>
          <cell r="F799" t="str">
            <v>ET674</v>
          </cell>
          <cell r="G799" t="str">
            <v>10.186.192.221</v>
          </cell>
          <cell r="H799" t="str">
            <v>10.186.192.209</v>
          </cell>
          <cell r="I799" t="str">
            <v>/28</v>
          </cell>
          <cell r="J799">
            <v>803</v>
          </cell>
          <cell r="K799" t="str">
            <v>10.186.212.221</v>
          </cell>
          <cell r="L799" t="str">
            <v>10.186.212.209</v>
          </cell>
          <cell r="M799" t="str">
            <v>/28</v>
          </cell>
          <cell r="N799">
            <v>813</v>
          </cell>
          <cell r="O799" t="str">
            <v>10.186.222.221</v>
          </cell>
          <cell r="P799" t="str">
            <v>10.186.222.209</v>
          </cell>
          <cell r="Q799" t="str">
            <v>/28</v>
          </cell>
          <cell r="R799">
            <v>823</v>
          </cell>
        </row>
        <row r="800">
          <cell r="E800" t="str">
            <v>AC270</v>
          </cell>
          <cell r="F800" t="str">
            <v>ET841</v>
          </cell>
          <cell r="G800" t="str">
            <v>10.186.192.222</v>
          </cell>
          <cell r="H800" t="str">
            <v>10.186.192.209</v>
          </cell>
          <cell r="I800" t="str">
            <v>/28</v>
          </cell>
          <cell r="J800">
            <v>803</v>
          </cell>
          <cell r="K800" t="str">
            <v>10.186.212.222</v>
          </cell>
          <cell r="L800" t="str">
            <v>10.186.212.209</v>
          </cell>
          <cell r="M800" t="str">
            <v>/28</v>
          </cell>
          <cell r="N800">
            <v>813</v>
          </cell>
          <cell r="O800" t="str">
            <v>10.186.222.222</v>
          </cell>
          <cell r="P800" t="str">
            <v>10.186.222.209</v>
          </cell>
          <cell r="Q800" t="str">
            <v>/28</v>
          </cell>
          <cell r="R800">
            <v>823</v>
          </cell>
        </row>
        <row r="801">
          <cell r="E801" t="str">
            <v>AC270</v>
          </cell>
          <cell r="G801" t="str">
            <v>10.186.192.223</v>
          </cell>
          <cell r="H801" t="str">
            <v>10.186.192.209</v>
          </cell>
          <cell r="I801" t="str">
            <v>/28</v>
          </cell>
          <cell r="J801">
            <v>803</v>
          </cell>
          <cell r="K801" t="str">
            <v>10.186.212.223</v>
          </cell>
          <cell r="L801" t="str">
            <v>10.186.212.209</v>
          </cell>
          <cell r="M801" t="str">
            <v>/28</v>
          </cell>
          <cell r="N801">
            <v>813</v>
          </cell>
          <cell r="O801" t="str">
            <v>10.186.222.223</v>
          </cell>
          <cell r="P801" t="str">
            <v>10.186.222.209</v>
          </cell>
          <cell r="Q801" t="str">
            <v>/28</v>
          </cell>
          <cell r="R801">
            <v>823</v>
          </cell>
        </row>
        <row r="802">
          <cell r="E802" t="str">
            <v>AC270</v>
          </cell>
          <cell r="G802" t="str">
            <v>10.187.212.128</v>
          </cell>
          <cell r="H802" t="str">
            <v>10.187.212.129</v>
          </cell>
          <cell r="I802" t="str">
            <v>/27</v>
          </cell>
          <cell r="J802">
            <v>806</v>
          </cell>
          <cell r="K802" t="str">
            <v>10.187.213.128</v>
          </cell>
          <cell r="L802" t="str">
            <v>10.187.213.129</v>
          </cell>
          <cell r="M802" t="str">
            <v>/27</v>
          </cell>
          <cell r="N802">
            <v>816</v>
          </cell>
          <cell r="O802" t="str">
            <v>10.187.214.128</v>
          </cell>
          <cell r="P802" t="str">
            <v>10.187.214.129</v>
          </cell>
          <cell r="Q802" t="str">
            <v>/27</v>
          </cell>
          <cell r="R802">
            <v>826</v>
          </cell>
        </row>
        <row r="803">
          <cell r="E803" t="str">
            <v>AC270</v>
          </cell>
          <cell r="G803" t="str">
            <v>10.187.212.129</v>
          </cell>
          <cell r="H803" t="str">
            <v>10.187.212.129</v>
          </cell>
          <cell r="I803" t="str">
            <v>/27</v>
          </cell>
          <cell r="J803">
            <v>806</v>
          </cell>
          <cell r="K803" t="str">
            <v>10.187.213.129</v>
          </cell>
          <cell r="L803" t="str">
            <v>10.187.213.129</v>
          </cell>
          <cell r="M803" t="str">
            <v>/27</v>
          </cell>
          <cell r="N803">
            <v>816</v>
          </cell>
          <cell r="O803" t="str">
            <v>10.187.214.129</v>
          </cell>
          <cell r="P803" t="str">
            <v>10.187.214.129</v>
          </cell>
          <cell r="Q803" t="str">
            <v>/27</v>
          </cell>
          <cell r="R803">
            <v>826</v>
          </cell>
        </row>
        <row r="804">
          <cell r="E804" t="str">
            <v>AC270</v>
          </cell>
          <cell r="F804" t="str">
            <v>IM305</v>
          </cell>
          <cell r="G804" t="str">
            <v>10.187.212.130</v>
          </cell>
          <cell r="H804" t="str">
            <v>10.187.212.129</v>
          </cell>
          <cell r="I804" t="str">
            <v>/27</v>
          </cell>
          <cell r="J804">
            <v>806</v>
          </cell>
          <cell r="K804" t="str">
            <v>10.187.213.130</v>
          </cell>
          <cell r="L804" t="str">
            <v>10.187.213.129</v>
          </cell>
          <cell r="M804" t="str">
            <v>/27</v>
          </cell>
          <cell r="N804">
            <v>816</v>
          </cell>
          <cell r="O804" t="str">
            <v>10.187.214.130</v>
          </cell>
          <cell r="P804" t="str">
            <v>10.187.214.129</v>
          </cell>
          <cell r="Q804" t="str">
            <v>/27</v>
          </cell>
          <cell r="R804">
            <v>826</v>
          </cell>
        </row>
        <row r="805">
          <cell r="E805" t="str">
            <v>AC270</v>
          </cell>
          <cell r="F805" t="str">
            <v>IM305</v>
          </cell>
          <cell r="G805" t="str">
            <v>10.187.212.131</v>
          </cell>
          <cell r="H805" t="str">
            <v>10.187.212.129</v>
          </cell>
          <cell r="I805" t="str">
            <v>/27</v>
          </cell>
          <cell r="J805">
            <v>806</v>
          </cell>
          <cell r="K805" t="str">
            <v>10.187.213.131</v>
          </cell>
          <cell r="L805" t="str">
            <v>10.187.213.129</v>
          </cell>
          <cell r="M805" t="str">
            <v>/27</v>
          </cell>
          <cell r="N805">
            <v>816</v>
          </cell>
          <cell r="O805" t="str">
            <v>10.187.214.131</v>
          </cell>
          <cell r="P805" t="str">
            <v>10.187.214.129</v>
          </cell>
          <cell r="Q805" t="str">
            <v>/27</v>
          </cell>
          <cell r="R805">
            <v>826</v>
          </cell>
        </row>
        <row r="806">
          <cell r="E806" t="str">
            <v>AC270</v>
          </cell>
          <cell r="G806" t="str">
            <v>10.187.212.132</v>
          </cell>
          <cell r="H806" t="str">
            <v>10.187.212.129</v>
          </cell>
          <cell r="I806" t="str">
            <v>/27</v>
          </cell>
          <cell r="J806">
            <v>806</v>
          </cell>
          <cell r="K806" t="str">
            <v>10.187.213.132</v>
          </cell>
          <cell r="L806" t="str">
            <v>10.187.213.129</v>
          </cell>
          <cell r="M806" t="str">
            <v>/27</v>
          </cell>
          <cell r="N806">
            <v>816</v>
          </cell>
          <cell r="O806" t="str">
            <v>10.187.214.132</v>
          </cell>
          <cell r="P806" t="str">
            <v>10.187.214.129</v>
          </cell>
          <cell r="Q806" t="str">
            <v>/27</v>
          </cell>
          <cell r="R806">
            <v>826</v>
          </cell>
        </row>
        <row r="807">
          <cell r="E807" t="str">
            <v>AC270</v>
          </cell>
          <cell r="G807" t="str">
            <v>10.187.212.133</v>
          </cell>
          <cell r="H807" t="str">
            <v>10.187.212.129</v>
          </cell>
          <cell r="I807" t="str">
            <v>/27</v>
          </cell>
          <cell r="J807">
            <v>806</v>
          </cell>
          <cell r="K807" t="str">
            <v>10.187.213.133</v>
          </cell>
          <cell r="L807" t="str">
            <v>10.187.213.129</v>
          </cell>
          <cell r="M807" t="str">
            <v>/27</v>
          </cell>
          <cell r="N807">
            <v>816</v>
          </cell>
          <cell r="O807" t="str">
            <v>10.187.214.133</v>
          </cell>
          <cell r="P807" t="str">
            <v>10.187.214.129</v>
          </cell>
          <cell r="Q807" t="str">
            <v>/27</v>
          </cell>
          <cell r="R807">
            <v>826</v>
          </cell>
        </row>
        <row r="808">
          <cell r="E808" t="str">
            <v>AC270</v>
          </cell>
          <cell r="G808" t="str">
            <v>10.187.212.134</v>
          </cell>
          <cell r="H808" t="str">
            <v>10.187.212.129</v>
          </cell>
          <cell r="I808" t="str">
            <v>/27</v>
          </cell>
          <cell r="J808">
            <v>806</v>
          </cell>
          <cell r="K808" t="str">
            <v>10.187.213.134</v>
          </cell>
          <cell r="L808" t="str">
            <v>10.187.213.129</v>
          </cell>
          <cell r="M808" t="str">
            <v>/27</v>
          </cell>
          <cell r="N808">
            <v>816</v>
          </cell>
          <cell r="O808" t="str">
            <v>10.187.214.134</v>
          </cell>
          <cell r="P808" t="str">
            <v>10.187.214.129</v>
          </cell>
          <cell r="Q808" t="str">
            <v>/27</v>
          </cell>
          <cell r="R808">
            <v>826</v>
          </cell>
        </row>
        <row r="809">
          <cell r="E809" t="str">
            <v>AC270</v>
          </cell>
          <cell r="G809" t="str">
            <v>10.187.212.135</v>
          </cell>
          <cell r="H809" t="str">
            <v>10.187.212.129</v>
          </cell>
          <cell r="I809" t="str">
            <v>/27</v>
          </cell>
          <cell r="J809">
            <v>806</v>
          </cell>
          <cell r="K809" t="str">
            <v>10.187.213.135</v>
          </cell>
          <cell r="L809" t="str">
            <v>10.187.213.129</v>
          </cell>
          <cell r="M809" t="str">
            <v>/27</v>
          </cell>
          <cell r="N809">
            <v>816</v>
          </cell>
          <cell r="O809" t="str">
            <v>10.187.214.135</v>
          </cell>
          <cell r="P809" t="str">
            <v>10.187.214.129</v>
          </cell>
          <cell r="Q809" t="str">
            <v>/27</v>
          </cell>
          <cell r="R809">
            <v>826</v>
          </cell>
        </row>
        <row r="810">
          <cell r="E810" t="str">
            <v>AC270</v>
          </cell>
          <cell r="G810" t="str">
            <v>10.187.212.136</v>
          </cell>
          <cell r="H810" t="str">
            <v>10.187.212.129</v>
          </cell>
          <cell r="I810" t="str">
            <v>/27</v>
          </cell>
          <cell r="J810">
            <v>806</v>
          </cell>
          <cell r="K810" t="str">
            <v>10.187.213.136</v>
          </cell>
          <cell r="L810" t="str">
            <v>10.187.213.129</v>
          </cell>
          <cell r="M810" t="str">
            <v>/27</v>
          </cell>
          <cell r="N810">
            <v>816</v>
          </cell>
          <cell r="O810" t="str">
            <v>10.187.214.136</v>
          </cell>
          <cell r="P810" t="str">
            <v>10.187.214.129</v>
          </cell>
          <cell r="Q810" t="str">
            <v>/27</v>
          </cell>
          <cell r="R810">
            <v>826</v>
          </cell>
        </row>
        <row r="811">
          <cell r="E811" t="str">
            <v>AC270</v>
          </cell>
          <cell r="G811" t="str">
            <v>10.187.212.137</v>
          </cell>
          <cell r="H811" t="str">
            <v>10.187.212.129</v>
          </cell>
          <cell r="I811" t="str">
            <v>/27</v>
          </cell>
          <cell r="J811">
            <v>806</v>
          </cell>
          <cell r="K811" t="str">
            <v>10.187.213.137</v>
          </cell>
          <cell r="L811" t="str">
            <v>10.187.213.129</v>
          </cell>
          <cell r="M811" t="str">
            <v>/27</v>
          </cell>
          <cell r="N811">
            <v>816</v>
          </cell>
          <cell r="O811" t="str">
            <v>10.187.214.137</v>
          </cell>
          <cell r="P811" t="str">
            <v>10.187.214.129</v>
          </cell>
          <cell r="Q811" t="str">
            <v>/27</v>
          </cell>
          <cell r="R811">
            <v>826</v>
          </cell>
        </row>
        <row r="812">
          <cell r="E812" t="str">
            <v>AC270</v>
          </cell>
          <cell r="G812" t="str">
            <v>10.187.212.138</v>
          </cell>
          <cell r="H812" t="str">
            <v>10.187.212.129</v>
          </cell>
          <cell r="I812" t="str">
            <v>/27</v>
          </cell>
          <cell r="J812">
            <v>806</v>
          </cell>
          <cell r="K812" t="str">
            <v>10.187.213.138</v>
          </cell>
          <cell r="L812" t="str">
            <v>10.187.213.129</v>
          </cell>
          <cell r="M812" t="str">
            <v>/27</v>
          </cell>
          <cell r="N812">
            <v>816</v>
          </cell>
          <cell r="O812" t="str">
            <v>10.187.214.138</v>
          </cell>
          <cell r="P812" t="str">
            <v>10.187.214.129</v>
          </cell>
          <cell r="Q812" t="str">
            <v>/27</v>
          </cell>
          <cell r="R812">
            <v>826</v>
          </cell>
        </row>
        <row r="813">
          <cell r="E813" t="str">
            <v>AC270</v>
          </cell>
          <cell r="G813" t="str">
            <v>10.187.212.139</v>
          </cell>
          <cell r="H813" t="str">
            <v>10.187.212.129</v>
          </cell>
          <cell r="I813" t="str">
            <v>/27</v>
          </cell>
          <cell r="J813">
            <v>806</v>
          </cell>
          <cell r="K813" t="str">
            <v>10.187.213.139</v>
          </cell>
          <cell r="L813" t="str">
            <v>10.187.213.129</v>
          </cell>
          <cell r="M813" t="str">
            <v>/27</v>
          </cell>
          <cell r="N813">
            <v>816</v>
          </cell>
          <cell r="O813" t="str">
            <v>10.187.214.139</v>
          </cell>
          <cell r="P813" t="str">
            <v>10.187.214.129</v>
          </cell>
          <cell r="Q813" t="str">
            <v>/27</v>
          </cell>
          <cell r="R813">
            <v>826</v>
          </cell>
        </row>
        <row r="814">
          <cell r="E814" t="str">
            <v>AC270</v>
          </cell>
          <cell r="G814" t="str">
            <v>10.187.212.140</v>
          </cell>
          <cell r="H814" t="str">
            <v>10.187.212.129</v>
          </cell>
          <cell r="I814" t="str">
            <v>/27</v>
          </cell>
          <cell r="J814">
            <v>806</v>
          </cell>
          <cell r="K814" t="str">
            <v>10.187.213.140</v>
          </cell>
          <cell r="L814" t="str">
            <v>10.187.213.129</v>
          </cell>
          <cell r="M814" t="str">
            <v>/27</v>
          </cell>
          <cell r="N814">
            <v>816</v>
          </cell>
          <cell r="O814" t="str">
            <v>10.187.214.140</v>
          </cell>
          <cell r="P814" t="str">
            <v>10.187.214.129</v>
          </cell>
          <cell r="Q814" t="str">
            <v>/27</v>
          </cell>
          <cell r="R814">
            <v>826</v>
          </cell>
        </row>
        <row r="815">
          <cell r="E815" t="str">
            <v>AC270</v>
          </cell>
          <cell r="G815" t="str">
            <v>10.187.212.141</v>
          </cell>
          <cell r="H815" t="str">
            <v>10.187.212.129</v>
          </cell>
          <cell r="I815" t="str">
            <v>/27</v>
          </cell>
          <cell r="J815">
            <v>806</v>
          </cell>
          <cell r="K815" t="str">
            <v>10.187.213.141</v>
          </cell>
          <cell r="L815" t="str">
            <v>10.187.213.129</v>
          </cell>
          <cell r="M815" t="str">
            <v>/27</v>
          </cell>
          <cell r="N815">
            <v>816</v>
          </cell>
          <cell r="O815" t="str">
            <v>10.187.214.141</v>
          </cell>
          <cell r="P815" t="str">
            <v>10.187.214.129</v>
          </cell>
          <cell r="Q815" t="str">
            <v>/27</v>
          </cell>
          <cell r="R815">
            <v>826</v>
          </cell>
        </row>
        <row r="816">
          <cell r="E816" t="str">
            <v>AC270</v>
          </cell>
          <cell r="G816" t="str">
            <v>10.187.212.142</v>
          </cell>
          <cell r="H816" t="str">
            <v>10.187.212.129</v>
          </cell>
          <cell r="I816" t="str">
            <v>/27</v>
          </cell>
          <cell r="J816">
            <v>806</v>
          </cell>
          <cell r="K816" t="str">
            <v>10.187.213.142</v>
          </cell>
          <cell r="L816" t="str">
            <v>10.187.213.129</v>
          </cell>
          <cell r="M816" t="str">
            <v>/27</v>
          </cell>
          <cell r="N816">
            <v>816</v>
          </cell>
          <cell r="O816" t="str">
            <v>10.187.214.142</v>
          </cell>
          <cell r="P816" t="str">
            <v>10.187.214.129</v>
          </cell>
          <cell r="Q816" t="str">
            <v>/27</v>
          </cell>
          <cell r="R816">
            <v>826</v>
          </cell>
        </row>
        <row r="817">
          <cell r="E817" t="str">
            <v>AC270</v>
          </cell>
          <cell r="G817" t="str">
            <v>10.187.212.143</v>
          </cell>
          <cell r="H817" t="str">
            <v>10.187.212.129</v>
          </cell>
          <cell r="I817" t="str">
            <v>/27</v>
          </cell>
          <cell r="J817">
            <v>806</v>
          </cell>
          <cell r="K817" t="str">
            <v>10.187.213.143</v>
          </cell>
          <cell r="L817" t="str">
            <v>10.187.213.129</v>
          </cell>
          <cell r="M817" t="str">
            <v>/27</v>
          </cell>
          <cell r="N817">
            <v>816</v>
          </cell>
          <cell r="O817" t="str">
            <v>10.187.214.143</v>
          </cell>
          <cell r="P817" t="str">
            <v>10.187.214.129</v>
          </cell>
          <cell r="Q817" t="str">
            <v>/27</v>
          </cell>
          <cell r="R817">
            <v>826</v>
          </cell>
        </row>
        <row r="818">
          <cell r="E818" t="str">
            <v>AC270</v>
          </cell>
          <cell r="G818" t="str">
            <v>10.187.212.144</v>
          </cell>
          <cell r="H818" t="str">
            <v>10.187.212.129</v>
          </cell>
          <cell r="I818" t="str">
            <v>/27</v>
          </cell>
          <cell r="J818">
            <v>806</v>
          </cell>
          <cell r="K818" t="str">
            <v>10.187.213.144</v>
          </cell>
          <cell r="L818" t="str">
            <v>10.187.213.129</v>
          </cell>
          <cell r="M818" t="str">
            <v>/27</v>
          </cell>
          <cell r="N818">
            <v>816</v>
          </cell>
          <cell r="O818" t="str">
            <v>10.187.214.144</v>
          </cell>
          <cell r="P818" t="str">
            <v>10.187.214.129</v>
          </cell>
          <cell r="Q818" t="str">
            <v>/27</v>
          </cell>
          <cell r="R818">
            <v>826</v>
          </cell>
        </row>
        <row r="819">
          <cell r="E819" t="str">
            <v>AC270</v>
          </cell>
          <cell r="G819" t="str">
            <v>10.187.212.145</v>
          </cell>
          <cell r="H819" t="str">
            <v>10.187.212.129</v>
          </cell>
          <cell r="I819" t="str">
            <v>/27</v>
          </cell>
          <cell r="J819">
            <v>806</v>
          </cell>
          <cell r="K819" t="str">
            <v>10.187.213.145</v>
          </cell>
          <cell r="L819" t="str">
            <v>10.187.213.129</v>
          </cell>
          <cell r="M819" t="str">
            <v>/27</v>
          </cell>
          <cell r="N819">
            <v>816</v>
          </cell>
          <cell r="O819" t="str">
            <v>10.187.214.145</v>
          </cell>
          <cell r="P819" t="str">
            <v>10.187.214.129</v>
          </cell>
          <cell r="Q819" t="str">
            <v>/27</v>
          </cell>
          <cell r="R819">
            <v>826</v>
          </cell>
        </row>
        <row r="820">
          <cell r="E820" t="str">
            <v>AC270</v>
          </cell>
          <cell r="G820" t="str">
            <v>10.187.212.146</v>
          </cell>
          <cell r="H820" t="str">
            <v>10.187.212.129</v>
          </cell>
          <cell r="I820" t="str">
            <v>/27</v>
          </cell>
          <cell r="J820">
            <v>806</v>
          </cell>
          <cell r="K820" t="str">
            <v>10.187.213.146</v>
          </cell>
          <cell r="L820" t="str">
            <v>10.187.213.129</v>
          </cell>
          <cell r="M820" t="str">
            <v>/27</v>
          </cell>
          <cell r="N820">
            <v>816</v>
          </cell>
          <cell r="O820" t="str">
            <v>10.187.214.146</v>
          </cell>
          <cell r="P820" t="str">
            <v>10.187.214.129</v>
          </cell>
          <cell r="Q820" t="str">
            <v>/27</v>
          </cell>
          <cell r="R820">
            <v>826</v>
          </cell>
        </row>
        <row r="821">
          <cell r="E821" t="str">
            <v>AC270</v>
          </cell>
          <cell r="G821" t="str">
            <v>10.187.212.147</v>
          </cell>
          <cell r="H821" t="str">
            <v>10.187.212.129</v>
          </cell>
          <cell r="I821" t="str">
            <v>/27</v>
          </cell>
          <cell r="J821">
            <v>806</v>
          </cell>
          <cell r="K821" t="str">
            <v>10.187.213.147</v>
          </cell>
          <cell r="L821" t="str">
            <v>10.187.213.129</v>
          </cell>
          <cell r="M821" t="str">
            <v>/27</v>
          </cell>
          <cell r="N821">
            <v>816</v>
          </cell>
          <cell r="O821" t="str">
            <v>10.187.214.147</v>
          </cell>
          <cell r="P821" t="str">
            <v>10.187.214.129</v>
          </cell>
          <cell r="Q821" t="str">
            <v>/27</v>
          </cell>
          <cell r="R821">
            <v>826</v>
          </cell>
        </row>
        <row r="822">
          <cell r="E822" t="str">
            <v>AC270</v>
          </cell>
          <cell r="G822" t="str">
            <v>10.187.212.148</v>
          </cell>
          <cell r="H822" t="str">
            <v>10.187.212.129</v>
          </cell>
          <cell r="I822" t="str">
            <v>/27</v>
          </cell>
          <cell r="J822">
            <v>806</v>
          </cell>
          <cell r="K822" t="str">
            <v>10.187.213.148</v>
          </cell>
          <cell r="L822" t="str">
            <v>10.187.213.129</v>
          </cell>
          <cell r="M822" t="str">
            <v>/27</v>
          </cell>
          <cell r="N822">
            <v>816</v>
          </cell>
          <cell r="O822" t="str">
            <v>10.187.214.148</v>
          </cell>
          <cell r="P822" t="str">
            <v>10.187.214.129</v>
          </cell>
          <cell r="Q822" t="str">
            <v>/27</v>
          </cell>
          <cell r="R822">
            <v>826</v>
          </cell>
        </row>
        <row r="823">
          <cell r="E823" t="str">
            <v>AC270</v>
          </cell>
          <cell r="G823" t="str">
            <v>10.187.212.149</v>
          </cell>
          <cell r="H823" t="str">
            <v>10.187.212.129</v>
          </cell>
          <cell r="I823" t="str">
            <v>/27</v>
          </cell>
          <cell r="J823">
            <v>806</v>
          </cell>
          <cell r="K823" t="str">
            <v>10.187.213.149</v>
          </cell>
          <cell r="L823" t="str">
            <v>10.187.213.129</v>
          </cell>
          <cell r="M823" t="str">
            <v>/27</v>
          </cell>
          <cell r="N823">
            <v>816</v>
          </cell>
          <cell r="O823" t="str">
            <v>10.187.214.149</v>
          </cell>
          <cell r="P823" t="str">
            <v>10.187.214.129</v>
          </cell>
          <cell r="Q823" t="str">
            <v>/27</v>
          </cell>
          <cell r="R823">
            <v>826</v>
          </cell>
        </row>
        <row r="824">
          <cell r="E824" t="str">
            <v>AC270</v>
          </cell>
          <cell r="G824" t="str">
            <v>10.187.212.150</v>
          </cell>
          <cell r="H824" t="str">
            <v>10.187.212.129</v>
          </cell>
          <cell r="I824" t="str">
            <v>/27</v>
          </cell>
          <cell r="J824">
            <v>806</v>
          </cell>
          <cell r="K824" t="str">
            <v>10.187.213.150</v>
          </cell>
          <cell r="L824" t="str">
            <v>10.187.213.129</v>
          </cell>
          <cell r="M824" t="str">
            <v>/27</v>
          </cell>
          <cell r="N824">
            <v>816</v>
          </cell>
          <cell r="O824" t="str">
            <v>10.187.214.150</v>
          </cell>
          <cell r="P824" t="str">
            <v>10.187.214.129</v>
          </cell>
          <cell r="Q824" t="str">
            <v>/27</v>
          </cell>
          <cell r="R824">
            <v>826</v>
          </cell>
        </row>
        <row r="825">
          <cell r="E825" t="str">
            <v>AC270</v>
          </cell>
          <cell r="G825" t="str">
            <v>10.187.212.151</v>
          </cell>
          <cell r="H825" t="str">
            <v>10.187.212.129</v>
          </cell>
          <cell r="I825" t="str">
            <v>/27</v>
          </cell>
          <cell r="J825">
            <v>806</v>
          </cell>
          <cell r="K825" t="str">
            <v>10.187.213.151</v>
          </cell>
          <cell r="L825" t="str">
            <v>10.187.213.129</v>
          </cell>
          <cell r="M825" t="str">
            <v>/27</v>
          </cell>
          <cell r="N825">
            <v>816</v>
          </cell>
          <cell r="O825" t="str">
            <v>10.187.214.151</v>
          </cell>
          <cell r="P825" t="str">
            <v>10.187.214.129</v>
          </cell>
          <cell r="Q825" t="str">
            <v>/27</v>
          </cell>
          <cell r="R825">
            <v>826</v>
          </cell>
        </row>
        <row r="826">
          <cell r="E826" t="str">
            <v>AC270</v>
          </cell>
          <cell r="G826" t="str">
            <v>10.187.212.152</v>
          </cell>
          <cell r="H826" t="str">
            <v>10.187.212.129</v>
          </cell>
          <cell r="I826" t="str">
            <v>/27</v>
          </cell>
          <cell r="J826">
            <v>806</v>
          </cell>
          <cell r="K826" t="str">
            <v>10.187.213.152</v>
          </cell>
          <cell r="L826" t="str">
            <v>10.187.213.129</v>
          </cell>
          <cell r="M826" t="str">
            <v>/27</v>
          </cell>
          <cell r="N826">
            <v>816</v>
          </cell>
          <cell r="O826" t="str">
            <v>10.187.214.152</v>
          </cell>
          <cell r="P826" t="str">
            <v>10.187.214.129</v>
          </cell>
          <cell r="Q826" t="str">
            <v>/27</v>
          </cell>
          <cell r="R826">
            <v>826</v>
          </cell>
        </row>
        <row r="827">
          <cell r="E827" t="str">
            <v>AC270</v>
          </cell>
          <cell r="G827" t="str">
            <v>10.187.212.153</v>
          </cell>
          <cell r="H827" t="str">
            <v>10.187.212.129</v>
          </cell>
          <cell r="I827" t="str">
            <v>/27</v>
          </cell>
          <cell r="J827">
            <v>806</v>
          </cell>
          <cell r="K827" t="str">
            <v>10.187.213.153</v>
          </cell>
          <cell r="L827" t="str">
            <v>10.187.213.129</v>
          </cell>
          <cell r="M827" t="str">
            <v>/27</v>
          </cell>
          <cell r="N827">
            <v>816</v>
          </cell>
          <cell r="O827" t="str">
            <v>10.187.214.153</v>
          </cell>
          <cell r="P827" t="str">
            <v>10.187.214.129</v>
          </cell>
          <cell r="Q827" t="str">
            <v>/27</v>
          </cell>
          <cell r="R827">
            <v>826</v>
          </cell>
        </row>
        <row r="828">
          <cell r="E828" t="str">
            <v>AC270</v>
          </cell>
          <cell r="G828" t="str">
            <v>10.187.212.154</v>
          </cell>
          <cell r="H828" t="str">
            <v>10.187.212.129</v>
          </cell>
          <cell r="I828" t="str">
            <v>/27</v>
          </cell>
          <cell r="J828">
            <v>806</v>
          </cell>
          <cell r="K828" t="str">
            <v>10.187.213.154</v>
          </cell>
          <cell r="L828" t="str">
            <v>10.187.213.129</v>
          </cell>
          <cell r="M828" t="str">
            <v>/27</v>
          </cell>
          <cell r="N828">
            <v>816</v>
          </cell>
          <cell r="O828" t="str">
            <v>10.187.214.154</v>
          </cell>
          <cell r="P828" t="str">
            <v>10.187.214.129</v>
          </cell>
          <cell r="Q828" t="str">
            <v>/27</v>
          </cell>
          <cell r="R828">
            <v>826</v>
          </cell>
        </row>
        <row r="829">
          <cell r="E829" t="str">
            <v>AC270</v>
          </cell>
          <cell r="G829" t="str">
            <v>10.187.212.155</v>
          </cell>
          <cell r="H829" t="str">
            <v>10.187.212.129</v>
          </cell>
          <cell r="I829" t="str">
            <v>/27</v>
          </cell>
          <cell r="J829">
            <v>806</v>
          </cell>
          <cell r="K829" t="str">
            <v>10.187.213.155</v>
          </cell>
          <cell r="L829" t="str">
            <v>10.187.213.129</v>
          </cell>
          <cell r="M829" t="str">
            <v>/27</v>
          </cell>
          <cell r="N829">
            <v>816</v>
          </cell>
          <cell r="O829" t="str">
            <v>10.187.214.155</v>
          </cell>
          <cell r="P829" t="str">
            <v>10.187.214.129</v>
          </cell>
          <cell r="Q829" t="str">
            <v>/27</v>
          </cell>
          <cell r="R829">
            <v>826</v>
          </cell>
        </row>
        <row r="830">
          <cell r="E830" t="str">
            <v>AC270</v>
          </cell>
          <cell r="G830" t="str">
            <v>10.187.212.156</v>
          </cell>
          <cell r="H830" t="str">
            <v>10.187.212.129</v>
          </cell>
          <cell r="I830" t="str">
            <v>/27</v>
          </cell>
          <cell r="J830">
            <v>806</v>
          </cell>
          <cell r="K830" t="str">
            <v>10.187.213.156</v>
          </cell>
          <cell r="L830" t="str">
            <v>10.187.213.129</v>
          </cell>
          <cell r="M830" t="str">
            <v>/27</v>
          </cell>
          <cell r="N830">
            <v>816</v>
          </cell>
          <cell r="O830" t="str">
            <v>10.187.214.156</v>
          </cell>
          <cell r="P830" t="str">
            <v>10.187.214.129</v>
          </cell>
          <cell r="Q830" t="str">
            <v>/27</v>
          </cell>
          <cell r="R830">
            <v>826</v>
          </cell>
        </row>
        <row r="831">
          <cell r="E831" t="str">
            <v>AC270</v>
          </cell>
          <cell r="G831" t="str">
            <v>10.187.212.157</v>
          </cell>
          <cell r="H831" t="str">
            <v>10.187.212.129</v>
          </cell>
          <cell r="I831" t="str">
            <v>/27</v>
          </cell>
          <cell r="J831">
            <v>806</v>
          </cell>
          <cell r="K831" t="str">
            <v>10.187.213.157</v>
          </cell>
          <cell r="L831" t="str">
            <v>10.187.213.129</v>
          </cell>
          <cell r="M831" t="str">
            <v>/27</v>
          </cell>
          <cell r="N831">
            <v>816</v>
          </cell>
          <cell r="O831" t="str">
            <v>10.187.214.157</v>
          </cell>
          <cell r="P831" t="str">
            <v>10.187.214.129</v>
          </cell>
          <cell r="Q831" t="str">
            <v>/27</v>
          </cell>
          <cell r="R831">
            <v>826</v>
          </cell>
        </row>
        <row r="832">
          <cell r="E832" t="str">
            <v>AC270</v>
          </cell>
          <cell r="G832" t="str">
            <v>10.187.212.158</v>
          </cell>
          <cell r="H832" t="str">
            <v>10.187.212.129</v>
          </cell>
          <cell r="I832" t="str">
            <v>/27</v>
          </cell>
          <cell r="J832">
            <v>806</v>
          </cell>
          <cell r="K832" t="str">
            <v>10.187.213.158</v>
          </cell>
          <cell r="L832" t="str">
            <v>10.187.213.129</v>
          </cell>
          <cell r="M832" t="str">
            <v>/27</v>
          </cell>
          <cell r="N832">
            <v>816</v>
          </cell>
          <cell r="O832" t="str">
            <v>10.187.214.158</v>
          </cell>
          <cell r="P832" t="str">
            <v>10.187.214.129</v>
          </cell>
          <cell r="Q832" t="str">
            <v>/27</v>
          </cell>
          <cell r="R832">
            <v>826</v>
          </cell>
        </row>
        <row r="833">
          <cell r="E833" t="str">
            <v>AC270</v>
          </cell>
          <cell r="G833" t="str">
            <v>10.187.212.159</v>
          </cell>
          <cell r="H833" t="str">
            <v>10.187.212.129</v>
          </cell>
          <cell r="I833" t="str">
            <v>/27</v>
          </cell>
          <cell r="J833">
            <v>806</v>
          </cell>
          <cell r="K833" t="str">
            <v>10.187.213.159</v>
          </cell>
          <cell r="L833" t="str">
            <v>10.187.213.129</v>
          </cell>
          <cell r="M833" t="str">
            <v>/27</v>
          </cell>
          <cell r="N833">
            <v>816</v>
          </cell>
          <cell r="O833" t="str">
            <v>10.187.214.159</v>
          </cell>
          <cell r="P833" t="str">
            <v>10.187.214.129</v>
          </cell>
          <cell r="Q833" t="str">
            <v>/27</v>
          </cell>
          <cell r="R833">
            <v>826</v>
          </cell>
        </row>
        <row r="834">
          <cell r="E834" t="str">
            <v>AC271</v>
          </cell>
          <cell r="G834" t="str">
            <v>10.187.200.64</v>
          </cell>
          <cell r="H834" t="str">
            <v>10.187.200.65</v>
          </cell>
          <cell r="I834" t="str">
            <v>/28</v>
          </cell>
          <cell r="J834">
            <v>802</v>
          </cell>
          <cell r="K834" t="str">
            <v>10.187.202.64</v>
          </cell>
          <cell r="L834" t="str">
            <v>10.187.202.65</v>
          </cell>
          <cell r="M834" t="str">
            <v>/28</v>
          </cell>
          <cell r="N834">
            <v>812</v>
          </cell>
          <cell r="O834" t="str">
            <v>10.187.204.64</v>
          </cell>
          <cell r="P834" t="str">
            <v>10.187.204.65</v>
          </cell>
          <cell r="Q834" t="str">
            <v>/28</v>
          </cell>
          <cell r="R834">
            <v>822</v>
          </cell>
        </row>
        <row r="835">
          <cell r="E835" t="str">
            <v>AC271</v>
          </cell>
          <cell r="G835" t="str">
            <v>10.187.200.65</v>
          </cell>
          <cell r="H835" t="str">
            <v>10.187.200.65</v>
          </cell>
          <cell r="I835" t="str">
            <v>/28</v>
          </cell>
          <cell r="J835">
            <v>802</v>
          </cell>
          <cell r="K835" t="str">
            <v>10.187.202.65</v>
          </cell>
          <cell r="L835" t="str">
            <v>10.187.202.65</v>
          </cell>
          <cell r="M835" t="str">
            <v>/28</v>
          </cell>
          <cell r="N835">
            <v>812</v>
          </cell>
          <cell r="O835" t="str">
            <v>10.187.204.65</v>
          </cell>
          <cell r="P835" t="str">
            <v>10.187.204.65</v>
          </cell>
          <cell r="Q835" t="str">
            <v>/28</v>
          </cell>
          <cell r="R835">
            <v>822</v>
          </cell>
        </row>
        <row r="836">
          <cell r="E836" t="str">
            <v>AC271</v>
          </cell>
          <cell r="G836" t="str">
            <v>10.187.200.66</v>
          </cell>
          <cell r="H836" t="str">
            <v>10.187.200.65</v>
          </cell>
          <cell r="I836" t="str">
            <v>/28</v>
          </cell>
          <cell r="J836">
            <v>802</v>
          </cell>
          <cell r="K836" t="str">
            <v>10.187.202.66</v>
          </cell>
          <cell r="L836" t="str">
            <v>10.187.202.65</v>
          </cell>
          <cell r="M836" t="str">
            <v>/28</v>
          </cell>
          <cell r="N836">
            <v>812</v>
          </cell>
          <cell r="O836" t="str">
            <v>10.187.204.66</v>
          </cell>
          <cell r="P836" t="str">
            <v>10.187.204.65</v>
          </cell>
          <cell r="Q836" t="str">
            <v>/28</v>
          </cell>
          <cell r="R836">
            <v>822</v>
          </cell>
        </row>
        <row r="837">
          <cell r="E837" t="str">
            <v>AC271</v>
          </cell>
          <cell r="G837" t="str">
            <v>10.187.200.67</v>
          </cell>
          <cell r="H837" t="str">
            <v>10.187.200.65</v>
          </cell>
          <cell r="I837" t="str">
            <v>/28</v>
          </cell>
          <cell r="J837">
            <v>802</v>
          </cell>
          <cell r="K837" t="str">
            <v>10.187.202.67</v>
          </cell>
          <cell r="L837" t="str">
            <v>10.187.202.65</v>
          </cell>
          <cell r="M837" t="str">
            <v>/28</v>
          </cell>
          <cell r="N837">
            <v>812</v>
          </cell>
          <cell r="O837" t="str">
            <v>10.187.204.67</v>
          </cell>
          <cell r="P837" t="str">
            <v>10.187.204.65</v>
          </cell>
          <cell r="Q837" t="str">
            <v>/28</v>
          </cell>
          <cell r="R837">
            <v>822</v>
          </cell>
        </row>
        <row r="838">
          <cell r="E838" t="str">
            <v>AC271</v>
          </cell>
          <cell r="F838" t="str">
            <v>AC271</v>
          </cell>
          <cell r="G838" t="str">
            <v>10.187.200.68</v>
          </cell>
          <cell r="H838" t="str">
            <v>10.187.200.65</v>
          </cell>
          <cell r="I838" t="str">
            <v>/28</v>
          </cell>
          <cell r="J838">
            <v>802</v>
          </cell>
          <cell r="K838" t="str">
            <v>10.187.202.68</v>
          </cell>
          <cell r="L838" t="str">
            <v>10.187.202.65</v>
          </cell>
          <cell r="M838" t="str">
            <v>/28</v>
          </cell>
          <cell r="N838">
            <v>812</v>
          </cell>
          <cell r="O838" t="str">
            <v>10.187.204.68</v>
          </cell>
          <cell r="P838" t="str">
            <v>10.187.204.65</v>
          </cell>
          <cell r="Q838" t="str">
            <v>/28</v>
          </cell>
          <cell r="R838">
            <v>822</v>
          </cell>
        </row>
        <row r="839">
          <cell r="E839" t="str">
            <v>AC271</v>
          </cell>
          <cell r="F839" t="str">
            <v>AC271</v>
          </cell>
          <cell r="G839" t="str">
            <v>10.187.200.69</v>
          </cell>
          <cell r="H839" t="str">
            <v>10.187.200.65</v>
          </cell>
          <cell r="I839" t="str">
            <v>/28</v>
          </cell>
          <cell r="J839">
            <v>802</v>
          </cell>
          <cell r="K839" t="str">
            <v>10.187.202.69</v>
          </cell>
          <cell r="L839" t="str">
            <v>10.187.202.65</v>
          </cell>
          <cell r="M839" t="str">
            <v>/28</v>
          </cell>
          <cell r="N839">
            <v>812</v>
          </cell>
          <cell r="O839" t="str">
            <v>10.187.204.69</v>
          </cell>
          <cell r="P839" t="str">
            <v>10.187.204.65</v>
          </cell>
          <cell r="Q839" t="str">
            <v>/28</v>
          </cell>
          <cell r="R839">
            <v>822</v>
          </cell>
        </row>
        <row r="840">
          <cell r="E840" t="str">
            <v>AC271</v>
          </cell>
          <cell r="F840" t="str">
            <v>AC753</v>
          </cell>
          <cell r="G840" t="str">
            <v>10.187.200.70</v>
          </cell>
          <cell r="H840" t="str">
            <v>10.187.200.65</v>
          </cell>
          <cell r="I840" t="str">
            <v>/28</v>
          </cell>
          <cell r="J840">
            <v>802</v>
          </cell>
          <cell r="K840" t="str">
            <v>10.187.202.70</v>
          </cell>
          <cell r="L840" t="str">
            <v>10.187.202.65</v>
          </cell>
          <cell r="M840" t="str">
            <v>/28</v>
          </cell>
          <cell r="N840">
            <v>812</v>
          </cell>
          <cell r="O840" t="str">
            <v>10.187.204.70</v>
          </cell>
          <cell r="P840" t="str">
            <v>10.187.204.65</v>
          </cell>
          <cell r="Q840" t="str">
            <v>/28</v>
          </cell>
          <cell r="R840">
            <v>822</v>
          </cell>
        </row>
        <row r="841">
          <cell r="E841" t="str">
            <v>AC271</v>
          </cell>
          <cell r="F841" t="str">
            <v>AC757</v>
          </cell>
          <cell r="G841" t="str">
            <v>10.187.200.71</v>
          </cell>
          <cell r="H841" t="str">
            <v>10.187.200.65</v>
          </cell>
          <cell r="I841" t="str">
            <v>/28</v>
          </cell>
          <cell r="J841">
            <v>802</v>
          </cell>
          <cell r="K841" t="str">
            <v>10.187.202.71</v>
          </cell>
          <cell r="L841" t="str">
            <v>10.187.202.65</v>
          </cell>
          <cell r="M841" t="str">
            <v>/28</v>
          </cell>
          <cell r="N841">
            <v>812</v>
          </cell>
          <cell r="O841" t="str">
            <v>10.187.204.71</v>
          </cell>
          <cell r="P841" t="str">
            <v>10.187.204.65</v>
          </cell>
          <cell r="Q841" t="str">
            <v>/28</v>
          </cell>
          <cell r="R841">
            <v>822</v>
          </cell>
        </row>
        <row r="842">
          <cell r="E842" t="str">
            <v>AC271</v>
          </cell>
          <cell r="F842" t="str">
            <v>ET340</v>
          </cell>
          <cell r="G842" t="str">
            <v>10.187.200.72</v>
          </cell>
          <cell r="H842" t="str">
            <v>10.187.200.65</v>
          </cell>
          <cell r="I842" t="str">
            <v>/28</v>
          </cell>
          <cell r="J842">
            <v>802</v>
          </cell>
          <cell r="K842" t="str">
            <v>10.187.202.72</v>
          </cell>
          <cell r="L842" t="str">
            <v>10.187.202.65</v>
          </cell>
          <cell r="M842" t="str">
            <v>/28</v>
          </cell>
          <cell r="N842">
            <v>812</v>
          </cell>
          <cell r="O842" t="str">
            <v>10.187.204.72</v>
          </cell>
          <cell r="P842" t="str">
            <v>10.187.204.65</v>
          </cell>
          <cell r="Q842" t="str">
            <v>/28</v>
          </cell>
          <cell r="R842">
            <v>822</v>
          </cell>
        </row>
        <row r="843">
          <cell r="E843" t="str">
            <v>AC271</v>
          </cell>
          <cell r="F843" t="str">
            <v>ET340</v>
          </cell>
          <cell r="G843" t="str">
            <v>10.187.200.73</v>
          </cell>
          <cell r="H843" t="str">
            <v>10.187.200.65</v>
          </cell>
          <cell r="I843" t="str">
            <v>/28</v>
          </cell>
          <cell r="J843">
            <v>802</v>
          </cell>
          <cell r="K843" t="str">
            <v>10.187.202.73</v>
          </cell>
          <cell r="L843" t="str">
            <v>10.187.202.65</v>
          </cell>
          <cell r="M843" t="str">
            <v>/28</v>
          </cell>
          <cell r="N843">
            <v>812</v>
          </cell>
          <cell r="O843" t="str">
            <v>10.187.204.73</v>
          </cell>
          <cell r="P843" t="str">
            <v>10.187.204.65</v>
          </cell>
          <cell r="Q843" t="str">
            <v>/28</v>
          </cell>
          <cell r="R843">
            <v>822</v>
          </cell>
        </row>
        <row r="844">
          <cell r="E844" t="str">
            <v>AC271</v>
          </cell>
          <cell r="F844" t="str">
            <v>IM643</v>
          </cell>
          <cell r="G844" t="str">
            <v>10.187.200.74</v>
          </cell>
          <cell r="H844" t="str">
            <v>10.187.200.65</v>
          </cell>
          <cell r="I844" t="str">
            <v>/28</v>
          </cell>
          <cell r="J844">
            <v>802</v>
          </cell>
          <cell r="K844" t="str">
            <v>10.187.202.74</v>
          </cell>
          <cell r="L844" t="str">
            <v>10.187.202.65</v>
          </cell>
          <cell r="M844" t="str">
            <v>/28</v>
          </cell>
          <cell r="N844">
            <v>812</v>
          </cell>
          <cell r="O844" t="str">
            <v>10.187.204.74</v>
          </cell>
          <cell r="P844" t="str">
            <v>10.187.204.65</v>
          </cell>
          <cell r="Q844" t="str">
            <v>/28</v>
          </cell>
          <cell r="R844">
            <v>822</v>
          </cell>
        </row>
        <row r="845">
          <cell r="E845" t="str">
            <v>AC271</v>
          </cell>
          <cell r="F845" t="str">
            <v>IM643</v>
          </cell>
          <cell r="G845" t="str">
            <v>10.187.200.75</v>
          </cell>
          <cell r="H845" t="str">
            <v>10.187.200.65</v>
          </cell>
          <cell r="I845" t="str">
            <v>/28</v>
          </cell>
          <cell r="J845">
            <v>802</v>
          </cell>
          <cell r="K845" t="str">
            <v>10.187.202.75</v>
          </cell>
          <cell r="L845" t="str">
            <v>10.187.202.65</v>
          </cell>
          <cell r="M845" t="str">
            <v>/28</v>
          </cell>
          <cell r="N845">
            <v>812</v>
          </cell>
          <cell r="O845" t="str">
            <v>10.187.204.75</v>
          </cell>
          <cell r="P845" t="str">
            <v>10.187.204.65</v>
          </cell>
          <cell r="Q845" t="str">
            <v>/28</v>
          </cell>
          <cell r="R845">
            <v>822</v>
          </cell>
        </row>
        <row r="846">
          <cell r="E846" t="str">
            <v>AC271</v>
          </cell>
          <cell r="F846" t="str">
            <v>ET858</v>
          </cell>
          <cell r="G846" t="str">
            <v>10.187.200.76</v>
          </cell>
          <cell r="H846" t="str">
            <v>10.187.200.65</v>
          </cell>
          <cell r="I846" t="str">
            <v>/28</v>
          </cell>
          <cell r="J846">
            <v>802</v>
          </cell>
          <cell r="K846" t="str">
            <v>10.187.202.76</v>
          </cell>
          <cell r="L846" t="str">
            <v>10.187.202.65</v>
          </cell>
          <cell r="M846" t="str">
            <v>/28</v>
          </cell>
          <cell r="N846">
            <v>812</v>
          </cell>
          <cell r="O846" t="str">
            <v>10.187.204.76</v>
          </cell>
          <cell r="P846" t="str">
            <v>10.187.204.65</v>
          </cell>
          <cell r="Q846" t="str">
            <v>/28</v>
          </cell>
          <cell r="R846">
            <v>822</v>
          </cell>
        </row>
        <row r="847">
          <cell r="E847" t="str">
            <v>AC271</v>
          </cell>
          <cell r="F847" t="str">
            <v>ET858</v>
          </cell>
          <cell r="G847" t="str">
            <v>10.187.200.77</v>
          </cell>
          <cell r="H847" t="str">
            <v>10.187.200.65</v>
          </cell>
          <cell r="I847" t="str">
            <v>/28</v>
          </cell>
          <cell r="J847">
            <v>802</v>
          </cell>
          <cell r="K847" t="str">
            <v>10.187.202.77</v>
          </cell>
          <cell r="L847" t="str">
            <v>10.187.202.65</v>
          </cell>
          <cell r="M847" t="str">
            <v>/28</v>
          </cell>
          <cell r="N847">
            <v>812</v>
          </cell>
          <cell r="O847" t="str">
            <v>10.187.204.77</v>
          </cell>
          <cell r="P847" t="str">
            <v>10.187.204.65</v>
          </cell>
          <cell r="Q847" t="str">
            <v>/28</v>
          </cell>
          <cell r="R847">
            <v>822</v>
          </cell>
        </row>
        <row r="848">
          <cell r="E848" t="str">
            <v>AC271</v>
          </cell>
          <cell r="G848" t="str">
            <v>10.187.200.78</v>
          </cell>
          <cell r="H848" t="str">
            <v>10.187.200.65</v>
          </cell>
          <cell r="I848" t="str">
            <v>/28</v>
          </cell>
          <cell r="J848">
            <v>802</v>
          </cell>
          <cell r="K848" t="str">
            <v>10.187.202.78</v>
          </cell>
          <cell r="L848" t="str">
            <v>10.187.202.65</v>
          </cell>
          <cell r="M848" t="str">
            <v>/28</v>
          </cell>
          <cell r="N848">
            <v>812</v>
          </cell>
          <cell r="O848" t="str">
            <v>10.187.204.78</v>
          </cell>
          <cell r="P848" t="str">
            <v>10.187.204.65</v>
          </cell>
          <cell r="Q848" t="str">
            <v>/28</v>
          </cell>
          <cell r="R848">
            <v>822</v>
          </cell>
        </row>
        <row r="849">
          <cell r="E849" t="str">
            <v>AC271</v>
          </cell>
          <cell r="G849" t="str">
            <v>10.187.200.79</v>
          </cell>
          <cell r="H849" t="str">
            <v>10.187.200.65</v>
          </cell>
          <cell r="I849" t="str">
            <v>/28</v>
          </cell>
          <cell r="J849">
            <v>802</v>
          </cell>
          <cell r="K849" t="str">
            <v>10.187.202.79</v>
          </cell>
          <cell r="L849" t="str">
            <v>10.187.202.65</v>
          </cell>
          <cell r="M849" t="str">
            <v>/28</v>
          </cell>
          <cell r="N849">
            <v>812</v>
          </cell>
          <cell r="O849" t="str">
            <v>10.187.204.79</v>
          </cell>
          <cell r="P849" t="str">
            <v>10.187.204.65</v>
          </cell>
          <cell r="Q849" t="str">
            <v>/28</v>
          </cell>
          <cell r="R849">
            <v>822</v>
          </cell>
        </row>
        <row r="850">
          <cell r="E850" t="str">
            <v>AC522</v>
          </cell>
          <cell r="G850" t="str">
            <v>10.187.200.32</v>
          </cell>
          <cell r="H850" t="str">
            <v>10.187.200.33</v>
          </cell>
          <cell r="I850" t="str">
            <v>/28</v>
          </cell>
          <cell r="J850">
            <v>801</v>
          </cell>
          <cell r="K850" t="str">
            <v>10.187.202.32</v>
          </cell>
          <cell r="L850" t="str">
            <v>10.187.202.33</v>
          </cell>
          <cell r="M850" t="str">
            <v>/28</v>
          </cell>
          <cell r="N850">
            <v>811</v>
          </cell>
          <cell r="O850" t="str">
            <v>10.187.204.32</v>
          </cell>
          <cell r="P850" t="str">
            <v>10.187.204.33</v>
          </cell>
          <cell r="Q850" t="str">
            <v>/28</v>
          </cell>
          <cell r="R850">
            <v>821</v>
          </cell>
        </row>
        <row r="851">
          <cell r="E851" t="str">
            <v>AC522</v>
          </cell>
          <cell r="G851" t="str">
            <v>10.187.200.33</v>
          </cell>
          <cell r="H851" t="str">
            <v>10.187.200.33</v>
          </cell>
          <cell r="I851" t="str">
            <v>/28</v>
          </cell>
          <cell r="J851">
            <v>801</v>
          </cell>
          <cell r="K851" t="str">
            <v>10.187.202.33</v>
          </cell>
          <cell r="L851" t="str">
            <v>10.187.202.33</v>
          </cell>
          <cell r="M851" t="str">
            <v>/28</v>
          </cell>
          <cell r="N851">
            <v>811</v>
          </cell>
          <cell r="O851" t="str">
            <v>10.187.204.33</v>
          </cell>
          <cell r="P851" t="str">
            <v>10.187.204.33</v>
          </cell>
          <cell r="Q851" t="str">
            <v>/28</v>
          </cell>
          <cell r="R851">
            <v>821</v>
          </cell>
        </row>
        <row r="852">
          <cell r="E852" t="str">
            <v>AC522</v>
          </cell>
          <cell r="F852" t="str">
            <v>AC522</v>
          </cell>
          <cell r="G852" t="str">
            <v>10.187.200.34</v>
          </cell>
          <cell r="H852" t="str">
            <v>10.187.200.33</v>
          </cell>
          <cell r="I852" t="str">
            <v>/28</v>
          </cell>
          <cell r="J852">
            <v>801</v>
          </cell>
          <cell r="K852" t="str">
            <v>10.187.202.34</v>
          </cell>
          <cell r="L852" t="str">
            <v>10.187.202.33</v>
          </cell>
          <cell r="M852" t="str">
            <v>/28</v>
          </cell>
          <cell r="N852">
            <v>811</v>
          </cell>
          <cell r="O852" t="str">
            <v>10.187.204.34</v>
          </cell>
          <cell r="P852" t="str">
            <v>10.187.204.33</v>
          </cell>
          <cell r="Q852" t="str">
            <v>/28</v>
          </cell>
          <cell r="R852">
            <v>821</v>
          </cell>
        </row>
        <row r="853">
          <cell r="E853" t="str">
            <v>AC522</v>
          </cell>
          <cell r="G853" t="str">
            <v>10.187.200.35</v>
          </cell>
          <cell r="H853" t="str">
            <v>10.187.200.33</v>
          </cell>
          <cell r="I853" t="str">
            <v>/28</v>
          </cell>
          <cell r="J853">
            <v>801</v>
          </cell>
          <cell r="K853" t="str">
            <v>10.187.202.35</v>
          </cell>
          <cell r="L853" t="str">
            <v>10.187.202.33</v>
          </cell>
          <cell r="M853" t="str">
            <v>/28</v>
          </cell>
          <cell r="N853">
            <v>811</v>
          </cell>
          <cell r="O853" t="str">
            <v>10.187.204.35</v>
          </cell>
          <cell r="P853" t="str">
            <v>10.187.204.33</v>
          </cell>
          <cell r="Q853" t="str">
            <v>/28</v>
          </cell>
          <cell r="R853">
            <v>821</v>
          </cell>
        </row>
        <row r="854">
          <cell r="E854" t="str">
            <v>AC522</v>
          </cell>
          <cell r="F854" t="str">
            <v>ET486</v>
          </cell>
          <cell r="G854" t="str">
            <v>10.187.200.36</v>
          </cell>
          <cell r="H854" t="str">
            <v>10.187.200.33</v>
          </cell>
          <cell r="I854" t="str">
            <v>/28</v>
          </cell>
          <cell r="J854">
            <v>801</v>
          </cell>
          <cell r="K854" t="str">
            <v>10.187.202.36</v>
          </cell>
          <cell r="L854" t="str">
            <v>10.187.202.33</v>
          </cell>
          <cell r="M854" t="str">
            <v>/28</v>
          </cell>
          <cell r="N854">
            <v>811</v>
          </cell>
          <cell r="O854" t="str">
            <v>10.187.204.36</v>
          </cell>
          <cell r="P854" t="str">
            <v>10.187.204.33</v>
          </cell>
          <cell r="Q854" t="str">
            <v>/28</v>
          </cell>
          <cell r="R854">
            <v>821</v>
          </cell>
        </row>
        <row r="855">
          <cell r="E855" t="str">
            <v>AC522</v>
          </cell>
          <cell r="F855" t="str">
            <v>ET717</v>
          </cell>
          <cell r="G855" t="str">
            <v>10.187.200.37</v>
          </cell>
          <cell r="H855" t="str">
            <v>10.187.200.33</v>
          </cell>
          <cell r="I855" t="str">
            <v>/28</v>
          </cell>
          <cell r="J855">
            <v>801</v>
          </cell>
          <cell r="K855" t="str">
            <v>10.187.202.37</v>
          </cell>
          <cell r="L855" t="str">
            <v>10.187.202.33</v>
          </cell>
          <cell r="M855" t="str">
            <v>/28</v>
          </cell>
          <cell r="N855">
            <v>811</v>
          </cell>
          <cell r="O855" t="str">
            <v>10.187.204.37</v>
          </cell>
          <cell r="P855" t="str">
            <v>10.187.204.33</v>
          </cell>
          <cell r="Q855" t="str">
            <v>/28</v>
          </cell>
          <cell r="R855">
            <v>821</v>
          </cell>
        </row>
        <row r="856">
          <cell r="E856" t="str">
            <v>AC522</v>
          </cell>
          <cell r="F856" t="str">
            <v>ET717</v>
          </cell>
          <cell r="G856" t="str">
            <v>10.187.200.38</v>
          </cell>
          <cell r="H856" t="str">
            <v>10.187.200.33</v>
          </cell>
          <cell r="I856" t="str">
            <v>/28</v>
          </cell>
          <cell r="J856">
            <v>801</v>
          </cell>
          <cell r="K856" t="str">
            <v>10.187.202.38</v>
          </cell>
          <cell r="L856" t="str">
            <v>10.187.202.33</v>
          </cell>
          <cell r="M856" t="str">
            <v>/28</v>
          </cell>
          <cell r="N856">
            <v>811</v>
          </cell>
          <cell r="O856" t="str">
            <v>10.187.204.38</v>
          </cell>
          <cell r="P856" t="str">
            <v>10.187.204.33</v>
          </cell>
          <cell r="Q856" t="str">
            <v>/28</v>
          </cell>
          <cell r="R856">
            <v>821</v>
          </cell>
        </row>
        <row r="857">
          <cell r="E857" t="str">
            <v>AC522</v>
          </cell>
          <cell r="F857" t="str">
            <v>ET270</v>
          </cell>
          <cell r="G857" t="str">
            <v>10.187.200.39</v>
          </cell>
          <cell r="H857" t="str">
            <v>10.187.200.33</v>
          </cell>
          <cell r="I857" t="str">
            <v>/28</v>
          </cell>
          <cell r="J857">
            <v>801</v>
          </cell>
          <cell r="K857" t="str">
            <v>10.187.202.39</v>
          </cell>
          <cell r="L857" t="str">
            <v>10.187.202.33</v>
          </cell>
          <cell r="M857" t="str">
            <v>/28</v>
          </cell>
          <cell r="N857">
            <v>811</v>
          </cell>
          <cell r="O857" t="str">
            <v>10.187.204.39</v>
          </cell>
          <cell r="P857" t="str">
            <v>10.187.204.33</v>
          </cell>
          <cell r="Q857" t="str">
            <v>/28</v>
          </cell>
          <cell r="R857">
            <v>821</v>
          </cell>
        </row>
        <row r="858">
          <cell r="E858" t="str">
            <v>AC522</v>
          </cell>
          <cell r="F858" t="str">
            <v>ET668</v>
          </cell>
          <cell r="G858" t="str">
            <v>10.187.200.40</v>
          </cell>
          <cell r="H858" t="str">
            <v>10.187.200.33</v>
          </cell>
          <cell r="I858" t="str">
            <v>/28</v>
          </cell>
          <cell r="J858">
            <v>801</v>
          </cell>
          <cell r="K858" t="str">
            <v>10.187.202.40</v>
          </cell>
          <cell r="L858" t="str">
            <v>10.187.202.33</v>
          </cell>
          <cell r="M858" t="str">
            <v>/28</v>
          </cell>
          <cell r="N858">
            <v>811</v>
          </cell>
          <cell r="O858" t="str">
            <v>10.187.204.40</v>
          </cell>
          <cell r="P858" t="str">
            <v>10.187.204.33</v>
          </cell>
          <cell r="Q858" t="str">
            <v>/28</v>
          </cell>
          <cell r="R858">
            <v>821</v>
          </cell>
        </row>
        <row r="859">
          <cell r="E859" t="str">
            <v>AC522</v>
          </cell>
          <cell r="F859" t="str">
            <v>ET668</v>
          </cell>
          <cell r="G859" t="str">
            <v>10.187.200.41</v>
          </cell>
          <cell r="H859" t="str">
            <v>10.187.200.33</v>
          </cell>
          <cell r="I859" t="str">
            <v>/28</v>
          </cell>
          <cell r="J859">
            <v>801</v>
          </cell>
          <cell r="K859" t="str">
            <v>10.187.202.41</v>
          </cell>
          <cell r="L859" t="str">
            <v>10.187.202.33</v>
          </cell>
          <cell r="M859" t="str">
            <v>/28</v>
          </cell>
          <cell r="N859">
            <v>811</v>
          </cell>
          <cell r="O859" t="str">
            <v>10.187.204.41</v>
          </cell>
          <cell r="P859" t="str">
            <v>10.187.204.33</v>
          </cell>
          <cell r="Q859" t="str">
            <v>/28</v>
          </cell>
          <cell r="R859">
            <v>821</v>
          </cell>
        </row>
        <row r="860">
          <cell r="E860" t="str">
            <v>AC522</v>
          </cell>
          <cell r="F860" t="str">
            <v>ET833</v>
          </cell>
          <cell r="G860" t="str">
            <v>10.187.200.42</v>
          </cell>
          <cell r="H860" t="str">
            <v>10.187.200.33</v>
          </cell>
          <cell r="I860" t="str">
            <v>/28</v>
          </cell>
          <cell r="J860">
            <v>801</v>
          </cell>
          <cell r="K860" t="str">
            <v>10.187.202.42</v>
          </cell>
          <cell r="L860" t="str">
            <v>10.187.202.33</v>
          </cell>
          <cell r="M860" t="str">
            <v>/28</v>
          </cell>
          <cell r="N860">
            <v>811</v>
          </cell>
          <cell r="O860" t="str">
            <v>10.187.204.42</v>
          </cell>
          <cell r="P860" t="str">
            <v>10.187.204.33</v>
          </cell>
          <cell r="Q860" t="str">
            <v>/28</v>
          </cell>
          <cell r="R860">
            <v>821</v>
          </cell>
        </row>
        <row r="861">
          <cell r="E861" t="str">
            <v>AC522</v>
          </cell>
          <cell r="F861" t="str">
            <v>ET833</v>
          </cell>
          <cell r="G861" t="str">
            <v>10.187.200.43</v>
          </cell>
          <cell r="H861" t="str">
            <v>10.187.200.33</v>
          </cell>
          <cell r="I861" t="str">
            <v>/28</v>
          </cell>
          <cell r="J861">
            <v>801</v>
          </cell>
          <cell r="K861" t="str">
            <v>10.187.202.43</v>
          </cell>
          <cell r="L861" t="str">
            <v>10.187.202.33</v>
          </cell>
          <cell r="M861" t="str">
            <v>/28</v>
          </cell>
          <cell r="N861">
            <v>811</v>
          </cell>
          <cell r="O861" t="str">
            <v>10.187.204.43</v>
          </cell>
          <cell r="P861" t="str">
            <v>10.187.204.33</v>
          </cell>
          <cell r="Q861" t="str">
            <v>/28</v>
          </cell>
          <cell r="R861">
            <v>821</v>
          </cell>
        </row>
        <row r="862">
          <cell r="E862" t="str">
            <v>AC522</v>
          </cell>
          <cell r="G862" t="str">
            <v>10.187.200.44</v>
          </cell>
          <cell r="H862" t="str">
            <v>10.187.200.33</v>
          </cell>
          <cell r="I862" t="str">
            <v>/28</v>
          </cell>
          <cell r="J862">
            <v>801</v>
          </cell>
          <cell r="K862" t="str">
            <v>10.187.202.44</v>
          </cell>
          <cell r="L862" t="str">
            <v>10.187.202.33</v>
          </cell>
          <cell r="M862" t="str">
            <v>/28</v>
          </cell>
          <cell r="N862">
            <v>811</v>
          </cell>
          <cell r="O862" t="str">
            <v>10.187.204.44</v>
          </cell>
          <cell r="P862" t="str">
            <v>10.187.204.33</v>
          </cell>
          <cell r="Q862" t="str">
            <v>/28</v>
          </cell>
          <cell r="R862">
            <v>821</v>
          </cell>
        </row>
        <row r="863">
          <cell r="E863" t="str">
            <v>AC522</v>
          </cell>
          <cell r="G863" t="str">
            <v>10.187.200.45</v>
          </cell>
          <cell r="H863" t="str">
            <v>10.187.200.33</v>
          </cell>
          <cell r="I863" t="str">
            <v>/28</v>
          </cell>
          <cell r="J863">
            <v>801</v>
          </cell>
          <cell r="K863" t="str">
            <v>10.187.202.45</v>
          </cell>
          <cell r="L863" t="str">
            <v>10.187.202.33</v>
          </cell>
          <cell r="M863" t="str">
            <v>/28</v>
          </cell>
          <cell r="N863">
            <v>811</v>
          </cell>
          <cell r="O863" t="str">
            <v>10.187.204.45</v>
          </cell>
          <cell r="P863" t="str">
            <v>10.187.204.33</v>
          </cell>
          <cell r="Q863" t="str">
            <v>/28</v>
          </cell>
          <cell r="R863">
            <v>821</v>
          </cell>
        </row>
        <row r="864">
          <cell r="E864" t="str">
            <v>AC522</v>
          </cell>
          <cell r="G864" t="str">
            <v>10.187.200.46</v>
          </cell>
          <cell r="H864" t="str">
            <v>10.187.200.33</v>
          </cell>
          <cell r="I864" t="str">
            <v>/28</v>
          </cell>
          <cell r="J864">
            <v>801</v>
          </cell>
          <cell r="K864" t="str">
            <v>10.187.202.46</v>
          </cell>
          <cell r="L864" t="str">
            <v>10.187.202.33</v>
          </cell>
          <cell r="M864" t="str">
            <v>/28</v>
          </cell>
          <cell r="N864">
            <v>811</v>
          </cell>
          <cell r="O864" t="str">
            <v>10.187.204.46</v>
          </cell>
          <cell r="P864" t="str">
            <v>10.187.204.33</v>
          </cell>
          <cell r="Q864" t="str">
            <v>/28</v>
          </cell>
          <cell r="R864">
            <v>821</v>
          </cell>
        </row>
        <row r="865">
          <cell r="E865" t="str">
            <v>AC522</v>
          </cell>
          <cell r="G865" t="str">
            <v>10.187.200.47</v>
          </cell>
          <cell r="H865" t="str">
            <v>10.187.200.33</v>
          </cell>
          <cell r="I865" t="str">
            <v>/28</v>
          </cell>
          <cell r="J865">
            <v>801</v>
          </cell>
          <cell r="K865" t="str">
            <v>10.187.202.47</v>
          </cell>
          <cell r="L865" t="str">
            <v>10.187.202.33</v>
          </cell>
          <cell r="M865" t="str">
            <v>/28</v>
          </cell>
          <cell r="N865">
            <v>811</v>
          </cell>
          <cell r="O865" t="str">
            <v>10.187.204.47</v>
          </cell>
          <cell r="P865" t="str">
            <v>10.187.204.33</v>
          </cell>
          <cell r="Q865" t="str">
            <v>/28</v>
          </cell>
          <cell r="R865">
            <v>821</v>
          </cell>
        </row>
        <row r="866">
          <cell r="E866" t="str">
            <v>AC525</v>
          </cell>
          <cell r="G866" t="str">
            <v>10.187.200.160</v>
          </cell>
          <cell r="H866" t="str">
            <v>10.187.200.161</v>
          </cell>
          <cell r="I866" t="str">
            <v>/28</v>
          </cell>
          <cell r="J866">
            <v>801</v>
          </cell>
          <cell r="K866" t="str">
            <v>10.187.202.160</v>
          </cell>
          <cell r="L866" t="str">
            <v>10.187.202.161</v>
          </cell>
          <cell r="M866" t="str">
            <v>/28</v>
          </cell>
          <cell r="N866">
            <v>811</v>
          </cell>
          <cell r="O866" t="str">
            <v>10.187.204.160</v>
          </cell>
          <cell r="P866" t="str">
            <v>10.187.204.161</v>
          </cell>
          <cell r="Q866" t="str">
            <v>/28</v>
          </cell>
          <cell r="R866">
            <v>821</v>
          </cell>
        </row>
        <row r="867">
          <cell r="E867" t="str">
            <v>AC525</v>
          </cell>
          <cell r="G867" t="str">
            <v>10.187.200.161</v>
          </cell>
          <cell r="H867" t="str">
            <v>10.187.200.161</v>
          </cell>
          <cell r="I867" t="str">
            <v>/28</v>
          </cell>
          <cell r="J867">
            <v>801</v>
          </cell>
          <cell r="K867" t="str">
            <v>10.187.202.161</v>
          </cell>
          <cell r="L867" t="str">
            <v>10.187.202.161</v>
          </cell>
          <cell r="M867" t="str">
            <v>/28</v>
          </cell>
          <cell r="N867">
            <v>811</v>
          </cell>
          <cell r="O867" t="str">
            <v>10.187.204.161</v>
          </cell>
          <cell r="P867" t="str">
            <v>10.187.204.161</v>
          </cell>
          <cell r="Q867" t="str">
            <v>/28</v>
          </cell>
          <cell r="R867">
            <v>821</v>
          </cell>
        </row>
        <row r="868">
          <cell r="E868" t="str">
            <v>AC525</v>
          </cell>
          <cell r="F868" t="str">
            <v>ET683</v>
          </cell>
          <cell r="G868" t="str">
            <v>10.187.200.162</v>
          </cell>
          <cell r="H868" t="str">
            <v>10.187.200.161</v>
          </cell>
          <cell r="I868" t="str">
            <v>/28</v>
          </cell>
          <cell r="J868">
            <v>801</v>
          </cell>
          <cell r="K868" t="str">
            <v>10.187.202.162</v>
          </cell>
          <cell r="L868" t="str">
            <v>10.187.202.161</v>
          </cell>
          <cell r="M868" t="str">
            <v>/28</v>
          </cell>
          <cell r="N868">
            <v>811</v>
          </cell>
          <cell r="O868" t="str">
            <v>10.187.204.162</v>
          </cell>
          <cell r="P868" t="str">
            <v>10.187.204.161</v>
          </cell>
          <cell r="Q868" t="str">
            <v>/28</v>
          </cell>
          <cell r="R868">
            <v>821</v>
          </cell>
        </row>
        <row r="869">
          <cell r="E869" t="str">
            <v>AC525</v>
          </cell>
          <cell r="F869" t="str">
            <v>AC745</v>
          </cell>
          <cell r="G869" t="str">
            <v>10.187.200.163</v>
          </cell>
          <cell r="H869" t="str">
            <v>10.187.200.161</v>
          </cell>
          <cell r="I869" t="str">
            <v>/28</v>
          </cell>
          <cell r="J869">
            <v>801</v>
          </cell>
          <cell r="K869" t="str">
            <v>10.187.202.163</v>
          </cell>
          <cell r="L869" t="str">
            <v>10.187.202.161</v>
          </cell>
          <cell r="M869" t="str">
            <v>/28</v>
          </cell>
          <cell r="N869">
            <v>811</v>
          </cell>
          <cell r="O869" t="str">
            <v>10.187.204.163</v>
          </cell>
          <cell r="P869" t="str">
            <v>10.187.204.161</v>
          </cell>
          <cell r="Q869" t="str">
            <v>/28</v>
          </cell>
          <cell r="R869">
            <v>821</v>
          </cell>
        </row>
        <row r="870">
          <cell r="E870" t="str">
            <v>AC525</v>
          </cell>
          <cell r="F870" t="str">
            <v>AC277</v>
          </cell>
          <cell r="G870" t="str">
            <v>10.187.200.164</v>
          </cell>
          <cell r="H870" t="str">
            <v>10.187.200.161</v>
          </cell>
          <cell r="I870" t="str">
            <v>/28</v>
          </cell>
          <cell r="J870">
            <v>801</v>
          </cell>
          <cell r="K870" t="str">
            <v>10.187.202.164</v>
          </cell>
          <cell r="L870" t="str">
            <v>10.187.202.161</v>
          </cell>
          <cell r="M870" t="str">
            <v>/28</v>
          </cell>
          <cell r="N870">
            <v>811</v>
          </cell>
          <cell r="O870" t="str">
            <v>10.187.204.164</v>
          </cell>
          <cell r="P870" t="str">
            <v>10.187.204.161</v>
          </cell>
          <cell r="Q870" t="str">
            <v>/28</v>
          </cell>
          <cell r="R870">
            <v>821</v>
          </cell>
        </row>
        <row r="871">
          <cell r="E871" t="str">
            <v>AC525</v>
          </cell>
          <cell r="F871" t="str">
            <v>ET683</v>
          </cell>
          <cell r="G871" t="str">
            <v>10.187.200.165</v>
          </cell>
          <cell r="H871" t="str">
            <v>10.187.200.161</v>
          </cell>
          <cell r="I871" t="str">
            <v>/28</v>
          </cell>
          <cell r="J871">
            <v>801</v>
          </cell>
          <cell r="K871" t="str">
            <v>10.187.202.165</v>
          </cell>
          <cell r="L871" t="str">
            <v>10.187.202.161</v>
          </cell>
          <cell r="M871" t="str">
            <v>/28</v>
          </cell>
          <cell r="N871">
            <v>811</v>
          </cell>
          <cell r="O871" t="str">
            <v>10.187.204.165</v>
          </cell>
          <cell r="P871" t="str">
            <v>10.187.204.161</v>
          </cell>
          <cell r="Q871" t="str">
            <v>/28</v>
          </cell>
          <cell r="R871">
            <v>821</v>
          </cell>
        </row>
        <row r="872">
          <cell r="E872" t="str">
            <v>AC525</v>
          </cell>
          <cell r="F872" t="str">
            <v>AC277</v>
          </cell>
          <cell r="G872" t="str">
            <v>10.187.200.166</v>
          </cell>
          <cell r="H872" t="str">
            <v>10.187.200.161</v>
          </cell>
          <cell r="I872" t="str">
            <v>/28</v>
          </cell>
          <cell r="J872">
            <v>801</v>
          </cell>
          <cell r="K872" t="str">
            <v>10.187.202.166</v>
          </cell>
          <cell r="L872" t="str">
            <v>10.187.202.161</v>
          </cell>
          <cell r="M872" t="str">
            <v>/28</v>
          </cell>
          <cell r="N872">
            <v>811</v>
          </cell>
          <cell r="O872" t="str">
            <v>10.187.204.166</v>
          </cell>
          <cell r="P872" t="str">
            <v>10.187.204.161</v>
          </cell>
          <cell r="Q872" t="str">
            <v>/28</v>
          </cell>
          <cell r="R872">
            <v>821</v>
          </cell>
        </row>
        <row r="873">
          <cell r="E873" t="str">
            <v>AC525</v>
          </cell>
          <cell r="F873" t="str">
            <v>ET463</v>
          </cell>
          <cell r="G873" t="str">
            <v>10.187.200.167</v>
          </cell>
          <cell r="H873" t="str">
            <v>10.187.200.161</v>
          </cell>
          <cell r="I873" t="str">
            <v>/28</v>
          </cell>
          <cell r="J873">
            <v>801</v>
          </cell>
          <cell r="K873" t="str">
            <v>10.187.202.167</v>
          </cell>
          <cell r="L873" t="str">
            <v>10.187.202.161</v>
          </cell>
          <cell r="M873" t="str">
            <v>/28</v>
          </cell>
          <cell r="N873">
            <v>811</v>
          </cell>
          <cell r="O873" t="str">
            <v>10.187.204.167</v>
          </cell>
          <cell r="P873" t="str">
            <v>10.187.204.161</v>
          </cell>
          <cell r="Q873" t="str">
            <v>/28</v>
          </cell>
          <cell r="R873">
            <v>821</v>
          </cell>
        </row>
        <row r="874">
          <cell r="E874" t="str">
            <v>AC525</v>
          </cell>
          <cell r="F874" t="str">
            <v>ET472</v>
          </cell>
          <cell r="G874" t="str">
            <v>10.187.200.168</v>
          </cell>
          <cell r="H874" t="str">
            <v>10.187.200.161</v>
          </cell>
          <cell r="I874" t="str">
            <v>/28</v>
          </cell>
          <cell r="J874">
            <v>801</v>
          </cell>
          <cell r="K874" t="str">
            <v>10.187.202.168</v>
          </cell>
          <cell r="L874" t="str">
            <v>10.187.202.161</v>
          </cell>
          <cell r="M874" t="str">
            <v>/28</v>
          </cell>
          <cell r="N874">
            <v>811</v>
          </cell>
          <cell r="O874" t="str">
            <v>10.187.204.168</v>
          </cell>
          <cell r="P874" t="str">
            <v>10.187.204.161</v>
          </cell>
          <cell r="Q874" t="str">
            <v>/28</v>
          </cell>
          <cell r="R874">
            <v>821</v>
          </cell>
        </row>
        <row r="875">
          <cell r="E875" t="str">
            <v>AC525</v>
          </cell>
          <cell r="F875" t="str">
            <v>AC473</v>
          </cell>
          <cell r="G875" t="str">
            <v>10.187.200.169</v>
          </cell>
          <cell r="H875" t="str">
            <v>10.187.200.161</v>
          </cell>
          <cell r="I875" t="str">
            <v>/28</v>
          </cell>
          <cell r="J875">
            <v>801</v>
          </cell>
          <cell r="K875" t="str">
            <v>10.187.202.169</v>
          </cell>
          <cell r="L875" t="str">
            <v>10.187.202.161</v>
          </cell>
          <cell r="M875" t="str">
            <v>/28</v>
          </cell>
          <cell r="N875">
            <v>811</v>
          </cell>
          <cell r="O875" t="str">
            <v>10.187.204.169</v>
          </cell>
          <cell r="P875" t="str">
            <v>10.187.204.161</v>
          </cell>
          <cell r="Q875" t="str">
            <v>/28</v>
          </cell>
          <cell r="R875">
            <v>821</v>
          </cell>
        </row>
        <row r="876">
          <cell r="E876" t="str">
            <v>AC525</v>
          </cell>
          <cell r="F876" t="str">
            <v>AC473</v>
          </cell>
          <cell r="G876" t="str">
            <v>10.187.200.170</v>
          </cell>
          <cell r="H876" t="str">
            <v>10.187.200.161</v>
          </cell>
          <cell r="I876" t="str">
            <v>/28</v>
          </cell>
          <cell r="J876">
            <v>801</v>
          </cell>
          <cell r="K876" t="str">
            <v>10.187.202.170</v>
          </cell>
          <cell r="L876" t="str">
            <v>10.187.202.161</v>
          </cell>
          <cell r="M876" t="str">
            <v>/28</v>
          </cell>
          <cell r="N876">
            <v>811</v>
          </cell>
          <cell r="O876" t="str">
            <v>10.187.204.170</v>
          </cell>
          <cell r="P876" t="str">
            <v>10.187.204.161</v>
          </cell>
          <cell r="Q876" t="str">
            <v>/28</v>
          </cell>
          <cell r="R876">
            <v>821</v>
          </cell>
        </row>
        <row r="877">
          <cell r="E877" t="str">
            <v>AC525</v>
          </cell>
          <cell r="G877" t="str">
            <v>10.187.200.171</v>
          </cell>
          <cell r="H877" t="str">
            <v>10.187.200.161</v>
          </cell>
          <cell r="I877" t="str">
            <v>/28</v>
          </cell>
          <cell r="J877">
            <v>801</v>
          </cell>
          <cell r="K877" t="str">
            <v>10.187.202.171</v>
          </cell>
          <cell r="L877" t="str">
            <v>10.187.202.161</v>
          </cell>
          <cell r="M877" t="str">
            <v>/28</v>
          </cell>
          <cell r="N877">
            <v>811</v>
          </cell>
          <cell r="O877" t="str">
            <v>10.187.204.171</v>
          </cell>
          <cell r="P877" t="str">
            <v>10.187.204.161</v>
          </cell>
          <cell r="Q877" t="str">
            <v>/28</v>
          </cell>
          <cell r="R877">
            <v>821</v>
          </cell>
        </row>
        <row r="878">
          <cell r="E878" t="str">
            <v>AC525</v>
          </cell>
          <cell r="F878" t="str">
            <v>ET110</v>
          </cell>
          <cell r="G878" t="str">
            <v>10.187.200.172</v>
          </cell>
          <cell r="H878" t="str">
            <v>10.187.200.161</v>
          </cell>
          <cell r="I878" t="str">
            <v>/28</v>
          </cell>
          <cell r="J878">
            <v>801</v>
          </cell>
          <cell r="K878" t="str">
            <v>10.187.202.172</v>
          </cell>
          <cell r="L878" t="str">
            <v>10.187.202.161</v>
          </cell>
          <cell r="M878" t="str">
            <v>/28</v>
          </cell>
          <cell r="N878">
            <v>811</v>
          </cell>
          <cell r="O878" t="str">
            <v>10.187.204.172</v>
          </cell>
          <cell r="P878" t="str">
            <v>10.187.204.161</v>
          </cell>
          <cell r="Q878" t="str">
            <v>/28</v>
          </cell>
          <cell r="R878">
            <v>821</v>
          </cell>
        </row>
        <row r="879">
          <cell r="E879" t="str">
            <v>AC525</v>
          </cell>
          <cell r="F879" t="str">
            <v>AC525</v>
          </cell>
          <cell r="G879" t="str">
            <v>10.187.200.173</v>
          </cell>
          <cell r="H879" t="str">
            <v>10.187.200.161</v>
          </cell>
          <cell r="I879" t="str">
            <v>/28</v>
          </cell>
          <cell r="J879">
            <v>801</v>
          </cell>
          <cell r="K879" t="str">
            <v>10.187.202.173</v>
          </cell>
          <cell r="L879" t="str">
            <v>10.187.202.161</v>
          </cell>
          <cell r="M879" t="str">
            <v>/28</v>
          </cell>
          <cell r="N879">
            <v>811</v>
          </cell>
          <cell r="O879" t="str">
            <v>10.187.204.173</v>
          </cell>
          <cell r="P879" t="str">
            <v>10.187.204.161</v>
          </cell>
          <cell r="Q879" t="str">
            <v>/28</v>
          </cell>
          <cell r="R879">
            <v>821</v>
          </cell>
        </row>
        <row r="880">
          <cell r="E880" t="str">
            <v>AC525</v>
          </cell>
          <cell r="F880" t="str">
            <v>ET472</v>
          </cell>
          <cell r="G880" t="str">
            <v>10.187.200.174</v>
          </cell>
          <cell r="H880" t="str">
            <v>10.187.200.161</v>
          </cell>
          <cell r="I880" t="str">
            <v>/28</v>
          </cell>
          <cell r="J880">
            <v>801</v>
          </cell>
          <cell r="K880" t="str">
            <v>10.187.202.174</v>
          </cell>
          <cell r="L880" t="str">
            <v>10.187.202.161</v>
          </cell>
          <cell r="M880" t="str">
            <v>/28</v>
          </cell>
          <cell r="N880">
            <v>811</v>
          </cell>
          <cell r="O880" t="str">
            <v>10.187.204.174</v>
          </cell>
          <cell r="P880" t="str">
            <v>10.187.204.161</v>
          </cell>
          <cell r="Q880" t="str">
            <v>/28</v>
          </cell>
          <cell r="R880">
            <v>821</v>
          </cell>
        </row>
        <row r="881">
          <cell r="E881" t="str">
            <v>AC525</v>
          </cell>
          <cell r="G881" t="str">
            <v>10.187.200.175</v>
          </cell>
          <cell r="H881" t="str">
            <v>10.187.200.161</v>
          </cell>
          <cell r="I881" t="str">
            <v>/28</v>
          </cell>
          <cell r="J881">
            <v>801</v>
          </cell>
          <cell r="K881" t="str">
            <v>10.187.202.175</v>
          </cell>
          <cell r="L881" t="str">
            <v>10.187.202.161</v>
          </cell>
          <cell r="M881" t="str">
            <v>/28</v>
          </cell>
          <cell r="N881">
            <v>811</v>
          </cell>
          <cell r="O881" t="str">
            <v>10.187.204.175</v>
          </cell>
          <cell r="P881" t="str">
            <v>10.187.204.161</v>
          </cell>
          <cell r="Q881" t="str">
            <v>/28</v>
          </cell>
          <cell r="R881">
            <v>821</v>
          </cell>
        </row>
        <row r="882">
          <cell r="E882" t="str">
            <v>AC525</v>
          </cell>
          <cell r="G882" t="str">
            <v>10.188.28.160</v>
          </cell>
          <cell r="H882" t="str">
            <v>10.188.28.161</v>
          </cell>
          <cell r="I882" t="str">
            <v>/28</v>
          </cell>
          <cell r="J882">
            <v>803</v>
          </cell>
          <cell r="K882" t="str">
            <v>10.188.30.160</v>
          </cell>
          <cell r="L882" t="str">
            <v>10.188.30.161</v>
          </cell>
          <cell r="M882" t="str">
            <v>/28</v>
          </cell>
          <cell r="N882">
            <v>813</v>
          </cell>
          <cell r="O882" t="str">
            <v>10.188.32.160</v>
          </cell>
          <cell r="P882" t="str">
            <v>10.188.32.161</v>
          </cell>
          <cell r="Q882" t="str">
            <v>/28</v>
          </cell>
          <cell r="R882">
            <v>823</v>
          </cell>
        </row>
        <row r="883">
          <cell r="E883" t="str">
            <v>AC525</v>
          </cell>
          <cell r="G883" t="str">
            <v>10.188.28.161</v>
          </cell>
          <cell r="H883" t="str">
            <v>10.188.28.161</v>
          </cell>
          <cell r="I883" t="str">
            <v>/28</v>
          </cell>
          <cell r="J883">
            <v>803</v>
          </cell>
          <cell r="K883" t="str">
            <v>10.188.30.161</v>
          </cell>
          <cell r="L883" t="str">
            <v>10.188.30.161</v>
          </cell>
          <cell r="M883" t="str">
            <v>/28</v>
          </cell>
          <cell r="N883">
            <v>813</v>
          </cell>
          <cell r="O883" t="str">
            <v>10.188.32.161</v>
          </cell>
          <cell r="P883" t="str">
            <v>10.188.32.161</v>
          </cell>
          <cell r="Q883" t="str">
            <v>/28</v>
          </cell>
          <cell r="R883">
            <v>823</v>
          </cell>
        </row>
        <row r="884">
          <cell r="E884" t="str">
            <v>AC525</v>
          </cell>
          <cell r="F884" t="str">
            <v>AC752</v>
          </cell>
          <cell r="G884" t="str">
            <v>10.188.28.162</v>
          </cell>
          <cell r="H884" t="str">
            <v>10.188.28.161</v>
          </cell>
          <cell r="I884" t="str">
            <v>/28</v>
          </cell>
          <cell r="J884">
            <v>803</v>
          </cell>
          <cell r="K884" t="str">
            <v>10.188.30.162</v>
          </cell>
          <cell r="L884" t="str">
            <v>10.188.30.161</v>
          </cell>
          <cell r="M884" t="str">
            <v>/28</v>
          </cell>
          <cell r="N884">
            <v>813</v>
          </cell>
          <cell r="O884" t="str">
            <v>10.188.32.162</v>
          </cell>
          <cell r="P884" t="str">
            <v>10.188.32.161</v>
          </cell>
          <cell r="Q884" t="str">
            <v>/28</v>
          </cell>
          <cell r="R884">
            <v>823</v>
          </cell>
        </row>
        <row r="885">
          <cell r="E885" t="str">
            <v>AC525</v>
          </cell>
          <cell r="F885" t="str">
            <v>AC752</v>
          </cell>
          <cell r="G885" t="str">
            <v>10.188.28.163</v>
          </cell>
          <cell r="H885" t="str">
            <v>10.188.28.161</v>
          </cell>
          <cell r="I885" t="str">
            <v>/28</v>
          </cell>
          <cell r="J885">
            <v>803</v>
          </cell>
          <cell r="K885" t="str">
            <v>10.188.30.163</v>
          </cell>
          <cell r="L885" t="str">
            <v>10.188.30.161</v>
          </cell>
          <cell r="M885" t="str">
            <v>/28</v>
          </cell>
          <cell r="N885">
            <v>813</v>
          </cell>
          <cell r="O885" t="str">
            <v>10.188.32.163</v>
          </cell>
          <cell r="P885" t="str">
            <v>10.188.32.161</v>
          </cell>
          <cell r="Q885" t="str">
            <v>/28</v>
          </cell>
          <cell r="R885">
            <v>823</v>
          </cell>
        </row>
        <row r="886">
          <cell r="E886" t="str">
            <v>AC525</v>
          </cell>
          <cell r="G886" t="str">
            <v>10.188.28.164</v>
          </cell>
          <cell r="H886" t="str">
            <v>10.188.28.161</v>
          </cell>
          <cell r="I886" t="str">
            <v>/28</v>
          </cell>
          <cell r="J886">
            <v>803</v>
          </cell>
          <cell r="K886" t="str">
            <v>10.188.30.164</v>
          </cell>
          <cell r="L886" t="str">
            <v>10.188.30.161</v>
          </cell>
          <cell r="M886" t="str">
            <v>/28</v>
          </cell>
          <cell r="N886">
            <v>813</v>
          </cell>
          <cell r="O886" t="str">
            <v>10.188.32.164</v>
          </cell>
          <cell r="P886" t="str">
            <v>10.188.32.161</v>
          </cell>
          <cell r="Q886" t="str">
            <v>/28</v>
          </cell>
          <cell r="R886">
            <v>823</v>
          </cell>
        </row>
        <row r="887">
          <cell r="E887" t="str">
            <v>AC525</v>
          </cell>
          <cell r="G887" t="str">
            <v>10.188.28.165</v>
          </cell>
          <cell r="H887" t="str">
            <v>10.188.28.161</v>
          </cell>
          <cell r="I887" t="str">
            <v>/28</v>
          </cell>
          <cell r="J887">
            <v>803</v>
          </cell>
          <cell r="K887" t="str">
            <v>10.188.30.165</v>
          </cell>
          <cell r="L887" t="str">
            <v>10.188.30.161</v>
          </cell>
          <cell r="M887" t="str">
            <v>/28</v>
          </cell>
          <cell r="N887">
            <v>813</v>
          </cell>
          <cell r="O887" t="str">
            <v>10.188.32.165</v>
          </cell>
          <cell r="P887" t="str">
            <v>10.188.32.161</v>
          </cell>
          <cell r="Q887" t="str">
            <v>/28</v>
          </cell>
          <cell r="R887">
            <v>823</v>
          </cell>
        </row>
        <row r="888">
          <cell r="E888" t="str">
            <v>AC525</v>
          </cell>
          <cell r="F888" t="str">
            <v>AC594</v>
          </cell>
          <cell r="G888" t="str">
            <v>10.188.28.166</v>
          </cell>
          <cell r="H888" t="str">
            <v>10.188.28.161</v>
          </cell>
          <cell r="I888" t="str">
            <v>/28</v>
          </cell>
          <cell r="J888">
            <v>803</v>
          </cell>
          <cell r="K888" t="str">
            <v>10.188.30.166</v>
          </cell>
          <cell r="L888" t="str">
            <v>10.188.30.161</v>
          </cell>
          <cell r="M888" t="str">
            <v>/28</v>
          </cell>
          <cell r="N888">
            <v>813</v>
          </cell>
          <cell r="O888" t="str">
            <v>10.188.32.166</v>
          </cell>
          <cell r="P888" t="str">
            <v>10.188.32.161</v>
          </cell>
          <cell r="Q888" t="str">
            <v>/28</v>
          </cell>
          <cell r="R888">
            <v>823</v>
          </cell>
        </row>
        <row r="889">
          <cell r="E889" t="str">
            <v>AC525</v>
          </cell>
          <cell r="F889" t="str">
            <v>AC594</v>
          </cell>
          <cell r="G889" t="str">
            <v>10.188.28.167</v>
          </cell>
          <cell r="H889" t="str">
            <v>10.188.28.161</v>
          </cell>
          <cell r="I889" t="str">
            <v>/28</v>
          </cell>
          <cell r="J889">
            <v>803</v>
          </cell>
          <cell r="K889" t="str">
            <v>10.188.30.167</v>
          </cell>
          <cell r="L889" t="str">
            <v>10.188.30.161</v>
          </cell>
          <cell r="M889" t="str">
            <v>/28</v>
          </cell>
          <cell r="N889">
            <v>813</v>
          </cell>
          <cell r="O889" t="str">
            <v>10.188.32.167</v>
          </cell>
          <cell r="P889" t="str">
            <v>10.188.32.161</v>
          </cell>
          <cell r="Q889" t="str">
            <v>/28</v>
          </cell>
          <cell r="R889">
            <v>823</v>
          </cell>
        </row>
        <row r="890">
          <cell r="E890" t="str">
            <v>AC525</v>
          </cell>
          <cell r="F890" t="str">
            <v>ET654</v>
          </cell>
          <cell r="G890" t="str">
            <v>10.188.28.168</v>
          </cell>
          <cell r="H890" t="str">
            <v>10.188.28.161</v>
          </cell>
          <cell r="I890" t="str">
            <v>/28</v>
          </cell>
          <cell r="J890">
            <v>803</v>
          </cell>
          <cell r="K890" t="str">
            <v>10.188.30.168</v>
          </cell>
          <cell r="L890" t="str">
            <v>10.188.30.161</v>
          </cell>
          <cell r="M890" t="str">
            <v>/28</v>
          </cell>
          <cell r="N890">
            <v>813</v>
          </cell>
          <cell r="O890" t="str">
            <v>10.188.32.168</v>
          </cell>
          <cell r="P890" t="str">
            <v>10.188.32.161</v>
          </cell>
          <cell r="Q890" t="str">
            <v>/28</v>
          </cell>
          <cell r="R890">
            <v>823</v>
          </cell>
        </row>
        <row r="891">
          <cell r="E891" t="str">
            <v>AC525</v>
          </cell>
          <cell r="F891" t="str">
            <v>ET654</v>
          </cell>
          <cell r="G891" t="str">
            <v>10.188.28.169</v>
          </cell>
          <cell r="H891" t="str">
            <v>10.188.28.161</v>
          </cell>
          <cell r="I891" t="str">
            <v>/28</v>
          </cell>
          <cell r="J891">
            <v>803</v>
          </cell>
          <cell r="K891" t="str">
            <v>10.188.30.169</v>
          </cell>
          <cell r="L891" t="str">
            <v>10.188.30.161</v>
          </cell>
          <cell r="M891" t="str">
            <v>/28</v>
          </cell>
          <cell r="N891">
            <v>813</v>
          </cell>
          <cell r="O891" t="str">
            <v>10.188.32.169</v>
          </cell>
          <cell r="P891" t="str">
            <v>10.188.32.161</v>
          </cell>
          <cell r="Q891" t="str">
            <v>/28</v>
          </cell>
          <cell r="R891">
            <v>823</v>
          </cell>
        </row>
        <row r="892">
          <cell r="E892" t="str">
            <v>AC525</v>
          </cell>
          <cell r="G892" t="str">
            <v>10.188.28.170</v>
          </cell>
          <cell r="H892" t="str">
            <v>10.188.28.161</v>
          </cell>
          <cell r="I892" t="str">
            <v>/28</v>
          </cell>
          <cell r="J892">
            <v>803</v>
          </cell>
          <cell r="K892" t="str">
            <v>10.188.30.170</v>
          </cell>
          <cell r="L892" t="str">
            <v>10.188.30.161</v>
          </cell>
          <cell r="M892" t="str">
            <v>/28</v>
          </cell>
          <cell r="N892">
            <v>813</v>
          </cell>
          <cell r="O892" t="str">
            <v>10.188.32.170</v>
          </cell>
          <cell r="P892" t="str">
            <v>10.188.32.161</v>
          </cell>
          <cell r="Q892" t="str">
            <v>/28</v>
          </cell>
          <cell r="R892">
            <v>823</v>
          </cell>
        </row>
        <row r="893">
          <cell r="E893" t="str">
            <v>AC525</v>
          </cell>
          <cell r="G893" t="str">
            <v>10.188.28.171</v>
          </cell>
          <cell r="H893" t="str">
            <v>10.188.28.161</v>
          </cell>
          <cell r="I893" t="str">
            <v>/28</v>
          </cell>
          <cell r="J893">
            <v>803</v>
          </cell>
          <cell r="K893" t="str">
            <v>10.188.30.171</v>
          </cell>
          <cell r="L893" t="str">
            <v>10.188.30.161</v>
          </cell>
          <cell r="M893" t="str">
            <v>/28</v>
          </cell>
          <cell r="N893">
            <v>813</v>
          </cell>
          <cell r="O893" t="str">
            <v>10.188.32.171</v>
          </cell>
          <cell r="P893" t="str">
            <v>10.188.32.161</v>
          </cell>
          <cell r="Q893" t="str">
            <v>/28</v>
          </cell>
          <cell r="R893">
            <v>823</v>
          </cell>
        </row>
        <row r="894">
          <cell r="E894" t="str">
            <v>AC525</v>
          </cell>
          <cell r="G894" t="str">
            <v>10.188.28.172</v>
          </cell>
          <cell r="H894" t="str">
            <v>10.188.28.161</v>
          </cell>
          <cell r="I894" t="str">
            <v>/28</v>
          </cell>
          <cell r="J894">
            <v>803</v>
          </cell>
          <cell r="K894" t="str">
            <v>10.188.30.172</v>
          </cell>
          <cell r="L894" t="str">
            <v>10.188.30.161</v>
          </cell>
          <cell r="M894" t="str">
            <v>/28</v>
          </cell>
          <cell r="N894">
            <v>813</v>
          </cell>
          <cell r="O894" t="str">
            <v>10.188.32.172</v>
          </cell>
          <cell r="P894" t="str">
            <v>10.188.32.161</v>
          </cell>
          <cell r="Q894" t="str">
            <v>/28</v>
          </cell>
          <cell r="R894">
            <v>823</v>
          </cell>
        </row>
        <row r="895">
          <cell r="E895" t="str">
            <v>AC525</v>
          </cell>
          <cell r="G895" t="str">
            <v>10.188.28.173</v>
          </cell>
          <cell r="H895" t="str">
            <v>10.188.28.161</v>
          </cell>
          <cell r="I895" t="str">
            <v>/28</v>
          </cell>
          <cell r="J895">
            <v>803</v>
          </cell>
          <cell r="K895" t="str">
            <v>10.188.30.173</v>
          </cell>
          <cell r="L895" t="str">
            <v>10.188.30.161</v>
          </cell>
          <cell r="M895" t="str">
            <v>/28</v>
          </cell>
          <cell r="N895">
            <v>813</v>
          </cell>
          <cell r="O895" t="str">
            <v>10.188.32.173</v>
          </cell>
          <cell r="P895" t="str">
            <v>10.188.32.161</v>
          </cell>
          <cell r="Q895" t="str">
            <v>/28</v>
          </cell>
          <cell r="R895">
            <v>823</v>
          </cell>
        </row>
        <row r="896">
          <cell r="E896" t="str">
            <v>AC525</v>
          </cell>
          <cell r="G896" t="str">
            <v>10.188.28.174</v>
          </cell>
          <cell r="H896" t="str">
            <v>10.188.28.161</v>
          </cell>
          <cell r="I896" t="str">
            <v>/28</v>
          </cell>
          <cell r="J896">
            <v>803</v>
          </cell>
          <cell r="K896" t="str">
            <v>10.188.30.174</v>
          </cell>
          <cell r="L896" t="str">
            <v>10.188.30.161</v>
          </cell>
          <cell r="M896" t="str">
            <v>/28</v>
          </cell>
          <cell r="N896">
            <v>813</v>
          </cell>
          <cell r="O896" t="str">
            <v>10.188.32.174</v>
          </cell>
          <cell r="P896" t="str">
            <v>10.188.32.161</v>
          </cell>
          <cell r="Q896" t="str">
            <v>/28</v>
          </cell>
          <cell r="R896">
            <v>823</v>
          </cell>
        </row>
        <row r="897">
          <cell r="E897" t="str">
            <v>AC525</v>
          </cell>
          <cell r="G897" t="str">
            <v>10.188.28.175</v>
          </cell>
          <cell r="H897" t="str">
            <v>10.188.28.161</v>
          </cell>
          <cell r="I897" t="str">
            <v>/28</v>
          </cell>
          <cell r="J897">
            <v>803</v>
          </cell>
          <cell r="K897" t="str">
            <v>10.188.30.175</v>
          </cell>
          <cell r="L897" t="str">
            <v>10.188.30.161</v>
          </cell>
          <cell r="M897" t="str">
            <v>/28</v>
          </cell>
          <cell r="N897">
            <v>813</v>
          </cell>
          <cell r="O897" t="str">
            <v>10.188.32.175</v>
          </cell>
          <cell r="P897" t="str">
            <v>10.188.32.161</v>
          </cell>
          <cell r="Q897" t="str">
            <v>/28</v>
          </cell>
          <cell r="R897">
            <v>823</v>
          </cell>
        </row>
        <row r="898">
          <cell r="E898" t="str">
            <v>AC529</v>
          </cell>
          <cell r="G898" t="str">
            <v>10.186.192.240</v>
          </cell>
          <cell r="H898" t="str">
            <v>10.186.192.241</v>
          </cell>
          <cell r="I898" t="str">
            <v>/28</v>
          </cell>
          <cell r="J898">
            <v>803</v>
          </cell>
          <cell r="K898" t="str">
            <v>10.186.212.240</v>
          </cell>
          <cell r="L898" t="str">
            <v>10.186.212.241</v>
          </cell>
          <cell r="M898" t="str">
            <v>/28</v>
          </cell>
          <cell r="N898">
            <v>813</v>
          </cell>
          <cell r="O898" t="str">
            <v>10.186.222.240</v>
          </cell>
          <cell r="P898" t="str">
            <v>10.186.222.241</v>
          </cell>
          <cell r="Q898" t="str">
            <v>/28</v>
          </cell>
          <cell r="R898">
            <v>823</v>
          </cell>
        </row>
        <row r="899">
          <cell r="E899" t="str">
            <v>AC529</v>
          </cell>
          <cell r="G899" t="str">
            <v>10.186.192.241</v>
          </cell>
          <cell r="H899" t="str">
            <v>10.186.192.241</v>
          </cell>
          <cell r="I899" t="str">
            <v>/28</v>
          </cell>
          <cell r="J899">
            <v>803</v>
          </cell>
          <cell r="K899" t="str">
            <v>10.186.212.241</v>
          </cell>
          <cell r="L899" t="str">
            <v>10.186.212.241</v>
          </cell>
          <cell r="M899" t="str">
            <v>/28</v>
          </cell>
          <cell r="N899">
            <v>813</v>
          </cell>
          <cell r="O899" t="str">
            <v>10.186.222.241</v>
          </cell>
          <cell r="P899" t="str">
            <v>10.186.222.241</v>
          </cell>
          <cell r="Q899" t="str">
            <v>/28</v>
          </cell>
          <cell r="R899">
            <v>823</v>
          </cell>
        </row>
        <row r="900">
          <cell r="E900" t="str">
            <v>AC529</v>
          </cell>
          <cell r="F900" t="str">
            <v>AC458</v>
          </cell>
          <cell r="G900" t="str">
            <v>10.186.192.242</v>
          </cell>
          <cell r="H900" t="str">
            <v>10.186.192.241</v>
          </cell>
          <cell r="I900" t="str">
            <v>/28</v>
          </cell>
          <cell r="J900">
            <v>803</v>
          </cell>
          <cell r="K900" t="str">
            <v>10.186.212.242</v>
          </cell>
          <cell r="L900" t="str">
            <v>10.186.212.241</v>
          </cell>
          <cell r="M900" t="str">
            <v>/28</v>
          </cell>
          <cell r="N900">
            <v>813</v>
          </cell>
          <cell r="O900" t="str">
            <v>10.186.222.242</v>
          </cell>
          <cell r="P900" t="str">
            <v>10.186.222.241</v>
          </cell>
          <cell r="Q900" t="str">
            <v>/28</v>
          </cell>
          <cell r="R900">
            <v>823</v>
          </cell>
        </row>
        <row r="901">
          <cell r="E901" t="str">
            <v>AC529</v>
          </cell>
          <cell r="F901" t="str">
            <v>AC772</v>
          </cell>
          <cell r="G901" t="str">
            <v>10.186.192.243</v>
          </cell>
          <cell r="H901" t="str">
            <v>10.186.192.241</v>
          </cell>
          <cell r="I901" t="str">
            <v>/28</v>
          </cell>
          <cell r="J901">
            <v>803</v>
          </cell>
          <cell r="K901" t="str">
            <v>10.186.212.243</v>
          </cell>
          <cell r="L901" t="str">
            <v>10.186.212.241</v>
          </cell>
          <cell r="M901" t="str">
            <v>/28</v>
          </cell>
          <cell r="N901">
            <v>813</v>
          </cell>
          <cell r="O901" t="str">
            <v>10.186.222.243</v>
          </cell>
          <cell r="P901" t="str">
            <v>10.186.222.241</v>
          </cell>
          <cell r="Q901" t="str">
            <v>/28</v>
          </cell>
          <cell r="R901">
            <v>823</v>
          </cell>
        </row>
        <row r="902">
          <cell r="E902" t="str">
            <v>AC529</v>
          </cell>
          <cell r="G902" t="str">
            <v>10.186.192.244</v>
          </cell>
          <cell r="H902" t="str">
            <v>10.186.192.241</v>
          </cell>
          <cell r="I902" t="str">
            <v>/28</v>
          </cell>
          <cell r="J902">
            <v>803</v>
          </cell>
          <cell r="K902" t="str">
            <v>10.186.212.244</v>
          </cell>
          <cell r="L902" t="str">
            <v>10.186.212.241</v>
          </cell>
          <cell r="M902" t="str">
            <v>/28</v>
          </cell>
          <cell r="N902">
            <v>813</v>
          </cell>
          <cell r="O902" t="str">
            <v>10.186.222.244</v>
          </cell>
          <cell r="P902" t="str">
            <v>10.186.222.241</v>
          </cell>
          <cell r="Q902" t="str">
            <v>/28</v>
          </cell>
          <cell r="R902">
            <v>823</v>
          </cell>
        </row>
        <row r="903">
          <cell r="E903" t="str">
            <v>AC529</v>
          </cell>
          <cell r="F903" t="str">
            <v>AC529</v>
          </cell>
          <cell r="G903" t="str">
            <v>10.186.192.245</v>
          </cell>
          <cell r="H903" t="str">
            <v>10.186.192.241</v>
          </cell>
          <cell r="I903" t="str">
            <v>/28</v>
          </cell>
          <cell r="J903">
            <v>803</v>
          </cell>
          <cell r="K903" t="str">
            <v>10.186.212.245</v>
          </cell>
          <cell r="L903" t="str">
            <v>10.186.212.241</v>
          </cell>
          <cell r="M903" t="str">
            <v>/28</v>
          </cell>
          <cell r="N903">
            <v>813</v>
          </cell>
          <cell r="O903" t="str">
            <v>10.186.222.245</v>
          </cell>
          <cell r="P903" t="str">
            <v>10.186.222.241</v>
          </cell>
          <cell r="Q903" t="str">
            <v>/28</v>
          </cell>
          <cell r="R903">
            <v>823</v>
          </cell>
        </row>
        <row r="904">
          <cell r="E904" t="str">
            <v>AC529</v>
          </cell>
          <cell r="F904" t="str">
            <v>AC771</v>
          </cell>
          <cell r="G904" t="str">
            <v>10.186.192.246</v>
          </cell>
          <cell r="H904" t="str">
            <v>10.186.192.241</v>
          </cell>
          <cell r="I904" t="str">
            <v>/28</v>
          </cell>
          <cell r="J904">
            <v>803</v>
          </cell>
          <cell r="K904" t="str">
            <v>10.186.212.246</v>
          </cell>
          <cell r="L904" t="str">
            <v>10.186.212.241</v>
          </cell>
          <cell r="M904" t="str">
            <v>/28</v>
          </cell>
          <cell r="N904">
            <v>813</v>
          </cell>
          <cell r="O904" t="str">
            <v>10.186.222.246</v>
          </cell>
          <cell r="P904" t="str">
            <v>10.186.222.241</v>
          </cell>
          <cell r="Q904" t="str">
            <v>/28</v>
          </cell>
          <cell r="R904">
            <v>823</v>
          </cell>
        </row>
        <row r="905">
          <cell r="E905" t="str">
            <v>AC529</v>
          </cell>
          <cell r="F905" t="str">
            <v>AC771</v>
          </cell>
          <cell r="G905" t="str">
            <v>10.186.192.247</v>
          </cell>
          <cell r="H905" t="str">
            <v>10.186.192.241</v>
          </cell>
          <cell r="I905" t="str">
            <v>/28</v>
          </cell>
          <cell r="J905">
            <v>803</v>
          </cell>
          <cell r="K905" t="str">
            <v>10.186.212.247</v>
          </cell>
          <cell r="L905" t="str">
            <v>10.186.212.241</v>
          </cell>
          <cell r="M905" t="str">
            <v>/28</v>
          </cell>
          <cell r="N905">
            <v>813</v>
          </cell>
          <cell r="O905" t="str">
            <v>10.186.222.247</v>
          </cell>
          <cell r="P905" t="str">
            <v>10.186.222.241</v>
          </cell>
          <cell r="Q905" t="str">
            <v>/28</v>
          </cell>
          <cell r="R905">
            <v>823</v>
          </cell>
        </row>
        <row r="906">
          <cell r="E906" t="str">
            <v>AC529</v>
          </cell>
          <cell r="F906" t="str">
            <v>ET492</v>
          </cell>
          <cell r="G906" t="str">
            <v>10.186.192.248</v>
          </cell>
          <cell r="H906" t="str">
            <v>10.186.192.241</v>
          </cell>
          <cell r="I906" t="str">
            <v>/28</v>
          </cell>
          <cell r="J906">
            <v>803</v>
          </cell>
          <cell r="K906" t="str">
            <v>10.186.212.248</v>
          </cell>
          <cell r="L906" t="str">
            <v>10.186.212.241</v>
          </cell>
          <cell r="M906" t="str">
            <v>/28</v>
          </cell>
          <cell r="N906">
            <v>813</v>
          </cell>
          <cell r="O906" t="str">
            <v>10.186.222.248</v>
          </cell>
          <cell r="P906" t="str">
            <v>10.186.222.241</v>
          </cell>
          <cell r="Q906" t="str">
            <v>/28</v>
          </cell>
          <cell r="R906">
            <v>823</v>
          </cell>
        </row>
        <row r="907">
          <cell r="E907" t="str">
            <v>AC529</v>
          </cell>
          <cell r="G907" t="str">
            <v>10.186.192.249</v>
          </cell>
          <cell r="H907" t="str">
            <v>10.186.192.241</v>
          </cell>
          <cell r="I907" t="str">
            <v>/28</v>
          </cell>
          <cell r="J907">
            <v>803</v>
          </cell>
          <cell r="K907" t="str">
            <v>10.186.212.249</v>
          </cell>
          <cell r="L907" t="str">
            <v>10.186.212.241</v>
          </cell>
          <cell r="M907" t="str">
            <v>/28</v>
          </cell>
          <cell r="N907">
            <v>813</v>
          </cell>
          <cell r="O907" t="str">
            <v>10.186.222.249</v>
          </cell>
          <cell r="P907" t="str">
            <v>10.186.222.241</v>
          </cell>
          <cell r="Q907" t="str">
            <v>/28</v>
          </cell>
          <cell r="R907">
            <v>823</v>
          </cell>
        </row>
        <row r="908">
          <cell r="E908" t="str">
            <v>AC529</v>
          </cell>
          <cell r="F908" t="str">
            <v>AC458</v>
          </cell>
          <cell r="G908" t="str">
            <v>10.186.192.250</v>
          </cell>
          <cell r="H908" t="str">
            <v>10.186.192.241</v>
          </cell>
          <cell r="I908" t="str">
            <v>/28</v>
          </cell>
          <cell r="J908">
            <v>803</v>
          </cell>
          <cell r="K908" t="str">
            <v>10.186.212.250</v>
          </cell>
          <cell r="L908" t="str">
            <v>10.186.212.241</v>
          </cell>
          <cell r="M908" t="str">
            <v>/28</v>
          </cell>
          <cell r="N908">
            <v>813</v>
          </cell>
          <cell r="O908" t="str">
            <v>10.186.222.250</v>
          </cell>
          <cell r="P908" t="str">
            <v>10.186.222.241</v>
          </cell>
          <cell r="Q908" t="str">
            <v>/28</v>
          </cell>
          <cell r="R908">
            <v>823</v>
          </cell>
        </row>
        <row r="909">
          <cell r="E909" t="str">
            <v>AC529</v>
          </cell>
          <cell r="F909" t="str">
            <v>AC458</v>
          </cell>
          <cell r="G909" t="str">
            <v>10.186.192.251</v>
          </cell>
          <cell r="H909" t="str">
            <v>10.186.192.241</v>
          </cell>
          <cell r="I909" t="str">
            <v>/28</v>
          </cell>
          <cell r="J909">
            <v>803</v>
          </cell>
          <cell r="K909" t="str">
            <v>10.186.212.251</v>
          </cell>
          <cell r="L909" t="str">
            <v>10.186.212.241</v>
          </cell>
          <cell r="M909" t="str">
            <v>/28</v>
          </cell>
          <cell r="N909">
            <v>813</v>
          </cell>
          <cell r="O909" t="str">
            <v>10.186.222.251</v>
          </cell>
          <cell r="P909" t="str">
            <v>10.186.222.241</v>
          </cell>
          <cell r="Q909" t="str">
            <v>/28</v>
          </cell>
          <cell r="R909">
            <v>823</v>
          </cell>
        </row>
        <row r="910">
          <cell r="E910" t="str">
            <v>AC529</v>
          </cell>
          <cell r="F910" t="str">
            <v>AC529</v>
          </cell>
          <cell r="G910" t="str">
            <v>10.186.192.252</v>
          </cell>
          <cell r="H910" t="str">
            <v>10.186.192.241</v>
          </cell>
          <cell r="I910" t="str">
            <v>/28</v>
          </cell>
          <cell r="J910">
            <v>803</v>
          </cell>
          <cell r="K910" t="str">
            <v>10.186.212.252</v>
          </cell>
          <cell r="L910" t="str">
            <v>10.186.212.241</v>
          </cell>
          <cell r="M910" t="str">
            <v>/28</v>
          </cell>
          <cell r="N910">
            <v>813</v>
          </cell>
          <cell r="O910" t="str">
            <v>10.186.222.252</v>
          </cell>
          <cell r="P910" t="str">
            <v>10.186.222.241</v>
          </cell>
          <cell r="Q910" t="str">
            <v>/28</v>
          </cell>
          <cell r="R910">
            <v>823</v>
          </cell>
        </row>
        <row r="911">
          <cell r="E911" t="str">
            <v>AC529</v>
          </cell>
          <cell r="F911" t="str">
            <v>ET768</v>
          </cell>
          <cell r="G911" t="str">
            <v>10.186.192.253</v>
          </cell>
          <cell r="H911" t="str">
            <v>10.186.192.241</v>
          </cell>
          <cell r="I911" t="str">
            <v>/28</v>
          </cell>
          <cell r="J911">
            <v>803</v>
          </cell>
          <cell r="K911" t="str">
            <v>10.186.212.253</v>
          </cell>
          <cell r="L911" t="str">
            <v>10.186.212.241</v>
          </cell>
          <cell r="M911" t="str">
            <v>/28</v>
          </cell>
          <cell r="N911">
            <v>813</v>
          </cell>
          <cell r="O911" t="str">
            <v>10.186.222.253</v>
          </cell>
          <cell r="P911" t="str">
            <v>10.186.222.241</v>
          </cell>
          <cell r="Q911" t="str">
            <v>/28</v>
          </cell>
          <cell r="R911">
            <v>823</v>
          </cell>
        </row>
        <row r="912">
          <cell r="E912" t="str">
            <v>AC529</v>
          </cell>
          <cell r="F912" t="str">
            <v>ET768</v>
          </cell>
          <cell r="G912" t="str">
            <v>10.186.192.254</v>
          </cell>
          <cell r="H912" t="str">
            <v>10.186.192.241</v>
          </cell>
          <cell r="I912" t="str">
            <v>/28</v>
          </cell>
          <cell r="J912">
            <v>803</v>
          </cell>
          <cell r="K912" t="str">
            <v>10.186.212.254</v>
          </cell>
          <cell r="L912" t="str">
            <v>10.186.212.241</v>
          </cell>
          <cell r="M912" t="str">
            <v>/28</v>
          </cell>
          <cell r="N912">
            <v>813</v>
          </cell>
          <cell r="O912" t="str">
            <v>10.186.222.254</v>
          </cell>
          <cell r="P912" t="str">
            <v>10.186.222.241</v>
          </cell>
          <cell r="Q912" t="str">
            <v>/28</v>
          </cell>
          <cell r="R912">
            <v>823</v>
          </cell>
        </row>
        <row r="913">
          <cell r="E913" t="str">
            <v>AC529</v>
          </cell>
          <cell r="G913" t="str">
            <v>10.186.192.255</v>
          </cell>
          <cell r="H913" t="str">
            <v>10.186.192.241</v>
          </cell>
          <cell r="I913" t="str">
            <v>/28</v>
          </cell>
          <cell r="J913">
            <v>803</v>
          </cell>
          <cell r="K913" t="str">
            <v>10.186.212.255</v>
          </cell>
          <cell r="L913" t="str">
            <v>10.186.212.241</v>
          </cell>
          <cell r="M913" t="str">
            <v>/28</v>
          </cell>
          <cell r="N913">
            <v>813</v>
          </cell>
          <cell r="O913" t="str">
            <v>10.186.222.255</v>
          </cell>
          <cell r="P913" t="str">
            <v>10.186.222.241</v>
          </cell>
          <cell r="Q913" t="str">
            <v>/28</v>
          </cell>
          <cell r="R913">
            <v>823</v>
          </cell>
        </row>
        <row r="914">
          <cell r="E914" t="str">
            <v>AC529</v>
          </cell>
          <cell r="G914" t="str">
            <v>10.188.28.64</v>
          </cell>
          <cell r="H914" t="str">
            <v>10.188.28.65</v>
          </cell>
          <cell r="I914" t="str">
            <v>/26</v>
          </cell>
          <cell r="J914">
            <v>807</v>
          </cell>
          <cell r="K914" t="str">
            <v>10.188.30.64</v>
          </cell>
          <cell r="L914" t="str">
            <v>10.188.30.65</v>
          </cell>
          <cell r="M914" t="str">
            <v>/26</v>
          </cell>
          <cell r="N914">
            <v>817</v>
          </cell>
          <cell r="O914" t="str">
            <v>10.188.32.64</v>
          </cell>
          <cell r="P914" t="str">
            <v>10.188.32.65</v>
          </cell>
          <cell r="Q914" t="str">
            <v>/26</v>
          </cell>
          <cell r="R914">
            <v>827</v>
          </cell>
        </row>
        <row r="915">
          <cell r="E915" t="str">
            <v>AC529</v>
          </cell>
          <cell r="G915" t="str">
            <v>10.188.28.65</v>
          </cell>
          <cell r="H915" t="str">
            <v>10.188.28.65</v>
          </cell>
          <cell r="I915" t="str">
            <v>/26</v>
          </cell>
          <cell r="J915">
            <v>807</v>
          </cell>
          <cell r="K915" t="str">
            <v>10.188.30.65</v>
          </cell>
          <cell r="L915" t="str">
            <v>10.188.30.65</v>
          </cell>
          <cell r="M915" t="str">
            <v>/26</v>
          </cell>
          <cell r="N915">
            <v>817</v>
          </cell>
          <cell r="O915" t="str">
            <v>10.188.32.65</v>
          </cell>
          <cell r="P915" t="str">
            <v>10.188.32.65</v>
          </cell>
          <cell r="Q915" t="str">
            <v>/26</v>
          </cell>
          <cell r="R915">
            <v>827</v>
          </cell>
        </row>
        <row r="916">
          <cell r="E916" t="str">
            <v>AC529</v>
          </cell>
          <cell r="F916" t="str">
            <v>ET141</v>
          </cell>
          <cell r="G916" t="str">
            <v>10.188.28.66</v>
          </cell>
          <cell r="H916" t="str">
            <v>10.188.28.65</v>
          </cell>
          <cell r="I916" t="str">
            <v>/26</v>
          </cell>
          <cell r="J916">
            <v>807</v>
          </cell>
          <cell r="K916" t="str">
            <v>10.188.30.66</v>
          </cell>
          <cell r="L916" t="str">
            <v>10.188.30.65</v>
          </cell>
          <cell r="M916" t="str">
            <v>/26</v>
          </cell>
          <cell r="N916">
            <v>817</v>
          </cell>
          <cell r="O916" t="str">
            <v>10.188.32.66</v>
          </cell>
          <cell r="P916" t="str">
            <v>10.188.32.65</v>
          </cell>
          <cell r="Q916" t="str">
            <v>/26</v>
          </cell>
          <cell r="R916">
            <v>827</v>
          </cell>
        </row>
        <row r="917">
          <cell r="E917" t="str">
            <v>AC529</v>
          </cell>
          <cell r="F917" t="str">
            <v>AC765</v>
          </cell>
          <cell r="G917" t="str">
            <v>10.188.28.67</v>
          </cell>
          <cell r="H917" t="str">
            <v>10.188.28.65</v>
          </cell>
          <cell r="I917" t="str">
            <v>/26</v>
          </cell>
          <cell r="J917">
            <v>807</v>
          </cell>
          <cell r="K917" t="str">
            <v>10.188.30.67</v>
          </cell>
          <cell r="L917" t="str">
            <v>10.188.30.65</v>
          </cell>
          <cell r="M917" t="str">
            <v>/26</v>
          </cell>
          <cell r="N917">
            <v>817</v>
          </cell>
          <cell r="O917" t="str">
            <v>10.188.32.67</v>
          </cell>
          <cell r="P917" t="str">
            <v>10.188.32.65</v>
          </cell>
          <cell r="Q917" t="str">
            <v>/26</v>
          </cell>
          <cell r="R917">
            <v>827</v>
          </cell>
        </row>
        <row r="918">
          <cell r="E918" t="str">
            <v>AC529</v>
          </cell>
          <cell r="G918" t="str">
            <v>10.188.28.68</v>
          </cell>
          <cell r="H918" t="str">
            <v>10.188.28.65</v>
          </cell>
          <cell r="I918" t="str">
            <v>/26</v>
          </cell>
          <cell r="J918">
            <v>807</v>
          </cell>
          <cell r="K918" t="str">
            <v>10.188.30.68</v>
          </cell>
          <cell r="L918" t="str">
            <v>10.188.30.65</v>
          </cell>
          <cell r="M918" t="str">
            <v>/26</v>
          </cell>
          <cell r="N918">
            <v>817</v>
          </cell>
          <cell r="O918" t="str">
            <v>10.188.32.68</v>
          </cell>
          <cell r="P918" t="str">
            <v>10.188.32.65</v>
          </cell>
          <cell r="Q918" t="str">
            <v>/26</v>
          </cell>
          <cell r="R918">
            <v>827</v>
          </cell>
        </row>
        <row r="919">
          <cell r="E919" t="str">
            <v>AC529</v>
          </cell>
          <cell r="G919" t="str">
            <v>10.188.28.69</v>
          </cell>
          <cell r="H919" t="str">
            <v>10.188.28.65</v>
          </cell>
          <cell r="I919" t="str">
            <v>/26</v>
          </cell>
          <cell r="J919">
            <v>807</v>
          </cell>
          <cell r="K919" t="str">
            <v>10.188.30.69</v>
          </cell>
          <cell r="L919" t="str">
            <v>10.188.30.65</v>
          </cell>
          <cell r="M919" t="str">
            <v>/26</v>
          </cell>
          <cell r="N919">
            <v>817</v>
          </cell>
          <cell r="O919" t="str">
            <v>10.188.32.69</v>
          </cell>
          <cell r="P919" t="str">
            <v>10.188.32.65</v>
          </cell>
          <cell r="Q919" t="str">
            <v>/26</v>
          </cell>
          <cell r="R919">
            <v>827</v>
          </cell>
        </row>
        <row r="920">
          <cell r="E920" t="str">
            <v>AC529</v>
          </cell>
          <cell r="F920" t="str">
            <v>AC783</v>
          </cell>
          <cell r="G920" t="str">
            <v>10.188.28.70</v>
          </cell>
          <cell r="H920" t="str">
            <v>10.188.28.65</v>
          </cell>
          <cell r="I920" t="str">
            <v>/26</v>
          </cell>
          <cell r="J920">
            <v>807</v>
          </cell>
          <cell r="K920" t="str">
            <v>10.188.30.70</v>
          </cell>
          <cell r="L920" t="str">
            <v>10.188.30.65</v>
          </cell>
          <cell r="M920" t="str">
            <v>/26</v>
          </cell>
          <cell r="N920">
            <v>817</v>
          </cell>
          <cell r="O920" t="str">
            <v>10.188.32.70</v>
          </cell>
          <cell r="P920" t="str">
            <v>10.188.32.65</v>
          </cell>
          <cell r="Q920" t="str">
            <v>/26</v>
          </cell>
          <cell r="R920">
            <v>827</v>
          </cell>
        </row>
        <row r="921">
          <cell r="E921" t="str">
            <v>AC529</v>
          </cell>
          <cell r="G921" t="str">
            <v>10.188.28.71</v>
          </cell>
          <cell r="H921" t="str">
            <v>10.188.28.65</v>
          </cell>
          <cell r="I921" t="str">
            <v>/26</v>
          </cell>
          <cell r="J921">
            <v>807</v>
          </cell>
          <cell r="K921" t="str">
            <v>10.188.30.71</v>
          </cell>
          <cell r="L921" t="str">
            <v>10.188.30.65</v>
          </cell>
          <cell r="M921" t="str">
            <v>/26</v>
          </cell>
          <cell r="N921">
            <v>817</v>
          </cell>
          <cell r="O921" t="str">
            <v>10.188.32.71</v>
          </cell>
          <cell r="P921" t="str">
            <v>10.188.32.65</v>
          </cell>
          <cell r="Q921" t="str">
            <v>/26</v>
          </cell>
          <cell r="R921">
            <v>827</v>
          </cell>
        </row>
        <row r="922">
          <cell r="E922" t="str">
            <v>AC529</v>
          </cell>
          <cell r="G922" t="str">
            <v>10.188.28.72</v>
          </cell>
          <cell r="H922" t="str">
            <v>10.188.28.65</v>
          </cell>
          <cell r="I922" t="str">
            <v>/26</v>
          </cell>
          <cell r="J922">
            <v>807</v>
          </cell>
          <cell r="K922" t="str">
            <v>10.188.30.72</v>
          </cell>
          <cell r="L922" t="str">
            <v>10.188.30.65</v>
          </cell>
          <cell r="M922" t="str">
            <v>/26</v>
          </cell>
          <cell r="N922">
            <v>817</v>
          </cell>
          <cell r="O922" t="str">
            <v>10.188.32.72</v>
          </cell>
          <cell r="P922" t="str">
            <v>10.188.32.65</v>
          </cell>
          <cell r="Q922" t="str">
            <v>/26</v>
          </cell>
          <cell r="R922">
            <v>827</v>
          </cell>
        </row>
        <row r="923">
          <cell r="E923" t="str">
            <v>AC529</v>
          </cell>
          <cell r="F923" t="str">
            <v>AC765</v>
          </cell>
          <cell r="G923" t="str">
            <v>10.188.28.73</v>
          </cell>
          <cell r="H923" t="str">
            <v>10.188.28.65</v>
          </cell>
          <cell r="I923" t="str">
            <v>/26</v>
          </cell>
          <cell r="J923">
            <v>807</v>
          </cell>
          <cell r="K923" t="str">
            <v>10.188.30.73</v>
          </cell>
          <cell r="L923" t="str">
            <v>10.188.30.65</v>
          </cell>
          <cell r="M923" t="str">
            <v>/26</v>
          </cell>
          <cell r="N923">
            <v>817</v>
          </cell>
          <cell r="O923" t="str">
            <v>10.188.32.73</v>
          </cell>
          <cell r="P923" t="str">
            <v>10.188.32.65</v>
          </cell>
          <cell r="Q923" t="str">
            <v>/26</v>
          </cell>
          <cell r="R923">
            <v>827</v>
          </cell>
        </row>
        <row r="924">
          <cell r="E924" t="str">
            <v>AC529</v>
          </cell>
          <cell r="F924" t="str">
            <v>AC765</v>
          </cell>
          <cell r="G924" t="str">
            <v>10.188.28.74</v>
          </cell>
          <cell r="H924" t="str">
            <v>10.188.28.65</v>
          </cell>
          <cell r="I924" t="str">
            <v>/26</v>
          </cell>
          <cell r="J924">
            <v>807</v>
          </cell>
          <cell r="K924" t="str">
            <v>10.188.30.74</v>
          </cell>
          <cell r="L924" t="str">
            <v>10.188.30.65</v>
          </cell>
          <cell r="M924" t="str">
            <v>/26</v>
          </cell>
          <cell r="N924">
            <v>817</v>
          </cell>
          <cell r="O924" t="str">
            <v>10.188.32.74</v>
          </cell>
          <cell r="P924" t="str">
            <v>10.188.32.65</v>
          </cell>
          <cell r="Q924" t="str">
            <v>/26</v>
          </cell>
          <cell r="R924">
            <v>827</v>
          </cell>
        </row>
        <row r="925">
          <cell r="E925" t="str">
            <v>AC529</v>
          </cell>
          <cell r="F925" t="str">
            <v>IM168</v>
          </cell>
          <cell r="G925" t="str">
            <v>10.188.28.75</v>
          </cell>
          <cell r="H925" t="str">
            <v>10.188.28.65</v>
          </cell>
          <cell r="I925" t="str">
            <v>/26</v>
          </cell>
          <cell r="J925">
            <v>807</v>
          </cell>
          <cell r="K925" t="str">
            <v>10.188.30.75</v>
          </cell>
          <cell r="L925" t="str">
            <v>10.188.30.65</v>
          </cell>
          <cell r="M925" t="str">
            <v>/26</v>
          </cell>
          <cell r="N925">
            <v>817</v>
          </cell>
          <cell r="O925" t="str">
            <v>10.188.32.75</v>
          </cell>
          <cell r="P925" t="str">
            <v>10.188.32.65</v>
          </cell>
          <cell r="Q925" t="str">
            <v>/26</v>
          </cell>
          <cell r="R925">
            <v>827</v>
          </cell>
        </row>
        <row r="926">
          <cell r="E926" t="str">
            <v>AC529</v>
          </cell>
          <cell r="F926" t="str">
            <v>IM168</v>
          </cell>
          <cell r="G926" t="str">
            <v>10.188.28.76</v>
          </cell>
          <cell r="H926" t="str">
            <v>10.188.28.65</v>
          </cell>
          <cell r="I926" t="str">
            <v>/26</v>
          </cell>
          <cell r="J926">
            <v>807</v>
          </cell>
          <cell r="K926" t="str">
            <v>10.188.30.76</v>
          </cell>
          <cell r="L926" t="str">
            <v>10.188.30.65</v>
          </cell>
          <cell r="M926" t="str">
            <v>/26</v>
          </cell>
          <cell r="N926">
            <v>817</v>
          </cell>
          <cell r="O926" t="str">
            <v>10.188.32.76</v>
          </cell>
          <cell r="P926" t="str">
            <v>10.188.32.65</v>
          </cell>
          <cell r="Q926" t="str">
            <v>/26</v>
          </cell>
          <cell r="R926">
            <v>827</v>
          </cell>
        </row>
        <row r="927">
          <cell r="E927" t="str">
            <v>AC529</v>
          </cell>
          <cell r="F927" t="str">
            <v>IM199</v>
          </cell>
          <cell r="G927" t="str">
            <v>10.188.28.77</v>
          </cell>
          <cell r="H927" t="str">
            <v>10.188.28.65</v>
          </cell>
          <cell r="I927" t="str">
            <v>/26</v>
          </cell>
          <cell r="J927">
            <v>807</v>
          </cell>
          <cell r="K927" t="str">
            <v>10.188.30.77</v>
          </cell>
          <cell r="L927" t="str">
            <v>10.188.30.65</v>
          </cell>
          <cell r="M927" t="str">
            <v>/26</v>
          </cell>
          <cell r="N927">
            <v>817</v>
          </cell>
          <cell r="O927" t="str">
            <v>10.188.32.77</v>
          </cell>
          <cell r="P927" t="str">
            <v>10.188.32.65</v>
          </cell>
          <cell r="Q927" t="str">
            <v>/26</v>
          </cell>
          <cell r="R927">
            <v>827</v>
          </cell>
        </row>
        <row r="928">
          <cell r="E928" t="str">
            <v>AC529</v>
          </cell>
          <cell r="F928" t="str">
            <v>IM342</v>
          </cell>
          <cell r="G928" t="str">
            <v>10.188.28.78</v>
          </cell>
          <cell r="H928" t="str">
            <v>10.188.28.65</v>
          </cell>
          <cell r="I928" t="str">
            <v>/26</v>
          </cell>
          <cell r="J928">
            <v>807</v>
          </cell>
          <cell r="K928" t="str">
            <v>10.188.30.78</v>
          </cell>
          <cell r="L928" t="str">
            <v>10.188.30.65</v>
          </cell>
          <cell r="M928" t="str">
            <v>/26</v>
          </cell>
          <cell r="N928">
            <v>817</v>
          </cell>
          <cell r="O928" t="str">
            <v>10.188.32.78</v>
          </cell>
          <cell r="P928" t="str">
            <v>10.188.32.65</v>
          </cell>
          <cell r="Q928" t="str">
            <v>/26</v>
          </cell>
          <cell r="R928">
            <v>827</v>
          </cell>
        </row>
        <row r="929">
          <cell r="E929" t="str">
            <v>AC529</v>
          </cell>
          <cell r="F929" t="str">
            <v>IM345</v>
          </cell>
          <cell r="G929" t="str">
            <v>10.188.28.79</v>
          </cell>
          <cell r="H929" t="str">
            <v>10.188.28.65</v>
          </cell>
          <cell r="I929" t="str">
            <v>/26</v>
          </cell>
          <cell r="J929">
            <v>807</v>
          </cell>
          <cell r="K929" t="str">
            <v>10.188.30.79</v>
          </cell>
          <cell r="L929" t="str">
            <v>10.188.30.65</v>
          </cell>
          <cell r="M929" t="str">
            <v>/26</v>
          </cell>
          <cell r="N929">
            <v>817</v>
          </cell>
          <cell r="O929" t="str">
            <v>10.188.32.79</v>
          </cell>
          <cell r="P929" t="str">
            <v>10.188.32.65</v>
          </cell>
          <cell r="Q929" t="str">
            <v>/26</v>
          </cell>
          <cell r="R929">
            <v>827</v>
          </cell>
        </row>
        <row r="930">
          <cell r="E930" t="str">
            <v>AC529</v>
          </cell>
          <cell r="F930" t="str">
            <v>IM454</v>
          </cell>
          <cell r="G930" t="str">
            <v>10.188.28.80</v>
          </cell>
          <cell r="H930" t="str">
            <v>10.188.28.65</v>
          </cell>
          <cell r="I930" t="str">
            <v>/26</v>
          </cell>
          <cell r="J930">
            <v>807</v>
          </cell>
          <cell r="K930" t="str">
            <v>10.188.30.80</v>
          </cell>
          <cell r="L930" t="str">
            <v>10.188.30.65</v>
          </cell>
          <cell r="M930" t="str">
            <v>/26</v>
          </cell>
          <cell r="N930">
            <v>817</v>
          </cell>
          <cell r="O930" t="str">
            <v>10.188.32.80</v>
          </cell>
          <cell r="P930" t="str">
            <v>10.188.32.65</v>
          </cell>
          <cell r="Q930" t="str">
            <v>/26</v>
          </cell>
          <cell r="R930">
            <v>827</v>
          </cell>
        </row>
        <row r="931">
          <cell r="E931" t="str">
            <v>AC529</v>
          </cell>
          <cell r="F931" t="str">
            <v>IM454</v>
          </cell>
          <cell r="G931" t="str">
            <v>10.188.28.81</v>
          </cell>
          <cell r="H931" t="str">
            <v>10.188.28.65</v>
          </cell>
          <cell r="I931" t="str">
            <v>/26</v>
          </cell>
          <cell r="J931">
            <v>807</v>
          </cell>
          <cell r="K931" t="str">
            <v>10.188.30.81</v>
          </cell>
          <cell r="L931" t="str">
            <v>10.188.30.65</v>
          </cell>
          <cell r="M931" t="str">
            <v>/26</v>
          </cell>
          <cell r="N931">
            <v>817</v>
          </cell>
          <cell r="O931" t="str">
            <v>10.188.32.81</v>
          </cell>
          <cell r="P931" t="str">
            <v>10.188.32.65</v>
          </cell>
          <cell r="Q931" t="str">
            <v>/26</v>
          </cell>
          <cell r="R931">
            <v>827</v>
          </cell>
        </row>
        <row r="932">
          <cell r="E932" t="str">
            <v>AC529</v>
          </cell>
          <cell r="F932" t="str">
            <v>IM450</v>
          </cell>
          <cell r="G932" t="str">
            <v>10.188.28.82</v>
          </cell>
          <cell r="H932" t="str">
            <v>10.188.28.65</v>
          </cell>
          <cell r="I932" t="str">
            <v>/26</v>
          </cell>
          <cell r="J932">
            <v>807</v>
          </cell>
          <cell r="K932" t="str">
            <v>10.188.30.82</v>
          </cell>
          <cell r="L932" t="str">
            <v>10.188.30.65</v>
          </cell>
          <cell r="M932" t="str">
            <v>/26</v>
          </cell>
          <cell r="N932">
            <v>817</v>
          </cell>
          <cell r="O932" t="str">
            <v>10.188.32.82</v>
          </cell>
          <cell r="P932" t="str">
            <v>10.188.32.65</v>
          </cell>
          <cell r="Q932" t="str">
            <v>/26</v>
          </cell>
          <cell r="R932">
            <v>827</v>
          </cell>
        </row>
        <row r="933">
          <cell r="E933" t="str">
            <v>AC529</v>
          </cell>
          <cell r="F933" t="str">
            <v>IM450</v>
          </cell>
          <cell r="G933" t="str">
            <v>10.188.28.83</v>
          </cell>
          <cell r="H933" t="str">
            <v>10.188.28.65</v>
          </cell>
          <cell r="I933" t="str">
            <v>/26</v>
          </cell>
          <cell r="J933">
            <v>807</v>
          </cell>
          <cell r="K933" t="str">
            <v>10.188.30.83</v>
          </cell>
          <cell r="L933" t="str">
            <v>10.188.30.65</v>
          </cell>
          <cell r="M933" t="str">
            <v>/26</v>
          </cell>
          <cell r="N933">
            <v>817</v>
          </cell>
          <cell r="O933" t="str">
            <v>10.188.32.83</v>
          </cell>
          <cell r="P933" t="str">
            <v>10.188.32.65</v>
          </cell>
          <cell r="Q933" t="str">
            <v>/26</v>
          </cell>
          <cell r="R933">
            <v>827</v>
          </cell>
        </row>
        <row r="934">
          <cell r="E934" t="str">
            <v>AC529</v>
          </cell>
          <cell r="G934" t="str">
            <v>10.188.28.84</v>
          </cell>
          <cell r="H934" t="str">
            <v>10.188.28.65</v>
          </cell>
          <cell r="I934" t="str">
            <v>/26</v>
          </cell>
          <cell r="J934">
            <v>807</v>
          </cell>
          <cell r="K934" t="str">
            <v>10.188.30.84</v>
          </cell>
          <cell r="L934" t="str">
            <v>10.188.30.65</v>
          </cell>
          <cell r="M934" t="str">
            <v>/26</v>
          </cell>
          <cell r="N934">
            <v>817</v>
          </cell>
          <cell r="O934" t="str">
            <v>10.188.32.84</v>
          </cell>
          <cell r="P934" t="str">
            <v>10.188.32.65</v>
          </cell>
          <cell r="Q934" t="str">
            <v>/26</v>
          </cell>
          <cell r="R934">
            <v>827</v>
          </cell>
        </row>
        <row r="935">
          <cell r="E935" t="str">
            <v>AC529</v>
          </cell>
          <cell r="G935" t="str">
            <v>10.188.28.85</v>
          </cell>
          <cell r="H935" t="str">
            <v>10.188.28.65</v>
          </cell>
          <cell r="I935" t="str">
            <v>/26</v>
          </cell>
          <cell r="J935">
            <v>807</v>
          </cell>
          <cell r="K935" t="str">
            <v>10.188.30.85</v>
          </cell>
          <cell r="L935" t="str">
            <v>10.188.30.65</v>
          </cell>
          <cell r="M935" t="str">
            <v>/26</v>
          </cell>
          <cell r="N935">
            <v>817</v>
          </cell>
          <cell r="O935" t="str">
            <v>10.188.32.85</v>
          </cell>
          <cell r="P935" t="str">
            <v>10.188.32.65</v>
          </cell>
          <cell r="Q935" t="str">
            <v>/26</v>
          </cell>
          <cell r="R935">
            <v>827</v>
          </cell>
        </row>
        <row r="936">
          <cell r="E936" t="str">
            <v>AC529</v>
          </cell>
          <cell r="G936" t="str">
            <v>10.188.28.86</v>
          </cell>
          <cell r="H936" t="str">
            <v>10.188.28.65</v>
          </cell>
          <cell r="I936" t="str">
            <v>/26</v>
          </cell>
          <cell r="J936">
            <v>807</v>
          </cell>
          <cell r="K936" t="str">
            <v>10.188.30.86</v>
          </cell>
          <cell r="L936" t="str">
            <v>10.188.30.65</v>
          </cell>
          <cell r="M936" t="str">
            <v>/26</v>
          </cell>
          <cell r="N936">
            <v>817</v>
          </cell>
          <cell r="O936" t="str">
            <v>10.188.32.86</v>
          </cell>
          <cell r="P936" t="str">
            <v>10.188.32.65</v>
          </cell>
          <cell r="Q936" t="str">
            <v>/26</v>
          </cell>
          <cell r="R936">
            <v>827</v>
          </cell>
        </row>
        <row r="937">
          <cell r="E937" t="str">
            <v>AC529</v>
          </cell>
          <cell r="G937" t="str">
            <v>10.188.28.87</v>
          </cell>
          <cell r="H937" t="str">
            <v>10.188.28.65</v>
          </cell>
          <cell r="I937" t="str">
            <v>/26</v>
          </cell>
          <cell r="J937">
            <v>807</v>
          </cell>
          <cell r="K937" t="str">
            <v>10.188.30.87</v>
          </cell>
          <cell r="L937" t="str">
            <v>10.188.30.65</v>
          </cell>
          <cell r="M937" t="str">
            <v>/26</v>
          </cell>
          <cell r="N937">
            <v>817</v>
          </cell>
          <cell r="O937" t="str">
            <v>10.188.32.87</v>
          </cell>
          <cell r="P937" t="str">
            <v>10.188.32.65</v>
          </cell>
          <cell r="Q937" t="str">
            <v>/26</v>
          </cell>
          <cell r="R937">
            <v>827</v>
          </cell>
        </row>
        <row r="938">
          <cell r="E938" t="str">
            <v>AC529</v>
          </cell>
          <cell r="G938" t="str">
            <v>10.188.28.88</v>
          </cell>
          <cell r="H938" t="str">
            <v>10.188.28.65</v>
          </cell>
          <cell r="I938" t="str">
            <v>/26</v>
          </cell>
          <cell r="J938">
            <v>807</v>
          </cell>
          <cell r="K938" t="str">
            <v>10.188.30.88</v>
          </cell>
          <cell r="L938" t="str">
            <v>10.188.30.65</v>
          </cell>
          <cell r="M938" t="str">
            <v>/26</v>
          </cell>
          <cell r="N938">
            <v>817</v>
          </cell>
          <cell r="O938" t="str">
            <v>10.188.32.88</v>
          </cell>
          <cell r="P938" t="str">
            <v>10.188.32.65</v>
          </cell>
          <cell r="Q938" t="str">
            <v>/26</v>
          </cell>
          <cell r="R938">
            <v>827</v>
          </cell>
        </row>
        <row r="939">
          <cell r="E939" t="str">
            <v>AC529</v>
          </cell>
          <cell r="G939" t="str">
            <v>10.188.28.89</v>
          </cell>
          <cell r="H939" t="str">
            <v>10.188.28.65</v>
          </cell>
          <cell r="I939" t="str">
            <v>/26</v>
          </cell>
          <cell r="J939">
            <v>807</v>
          </cell>
          <cell r="K939" t="str">
            <v>10.188.30.89</v>
          </cell>
          <cell r="L939" t="str">
            <v>10.188.30.65</v>
          </cell>
          <cell r="M939" t="str">
            <v>/26</v>
          </cell>
          <cell r="N939">
            <v>817</v>
          </cell>
          <cell r="O939" t="str">
            <v>10.188.32.89</v>
          </cell>
          <cell r="P939" t="str">
            <v>10.188.32.65</v>
          </cell>
          <cell r="Q939" t="str">
            <v>/26</v>
          </cell>
          <cell r="R939">
            <v>827</v>
          </cell>
        </row>
        <row r="940">
          <cell r="E940" t="str">
            <v>AC529</v>
          </cell>
          <cell r="G940" t="str">
            <v>10.188.28.90</v>
          </cell>
          <cell r="H940" t="str">
            <v>10.188.28.65</v>
          </cell>
          <cell r="I940" t="str">
            <v>/26</v>
          </cell>
          <cell r="J940">
            <v>807</v>
          </cell>
          <cell r="K940" t="str">
            <v>10.188.30.90</v>
          </cell>
          <cell r="L940" t="str">
            <v>10.188.30.65</v>
          </cell>
          <cell r="M940" t="str">
            <v>/26</v>
          </cell>
          <cell r="N940">
            <v>817</v>
          </cell>
          <cell r="O940" t="str">
            <v>10.188.32.90</v>
          </cell>
          <cell r="P940" t="str">
            <v>10.188.32.65</v>
          </cell>
          <cell r="Q940" t="str">
            <v>/26</v>
          </cell>
          <cell r="R940">
            <v>827</v>
          </cell>
        </row>
        <row r="941">
          <cell r="E941" t="str">
            <v>AC529</v>
          </cell>
          <cell r="G941" t="str">
            <v>10.188.28.91</v>
          </cell>
          <cell r="H941" t="str">
            <v>10.188.28.65</v>
          </cell>
          <cell r="I941" t="str">
            <v>/26</v>
          </cell>
          <cell r="J941">
            <v>807</v>
          </cell>
          <cell r="K941" t="str">
            <v>10.188.30.91</v>
          </cell>
          <cell r="L941" t="str">
            <v>10.188.30.65</v>
          </cell>
          <cell r="M941" t="str">
            <v>/26</v>
          </cell>
          <cell r="N941">
            <v>817</v>
          </cell>
          <cell r="O941" t="str">
            <v>10.188.32.91</v>
          </cell>
          <cell r="P941" t="str">
            <v>10.188.32.65</v>
          </cell>
          <cell r="Q941" t="str">
            <v>/26</v>
          </cell>
          <cell r="R941">
            <v>827</v>
          </cell>
        </row>
        <row r="942">
          <cell r="E942" t="str">
            <v>AC529</v>
          </cell>
          <cell r="G942" t="str">
            <v>10.188.28.92</v>
          </cell>
          <cell r="H942" t="str">
            <v>10.188.28.65</v>
          </cell>
          <cell r="I942" t="str">
            <v>/26</v>
          </cell>
          <cell r="J942">
            <v>807</v>
          </cell>
          <cell r="K942" t="str">
            <v>10.188.30.92</v>
          </cell>
          <cell r="L942" t="str">
            <v>10.188.30.65</v>
          </cell>
          <cell r="M942" t="str">
            <v>/26</v>
          </cell>
          <cell r="N942">
            <v>817</v>
          </cell>
          <cell r="O942" t="str">
            <v>10.188.32.92</v>
          </cell>
          <cell r="P942" t="str">
            <v>10.188.32.65</v>
          </cell>
          <cell r="Q942" t="str">
            <v>/26</v>
          </cell>
          <cell r="R942">
            <v>827</v>
          </cell>
        </row>
        <row r="943">
          <cell r="E943" t="str">
            <v>AC529</v>
          </cell>
          <cell r="G943" t="str">
            <v>10.188.28.93</v>
          </cell>
          <cell r="H943" t="str">
            <v>10.188.28.65</v>
          </cell>
          <cell r="I943" t="str">
            <v>/26</v>
          </cell>
          <cell r="J943">
            <v>807</v>
          </cell>
          <cell r="K943" t="str">
            <v>10.188.30.93</v>
          </cell>
          <cell r="L943" t="str">
            <v>10.188.30.65</v>
          </cell>
          <cell r="M943" t="str">
            <v>/26</v>
          </cell>
          <cell r="N943">
            <v>817</v>
          </cell>
          <cell r="O943" t="str">
            <v>10.188.32.93</v>
          </cell>
          <cell r="P943" t="str">
            <v>10.188.32.65</v>
          </cell>
          <cell r="Q943" t="str">
            <v>/26</v>
          </cell>
          <cell r="R943">
            <v>827</v>
          </cell>
        </row>
        <row r="944">
          <cell r="E944" t="str">
            <v>AC529</v>
          </cell>
          <cell r="G944" t="str">
            <v>10.188.28.94</v>
          </cell>
          <cell r="H944" t="str">
            <v>10.188.28.65</v>
          </cell>
          <cell r="I944" t="str">
            <v>/26</v>
          </cell>
          <cell r="J944">
            <v>807</v>
          </cell>
          <cell r="K944" t="str">
            <v>10.188.30.94</v>
          </cell>
          <cell r="L944" t="str">
            <v>10.188.30.65</v>
          </cell>
          <cell r="M944" t="str">
            <v>/26</v>
          </cell>
          <cell r="N944">
            <v>817</v>
          </cell>
          <cell r="O944" t="str">
            <v>10.188.32.94</v>
          </cell>
          <cell r="P944" t="str">
            <v>10.188.32.65</v>
          </cell>
          <cell r="Q944" t="str">
            <v>/26</v>
          </cell>
          <cell r="R944">
            <v>827</v>
          </cell>
        </row>
        <row r="945">
          <cell r="E945" t="str">
            <v>AC529</v>
          </cell>
          <cell r="G945" t="str">
            <v>10.188.28.95</v>
          </cell>
          <cell r="H945" t="str">
            <v>10.188.28.65</v>
          </cell>
          <cell r="I945" t="str">
            <v>/26</v>
          </cell>
          <cell r="J945">
            <v>807</v>
          </cell>
          <cell r="K945" t="str">
            <v>10.188.30.95</v>
          </cell>
          <cell r="L945" t="str">
            <v>10.188.30.65</v>
          </cell>
          <cell r="M945" t="str">
            <v>/26</v>
          </cell>
          <cell r="N945">
            <v>817</v>
          </cell>
          <cell r="O945" t="str">
            <v>10.188.32.95</v>
          </cell>
          <cell r="P945" t="str">
            <v>10.188.32.65</v>
          </cell>
          <cell r="Q945" t="str">
            <v>/26</v>
          </cell>
          <cell r="R945">
            <v>827</v>
          </cell>
        </row>
        <row r="946">
          <cell r="E946" t="str">
            <v>AC529</v>
          </cell>
          <cell r="G946" t="str">
            <v>10.188.28.96</v>
          </cell>
          <cell r="H946" t="str">
            <v>10.188.28.65</v>
          </cell>
          <cell r="I946" t="str">
            <v>/26</v>
          </cell>
          <cell r="J946">
            <v>807</v>
          </cell>
          <cell r="K946" t="str">
            <v>10.188.30.96</v>
          </cell>
          <cell r="L946" t="str">
            <v>10.188.30.65</v>
          </cell>
          <cell r="M946" t="str">
            <v>/26</v>
          </cell>
          <cell r="N946">
            <v>817</v>
          </cell>
          <cell r="O946" t="str">
            <v>10.188.32.96</v>
          </cell>
          <cell r="P946" t="str">
            <v>10.188.32.65</v>
          </cell>
          <cell r="Q946" t="str">
            <v>/26</v>
          </cell>
          <cell r="R946">
            <v>827</v>
          </cell>
        </row>
        <row r="947">
          <cell r="E947" t="str">
            <v>AC529</v>
          </cell>
          <cell r="G947" t="str">
            <v>10.188.28.97</v>
          </cell>
          <cell r="H947" t="str">
            <v>10.188.28.65</v>
          </cell>
          <cell r="I947" t="str">
            <v>/26</v>
          </cell>
          <cell r="J947">
            <v>807</v>
          </cell>
          <cell r="K947" t="str">
            <v>10.188.30.97</v>
          </cell>
          <cell r="L947" t="str">
            <v>10.188.30.65</v>
          </cell>
          <cell r="M947" t="str">
            <v>/26</v>
          </cell>
          <cell r="N947">
            <v>817</v>
          </cell>
          <cell r="O947" t="str">
            <v>10.188.32.97</v>
          </cell>
          <cell r="P947" t="str">
            <v>10.188.32.65</v>
          </cell>
          <cell r="Q947" t="str">
            <v>/26</v>
          </cell>
          <cell r="R947">
            <v>827</v>
          </cell>
        </row>
        <row r="948">
          <cell r="E948" t="str">
            <v>AC529</v>
          </cell>
          <cell r="G948" t="str">
            <v>10.188.28.98</v>
          </cell>
          <cell r="H948" t="str">
            <v>10.188.28.65</v>
          </cell>
          <cell r="I948" t="str">
            <v>/26</v>
          </cell>
          <cell r="J948">
            <v>807</v>
          </cell>
          <cell r="K948" t="str">
            <v>10.188.30.98</v>
          </cell>
          <cell r="L948" t="str">
            <v>10.188.30.65</v>
          </cell>
          <cell r="M948" t="str">
            <v>/26</v>
          </cell>
          <cell r="N948">
            <v>817</v>
          </cell>
          <cell r="O948" t="str">
            <v>10.188.32.98</v>
          </cell>
          <cell r="P948" t="str">
            <v>10.188.32.65</v>
          </cell>
          <cell r="Q948" t="str">
            <v>/26</v>
          </cell>
          <cell r="R948">
            <v>827</v>
          </cell>
        </row>
        <row r="949">
          <cell r="E949" t="str">
            <v>AC529</v>
          </cell>
          <cell r="G949" t="str">
            <v>10.188.28.99</v>
          </cell>
          <cell r="H949" t="str">
            <v>10.188.28.65</v>
          </cell>
          <cell r="I949" t="str">
            <v>/26</v>
          </cell>
          <cell r="J949">
            <v>807</v>
          </cell>
          <cell r="K949" t="str">
            <v>10.188.30.99</v>
          </cell>
          <cell r="L949" t="str">
            <v>10.188.30.65</v>
          </cell>
          <cell r="M949" t="str">
            <v>/26</v>
          </cell>
          <cell r="N949">
            <v>817</v>
          </cell>
          <cell r="O949" t="str">
            <v>10.188.32.99</v>
          </cell>
          <cell r="P949" t="str">
            <v>10.188.32.65</v>
          </cell>
          <cell r="Q949" t="str">
            <v>/26</v>
          </cell>
          <cell r="R949">
            <v>827</v>
          </cell>
        </row>
        <row r="950">
          <cell r="E950" t="str">
            <v>AC529</v>
          </cell>
          <cell r="G950" t="str">
            <v>10.188.28.100</v>
          </cell>
          <cell r="H950" t="str">
            <v>10.188.28.65</v>
          </cell>
          <cell r="I950" t="str">
            <v>/26</v>
          </cell>
          <cell r="J950">
            <v>807</v>
          </cell>
          <cell r="K950" t="str">
            <v>10.188.30.100</v>
          </cell>
          <cell r="L950" t="str">
            <v>10.188.30.65</v>
          </cell>
          <cell r="M950" t="str">
            <v>/26</v>
          </cell>
          <cell r="N950">
            <v>817</v>
          </cell>
          <cell r="O950" t="str">
            <v>10.188.32.100</v>
          </cell>
          <cell r="P950" t="str">
            <v>10.188.32.65</v>
          </cell>
          <cell r="Q950" t="str">
            <v>/26</v>
          </cell>
          <cell r="R950">
            <v>827</v>
          </cell>
        </row>
        <row r="951">
          <cell r="E951" t="str">
            <v>AC529</v>
          </cell>
          <cell r="G951" t="str">
            <v>10.188.28.101</v>
          </cell>
          <cell r="H951" t="str">
            <v>10.188.28.65</v>
          </cell>
          <cell r="I951" t="str">
            <v>/26</v>
          </cell>
          <cell r="J951">
            <v>807</v>
          </cell>
          <cell r="K951" t="str">
            <v>10.188.30.101</v>
          </cell>
          <cell r="L951" t="str">
            <v>10.188.30.65</v>
          </cell>
          <cell r="M951" t="str">
            <v>/26</v>
          </cell>
          <cell r="N951">
            <v>817</v>
          </cell>
          <cell r="O951" t="str">
            <v>10.188.32.101</v>
          </cell>
          <cell r="P951" t="str">
            <v>10.188.32.65</v>
          </cell>
          <cell r="Q951" t="str">
            <v>/26</v>
          </cell>
          <cell r="R951">
            <v>827</v>
          </cell>
        </row>
        <row r="952">
          <cell r="E952" t="str">
            <v>AC529</v>
          </cell>
          <cell r="G952" t="str">
            <v>10.188.28.102</v>
          </cell>
          <cell r="H952" t="str">
            <v>10.188.28.65</v>
          </cell>
          <cell r="I952" t="str">
            <v>/26</v>
          </cell>
          <cell r="J952">
            <v>807</v>
          </cell>
          <cell r="K952" t="str">
            <v>10.188.30.102</v>
          </cell>
          <cell r="L952" t="str">
            <v>10.188.30.65</v>
          </cell>
          <cell r="M952" t="str">
            <v>/26</v>
          </cell>
          <cell r="N952">
            <v>817</v>
          </cell>
          <cell r="O952" t="str">
            <v>10.188.32.102</v>
          </cell>
          <cell r="P952" t="str">
            <v>10.188.32.65</v>
          </cell>
          <cell r="Q952" t="str">
            <v>/26</v>
          </cell>
          <cell r="R952">
            <v>827</v>
          </cell>
        </row>
        <row r="953">
          <cell r="E953" t="str">
            <v>AC529</v>
          </cell>
          <cell r="G953" t="str">
            <v>10.188.28.103</v>
          </cell>
          <cell r="H953" t="str">
            <v>10.188.28.65</v>
          </cell>
          <cell r="I953" t="str">
            <v>/26</v>
          </cell>
          <cell r="J953">
            <v>807</v>
          </cell>
          <cell r="K953" t="str">
            <v>10.188.30.103</v>
          </cell>
          <cell r="L953" t="str">
            <v>10.188.30.65</v>
          </cell>
          <cell r="M953" t="str">
            <v>/26</v>
          </cell>
          <cell r="N953">
            <v>817</v>
          </cell>
          <cell r="O953" t="str">
            <v>10.188.32.103</v>
          </cell>
          <cell r="P953" t="str">
            <v>10.188.32.65</v>
          </cell>
          <cell r="Q953" t="str">
            <v>/26</v>
          </cell>
          <cell r="R953">
            <v>827</v>
          </cell>
        </row>
        <row r="954">
          <cell r="E954" t="str">
            <v>AC529</v>
          </cell>
          <cell r="G954" t="str">
            <v>10.188.28.104</v>
          </cell>
          <cell r="H954" t="str">
            <v>10.188.28.65</v>
          </cell>
          <cell r="I954" t="str">
            <v>/26</v>
          </cell>
          <cell r="J954">
            <v>807</v>
          </cell>
          <cell r="K954" t="str">
            <v>10.188.30.104</v>
          </cell>
          <cell r="L954" t="str">
            <v>10.188.30.65</v>
          </cell>
          <cell r="M954" t="str">
            <v>/26</v>
          </cell>
          <cell r="N954">
            <v>817</v>
          </cell>
          <cell r="O954" t="str">
            <v>10.188.32.104</v>
          </cell>
          <cell r="P954" t="str">
            <v>10.188.32.65</v>
          </cell>
          <cell r="Q954" t="str">
            <v>/26</v>
          </cell>
          <cell r="R954">
            <v>827</v>
          </cell>
        </row>
        <row r="955">
          <cell r="E955" t="str">
            <v>AC529</v>
          </cell>
          <cell r="G955" t="str">
            <v>10.188.28.105</v>
          </cell>
          <cell r="H955" t="str">
            <v>10.188.28.65</v>
          </cell>
          <cell r="I955" t="str">
            <v>/26</v>
          </cell>
          <cell r="J955">
            <v>807</v>
          </cell>
          <cell r="K955" t="str">
            <v>10.188.30.105</v>
          </cell>
          <cell r="L955" t="str">
            <v>10.188.30.65</v>
          </cell>
          <cell r="M955" t="str">
            <v>/26</v>
          </cell>
          <cell r="N955">
            <v>817</v>
          </cell>
          <cell r="O955" t="str">
            <v>10.188.32.105</v>
          </cell>
          <cell r="P955" t="str">
            <v>10.188.32.65</v>
          </cell>
          <cell r="Q955" t="str">
            <v>/26</v>
          </cell>
          <cell r="R955">
            <v>827</v>
          </cell>
        </row>
        <row r="956">
          <cell r="E956" t="str">
            <v>AC529</v>
          </cell>
          <cell r="G956" t="str">
            <v>10.188.28.106</v>
          </cell>
          <cell r="H956" t="str">
            <v>10.188.28.65</v>
          </cell>
          <cell r="I956" t="str">
            <v>/26</v>
          </cell>
          <cell r="J956">
            <v>807</v>
          </cell>
          <cell r="K956" t="str">
            <v>10.188.30.106</v>
          </cell>
          <cell r="L956" t="str">
            <v>10.188.30.65</v>
          </cell>
          <cell r="M956" t="str">
            <v>/26</v>
          </cell>
          <cell r="N956">
            <v>817</v>
          </cell>
          <cell r="O956" t="str">
            <v>10.188.32.106</v>
          </cell>
          <cell r="P956" t="str">
            <v>10.188.32.65</v>
          </cell>
          <cell r="Q956" t="str">
            <v>/26</v>
          </cell>
          <cell r="R956">
            <v>827</v>
          </cell>
        </row>
        <row r="957">
          <cell r="E957" t="str">
            <v>AC529</v>
          </cell>
          <cell r="G957" t="str">
            <v>10.188.28.107</v>
          </cell>
          <cell r="H957" t="str">
            <v>10.188.28.65</v>
          </cell>
          <cell r="I957" t="str">
            <v>/26</v>
          </cell>
          <cell r="J957">
            <v>807</v>
          </cell>
          <cell r="K957" t="str">
            <v>10.188.30.107</v>
          </cell>
          <cell r="L957" t="str">
            <v>10.188.30.65</v>
          </cell>
          <cell r="M957" t="str">
            <v>/26</v>
          </cell>
          <cell r="N957">
            <v>817</v>
          </cell>
          <cell r="O957" t="str">
            <v>10.188.32.107</v>
          </cell>
          <cell r="P957" t="str">
            <v>10.188.32.65</v>
          </cell>
          <cell r="Q957" t="str">
            <v>/26</v>
          </cell>
          <cell r="R957">
            <v>827</v>
          </cell>
        </row>
        <row r="958">
          <cell r="E958" t="str">
            <v>AC529</v>
          </cell>
          <cell r="G958" t="str">
            <v>10.188.28.108</v>
          </cell>
          <cell r="H958" t="str">
            <v>10.188.28.65</v>
          </cell>
          <cell r="I958" t="str">
            <v>/26</v>
          </cell>
          <cell r="J958">
            <v>807</v>
          </cell>
          <cell r="K958" t="str">
            <v>10.188.30.108</v>
          </cell>
          <cell r="L958" t="str">
            <v>10.188.30.65</v>
          </cell>
          <cell r="M958" t="str">
            <v>/26</v>
          </cell>
          <cell r="N958">
            <v>817</v>
          </cell>
          <cell r="O958" t="str">
            <v>10.188.32.108</v>
          </cell>
          <cell r="P958" t="str">
            <v>10.188.32.65</v>
          </cell>
          <cell r="Q958" t="str">
            <v>/26</v>
          </cell>
          <cell r="R958">
            <v>827</v>
          </cell>
        </row>
        <row r="959">
          <cell r="E959" t="str">
            <v>AC529</v>
          </cell>
          <cell r="G959" t="str">
            <v>10.188.28.109</v>
          </cell>
          <cell r="H959" t="str">
            <v>10.188.28.65</v>
          </cell>
          <cell r="I959" t="str">
            <v>/26</v>
          </cell>
          <cell r="J959">
            <v>807</v>
          </cell>
          <cell r="K959" t="str">
            <v>10.188.30.109</v>
          </cell>
          <cell r="L959" t="str">
            <v>10.188.30.65</v>
          </cell>
          <cell r="M959" t="str">
            <v>/26</v>
          </cell>
          <cell r="N959">
            <v>817</v>
          </cell>
          <cell r="O959" t="str">
            <v>10.188.32.109</v>
          </cell>
          <cell r="P959" t="str">
            <v>10.188.32.65</v>
          </cell>
          <cell r="Q959" t="str">
            <v>/26</v>
          </cell>
          <cell r="R959">
            <v>827</v>
          </cell>
        </row>
        <row r="960">
          <cell r="E960" t="str">
            <v>AC529</v>
          </cell>
          <cell r="G960" t="str">
            <v>10.188.28.110</v>
          </cell>
          <cell r="H960" t="str">
            <v>10.188.28.65</v>
          </cell>
          <cell r="I960" t="str">
            <v>/26</v>
          </cell>
          <cell r="J960">
            <v>807</v>
          </cell>
          <cell r="K960" t="str">
            <v>10.188.30.110</v>
          </cell>
          <cell r="L960" t="str">
            <v>10.188.30.65</v>
          </cell>
          <cell r="M960" t="str">
            <v>/26</v>
          </cell>
          <cell r="N960">
            <v>817</v>
          </cell>
          <cell r="O960" t="str">
            <v>10.188.32.110</v>
          </cell>
          <cell r="P960" t="str">
            <v>10.188.32.65</v>
          </cell>
          <cell r="Q960" t="str">
            <v>/26</v>
          </cell>
          <cell r="R960">
            <v>827</v>
          </cell>
        </row>
        <row r="961">
          <cell r="E961" t="str">
            <v>AC529</v>
          </cell>
          <cell r="G961" t="str">
            <v>10.188.28.111</v>
          </cell>
          <cell r="H961" t="str">
            <v>10.188.28.65</v>
          </cell>
          <cell r="I961" t="str">
            <v>/26</v>
          </cell>
          <cell r="J961">
            <v>807</v>
          </cell>
          <cell r="K961" t="str">
            <v>10.188.30.111</v>
          </cell>
          <cell r="L961" t="str">
            <v>10.188.30.65</v>
          </cell>
          <cell r="M961" t="str">
            <v>/26</v>
          </cell>
          <cell r="N961">
            <v>817</v>
          </cell>
          <cell r="O961" t="str">
            <v>10.188.32.111</v>
          </cell>
          <cell r="P961" t="str">
            <v>10.188.32.65</v>
          </cell>
          <cell r="Q961" t="str">
            <v>/26</v>
          </cell>
          <cell r="R961">
            <v>827</v>
          </cell>
        </row>
        <row r="962">
          <cell r="E962" t="str">
            <v>AC529</v>
          </cell>
          <cell r="G962" t="str">
            <v>10.188.28.112</v>
          </cell>
          <cell r="H962" t="str">
            <v>10.188.28.65</v>
          </cell>
          <cell r="I962" t="str">
            <v>/26</v>
          </cell>
          <cell r="J962">
            <v>807</v>
          </cell>
          <cell r="K962" t="str">
            <v>10.188.30.112</v>
          </cell>
          <cell r="L962" t="str">
            <v>10.188.30.65</v>
          </cell>
          <cell r="M962" t="str">
            <v>/26</v>
          </cell>
          <cell r="N962">
            <v>817</v>
          </cell>
          <cell r="O962" t="str">
            <v>10.188.32.112</v>
          </cell>
          <cell r="P962" t="str">
            <v>10.188.32.65</v>
          </cell>
          <cell r="Q962" t="str">
            <v>/26</v>
          </cell>
          <cell r="R962">
            <v>827</v>
          </cell>
        </row>
        <row r="963">
          <cell r="E963" t="str">
            <v>AC529</v>
          </cell>
          <cell r="G963" t="str">
            <v>10.188.28.113</v>
          </cell>
          <cell r="H963" t="str">
            <v>10.188.28.65</v>
          </cell>
          <cell r="I963" t="str">
            <v>/26</v>
          </cell>
          <cell r="J963">
            <v>807</v>
          </cell>
          <cell r="K963" t="str">
            <v>10.188.30.113</v>
          </cell>
          <cell r="L963" t="str">
            <v>10.188.30.65</v>
          </cell>
          <cell r="M963" t="str">
            <v>/26</v>
          </cell>
          <cell r="N963">
            <v>817</v>
          </cell>
          <cell r="O963" t="str">
            <v>10.188.32.113</v>
          </cell>
          <cell r="P963" t="str">
            <v>10.188.32.65</v>
          </cell>
          <cell r="Q963" t="str">
            <v>/26</v>
          </cell>
          <cell r="R963">
            <v>827</v>
          </cell>
        </row>
        <row r="964">
          <cell r="E964" t="str">
            <v>AC529</v>
          </cell>
          <cell r="G964" t="str">
            <v>10.188.28.114</v>
          </cell>
          <cell r="H964" t="str">
            <v>10.188.28.65</v>
          </cell>
          <cell r="I964" t="str">
            <v>/26</v>
          </cell>
          <cell r="J964">
            <v>807</v>
          </cell>
          <cell r="K964" t="str">
            <v>10.188.30.114</v>
          </cell>
          <cell r="L964" t="str">
            <v>10.188.30.65</v>
          </cell>
          <cell r="M964" t="str">
            <v>/26</v>
          </cell>
          <cell r="N964">
            <v>817</v>
          </cell>
          <cell r="O964" t="str">
            <v>10.188.32.114</v>
          </cell>
          <cell r="P964" t="str">
            <v>10.188.32.65</v>
          </cell>
          <cell r="Q964" t="str">
            <v>/26</v>
          </cell>
          <cell r="R964">
            <v>827</v>
          </cell>
        </row>
        <row r="965">
          <cell r="E965" t="str">
            <v>AC529</v>
          </cell>
          <cell r="G965" t="str">
            <v>10.188.28.115</v>
          </cell>
          <cell r="H965" t="str">
            <v>10.188.28.65</v>
          </cell>
          <cell r="I965" t="str">
            <v>/26</v>
          </cell>
          <cell r="J965">
            <v>807</v>
          </cell>
          <cell r="K965" t="str">
            <v>10.188.30.115</v>
          </cell>
          <cell r="L965" t="str">
            <v>10.188.30.65</v>
          </cell>
          <cell r="M965" t="str">
            <v>/26</v>
          </cell>
          <cell r="N965">
            <v>817</v>
          </cell>
          <cell r="O965" t="str">
            <v>10.188.32.115</v>
          </cell>
          <cell r="P965" t="str">
            <v>10.188.32.65</v>
          </cell>
          <cell r="Q965" t="str">
            <v>/26</v>
          </cell>
          <cell r="R965">
            <v>827</v>
          </cell>
        </row>
        <row r="966">
          <cell r="E966" t="str">
            <v>AC529</v>
          </cell>
          <cell r="G966" t="str">
            <v>10.188.28.116</v>
          </cell>
          <cell r="H966" t="str">
            <v>10.188.28.65</v>
          </cell>
          <cell r="I966" t="str">
            <v>/26</v>
          </cell>
          <cell r="J966">
            <v>807</v>
          </cell>
          <cell r="K966" t="str">
            <v>10.188.30.116</v>
          </cell>
          <cell r="L966" t="str">
            <v>10.188.30.65</v>
          </cell>
          <cell r="M966" t="str">
            <v>/26</v>
          </cell>
          <cell r="N966">
            <v>817</v>
          </cell>
          <cell r="O966" t="str">
            <v>10.188.32.116</v>
          </cell>
          <cell r="P966" t="str">
            <v>10.188.32.65</v>
          </cell>
          <cell r="Q966" t="str">
            <v>/26</v>
          </cell>
          <cell r="R966">
            <v>827</v>
          </cell>
        </row>
        <row r="967">
          <cell r="E967" t="str">
            <v>AC529</v>
          </cell>
          <cell r="G967" t="str">
            <v>10.188.28.117</v>
          </cell>
          <cell r="H967" t="str">
            <v>10.188.28.65</v>
          </cell>
          <cell r="I967" t="str">
            <v>/26</v>
          </cell>
          <cell r="J967">
            <v>807</v>
          </cell>
          <cell r="K967" t="str">
            <v>10.188.30.117</v>
          </cell>
          <cell r="L967" t="str">
            <v>10.188.30.65</v>
          </cell>
          <cell r="M967" t="str">
            <v>/26</v>
          </cell>
          <cell r="N967">
            <v>817</v>
          </cell>
          <cell r="O967" t="str">
            <v>10.188.32.117</v>
          </cell>
          <cell r="P967" t="str">
            <v>10.188.32.65</v>
          </cell>
          <cell r="Q967" t="str">
            <v>/26</v>
          </cell>
          <cell r="R967">
            <v>827</v>
          </cell>
        </row>
        <row r="968">
          <cell r="E968" t="str">
            <v>AC529</v>
          </cell>
          <cell r="G968" t="str">
            <v>10.188.28.118</v>
          </cell>
          <cell r="H968" t="str">
            <v>10.188.28.65</v>
          </cell>
          <cell r="I968" t="str">
            <v>/26</v>
          </cell>
          <cell r="J968">
            <v>807</v>
          </cell>
          <cell r="K968" t="str">
            <v>10.188.30.118</v>
          </cell>
          <cell r="L968" t="str">
            <v>10.188.30.65</v>
          </cell>
          <cell r="M968" t="str">
            <v>/26</v>
          </cell>
          <cell r="N968">
            <v>817</v>
          </cell>
          <cell r="O968" t="str">
            <v>10.188.32.118</v>
          </cell>
          <cell r="P968" t="str">
            <v>10.188.32.65</v>
          </cell>
          <cell r="Q968" t="str">
            <v>/26</v>
          </cell>
          <cell r="R968">
            <v>827</v>
          </cell>
        </row>
        <row r="969">
          <cell r="E969" t="str">
            <v>AC529</v>
          </cell>
          <cell r="G969" t="str">
            <v>10.188.28.119</v>
          </cell>
          <cell r="H969" t="str">
            <v>10.188.28.65</v>
          </cell>
          <cell r="I969" t="str">
            <v>/26</v>
          </cell>
          <cell r="J969">
            <v>807</v>
          </cell>
          <cell r="K969" t="str">
            <v>10.188.30.119</v>
          </cell>
          <cell r="L969" t="str">
            <v>10.188.30.65</v>
          </cell>
          <cell r="M969" t="str">
            <v>/26</v>
          </cell>
          <cell r="N969">
            <v>817</v>
          </cell>
          <cell r="O969" t="str">
            <v>10.188.32.119</v>
          </cell>
          <cell r="P969" t="str">
            <v>10.188.32.65</v>
          </cell>
          <cell r="Q969" t="str">
            <v>/26</v>
          </cell>
          <cell r="R969">
            <v>827</v>
          </cell>
        </row>
        <row r="970">
          <cell r="E970" t="str">
            <v>AC529</v>
          </cell>
          <cell r="G970" t="str">
            <v>10.188.28.120</v>
          </cell>
          <cell r="H970" t="str">
            <v>10.188.28.65</v>
          </cell>
          <cell r="I970" t="str">
            <v>/26</v>
          </cell>
          <cell r="J970">
            <v>807</v>
          </cell>
          <cell r="K970" t="str">
            <v>10.188.30.120</v>
          </cell>
          <cell r="L970" t="str">
            <v>10.188.30.65</v>
          </cell>
          <cell r="M970" t="str">
            <v>/26</v>
          </cell>
          <cell r="N970">
            <v>817</v>
          </cell>
          <cell r="O970" t="str">
            <v>10.188.32.120</v>
          </cell>
          <cell r="P970" t="str">
            <v>10.188.32.65</v>
          </cell>
          <cell r="Q970" t="str">
            <v>/26</v>
          </cell>
          <cell r="R970">
            <v>827</v>
          </cell>
        </row>
        <row r="971">
          <cell r="E971" t="str">
            <v>AC529</v>
          </cell>
          <cell r="G971" t="str">
            <v>10.188.28.121</v>
          </cell>
          <cell r="H971" t="str">
            <v>10.188.28.65</v>
          </cell>
          <cell r="I971" t="str">
            <v>/26</v>
          </cell>
          <cell r="J971">
            <v>807</v>
          </cell>
          <cell r="K971" t="str">
            <v>10.188.30.121</v>
          </cell>
          <cell r="L971" t="str">
            <v>10.188.30.65</v>
          </cell>
          <cell r="M971" t="str">
            <v>/26</v>
          </cell>
          <cell r="N971">
            <v>817</v>
          </cell>
          <cell r="O971" t="str">
            <v>10.188.32.121</v>
          </cell>
          <cell r="P971" t="str">
            <v>10.188.32.65</v>
          </cell>
          <cell r="Q971" t="str">
            <v>/26</v>
          </cell>
          <cell r="R971">
            <v>827</v>
          </cell>
        </row>
        <row r="972">
          <cell r="E972" t="str">
            <v>AC529</v>
          </cell>
          <cell r="G972" t="str">
            <v>10.188.28.122</v>
          </cell>
          <cell r="H972" t="str">
            <v>10.188.28.65</v>
          </cell>
          <cell r="I972" t="str">
            <v>/26</v>
          </cell>
          <cell r="J972">
            <v>807</v>
          </cell>
          <cell r="K972" t="str">
            <v>10.188.30.122</v>
          </cell>
          <cell r="L972" t="str">
            <v>10.188.30.65</v>
          </cell>
          <cell r="M972" t="str">
            <v>/26</v>
          </cell>
          <cell r="N972">
            <v>817</v>
          </cell>
          <cell r="O972" t="str">
            <v>10.188.32.122</v>
          </cell>
          <cell r="P972" t="str">
            <v>10.188.32.65</v>
          </cell>
          <cell r="Q972" t="str">
            <v>/26</v>
          </cell>
          <cell r="R972">
            <v>827</v>
          </cell>
        </row>
        <row r="973">
          <cell r="E973" t="str">
            <v>AC529</v>
          </cell>
          <cell r="G973" t="str">
            <v>10.188.28.123</v>
          </cell>
          <cell r="H973" t="str">
            <v>10.188.28.65</v>
          </cell>
          <cell r="I973" t="str">
            <v>/26</v>
          </cell>
          <cell r="J973">
            <v>807</v>
          </cell>
          <cell r="K973" t="str">
            <v>10.188.30.123</v>
          </cell>
          <cell r="L973" t="str">
            <v>10.188.30.65</v>
          </cell>
          <cell r="M973" t="str">
            <v>/26</v>
          </cell>
          <cell r="N973">
            <v>817</v>
          </cell>
          <cell r="O973" t="str">
            <v>10.188.32.123</v>
          </cell>
          <cell r="P973" t="str">
            <v>10.188.32.65</v>
          </cell>
          <cell r="Q973" t="str">
            <v>/26</v>
          </cell>
          <cell r="R973">
            <v>827</v>
          </cell>
        </row>
        <row r="974">
          <cell r="E974" t="str">
            <v>AC529</v>
          </cell>
          <cell r="G974" t="str">
            <v>10.188.28.124</v>
          </cell>
          <cell r="H974" t="str">
            <v>10.188.28.65</v>
          </cell>
          <cell r="I974" t="str">
            <v>/26</v>
          </cell>
          <cell r="J974">
            <v>807</v>
          </cell>
          <cell r="K974" t="str">
            <v>10.188.30.124</v>
          </cell>
          <cell r="L974" t="str">
            <v>10.188.30.65</v>
          </cell>
          <cell r="M974" t="str">
            <v>/26</v>
          </cell>
          <cell r="N974">
            <v>817</v>
          </cell>
          <cell r="O974" t="str">
            <v>10.188.32.124</v>
          </cell>
          <cell r="P974" t="str">
            <v>10.188.32.65</v>
          </cell>
          <cell r="Q974" t="str">
            <v>/26</v>
          </cell>
          <cell r="R974">
            <v>827</v>
          </cell>
        </row>
        <row r="975">
          <cell r="E975" t="str">
            <v>AC529</v>
          </cell>
          <cell r="G975" t="str">
            <v>10.188.28.125</v>
          </cell>
          <cell r="H975" t="str">
            <v>10.188.28.65</v>
          </cell>
          <cell r="I975" t="str">
            <v>/26</v>
          </cell>
          <cell r="J975">
            <v>807</v>
          </cell>
          <cell r="K975" t="str">
            <v>10.188.30.125</v>
          </cell>
          <cell r="L975" t="str">
            <v>10.188.30.65</v>
          </cell>
          <cell r="M975" t="str">
            <v>/26</v>
          </cell>
          <cell r="N975">
            <v>817</v>
          </cell>
          <cell r="O975" t="str">
            <v>10.188.32.125</v>
          </cell>
          <cell r="P975" t="str">
            <v>10.188.32.65</v>
          </cell>
          <cell r="Q975" t="str">
            <v>/26</v>
          </cell>
          <cell r="R975">
            <v>827</v>
          </cell>
        </row>
        <row r="976">
          <cell r="E976" t="str">
            <v>AC529</v>
          </cell>
          <cell r="G976" t="str">
            <v>10.188.28.126</v>
          </cell>
          <cell r="H976" t="str">
            <v>10.188.28.65</v>
          </cell>
          <cell r="I976" t="str">
            <v>/26</v>
          </cell>
          <cell r="J976">
            <v>807</v>
          </cell>
          <cell r="K976" t="str">
            <v>10.188.30.126</v>
          </cell>
          <cell r="L976" t="str">
            <v>10.188.30.65</v>
          </cell>
          <cell r="M976" t="str">
            <v>/26</v>
          </cell>
          <cell r="N976">
            <v>817</v>
          </cell>
          <cell r="O976" t="str">
            <v>10.188.32.126</v>
          </cell>
          <cell r="P976" t="str">
            <v>10.188.32.65</v>
          </cell>
          <cell r="Q976" t="str">
            <v>/26</v>
          </cell>
          <cell r="R976">
            <v>827</v>
          </cell>
        </row>
        <row r="977">
          <cell r="E977" t="str">
            <v>AC529</v>
          </cell>
          <cell r="G977" t="str">
            <v>10.188.28.127</v>
          </cell>
          <cell r="H977" t="str">
            <v>10.188.28.65</v>
          </cell>
          <cell r="I977" t="str">
            <v>/26</v>
          </cell>
          <cell r="J977">
            <v>807</v>
          </cell>
          <cell r="K977" t="str">
            <v>10.188.30.127</v>
          </cell>
          <cell r="L977" t="str">
            <v>10.188.30.65</v>
          </cell>
          <cell r="M977" t="str">
            <v>/26</v>
          </cell>
          <cell r="N977">
            <v>817</v>
          </cell>
          <cell r="O977" t="str">
            <v>10.188.32.127</v>
          </cell>
          <cell r="P977" t="str">
            <v>10.188.32.65</v>
          </cell>
          <cell r="Q977" t="str">
            <v>/26</v>
          </cell>
          <cell r="R977">
            <v>827</v>
          </cell>
        </row>
        <row r="978">
          <cell r="E978" t="str">
            <v>AC613 / AC527</v>
          </cell>
          <cell r="G978" t="str">
            <v>10.187.207.32</v>
          </cell>
          <cell r="H978" t="str">
            <v>10.187.207.33</v>
          </cell>
          <cell r="I978" t="str">
            <v>/28</v>
          </cell>
          <cell r="J978">
            <v>803</v>
          </cell>
          <cell r="K978" t="str">
            <v>10.187.207.96</v>
          </cell>
          <cell r="L978" t="str">
            <v>10.187.207.97</v>
          </cell>
          <cell r="M978" t="str">
            <v>/28</v>
          </cell>
          <cell r="N978">
            <v>813</v>
          </cell>
          <cell r="O978" t="str">
            <v>10.187.207.160</v>
          </cell>
          <cell r="P978" t="str">
            <v>10.187.207.161</v>
          </cell>
          <cell r="Q978" t="str">
            <v>/28</v>
          </cell>
          <cell r="R978">
            <v>823</v>
          </cell>
        </row>
        <row r="979">
          <cell r="E979" t="str">
            <v>AC613 / AC527</v>
          </cell>
          <cell r="G979" t="str">
            <v>10.187.207.33</v>
          </cell>
          <cell r="H979" t="str">
            <v>10.187.207.33</v>
          </cell>
          <cell r="I979" t="str">
            <v>/28</v>
          </cell>
          <cell r="J979">
            <v>803</v>
          </cell>
          <cell r="K979" t="str">
            <v>10.187.207.97</v>
          </cell>
          <cell r="L979" t="str">
            <v>10.187.207.97</v>
          </cell>
          <cell r="M979" t="str">
            <v>/28</v>
          </cell>
          <cell r="N979">
            <v>813</v>
          </cell>
          <cell r="O979" t="str">
            <v>10.187.207.161</v>
          </cell>
          <cell r="P979" t="str">
            <v>10.187.207.161</v>
          </cell>
          <cell r="Q979" t="str">
            <v>/28</v>
          </cell>
          <cell r="R979">
            <v>823</v>
          </cell>
        </row>
        <row r="980">
          <cell r="E980" t="str">
            <v>AC613 / AC527</v>
          </cell>
          <cell r="F980" t="str">
            <v>ET493</v>
          </cell>
          <cell r="G980" t="str">
            <v>10.187.207.34</v>
          </cell>
          <cell r="H980" t="str">
            <v>10.187.207.33</v>
          </cell>
          <cell r="I980" t="str">
            <v>/28</v>
          </cell>
          <cell r="J980">
            <v>803</v>
          </cell>
          <cell r="K980" t="str">
            <v>10.187.207.98</v>
          </cell>
          <cell r="L980" t="str">
            <v>10.187.207.97</v>
          </cell>
          <cell r="M980" t="str">
            <v>/28</v>
          </cell>
          <cell r="N980">
            <v>813</v>
          </cell>
          <cell r="O980" t="str">
            <v>10.187.207.162</v>
          </cell>
          <cell r="P980" t="str">
            <v>10.187.207.161</v>
          </cell>
          <cell r="Q980" t="str">
            <v>/28</v>
          </cell>
          <cell r="R980">
            <v>823</v>
          </cell>
        </row>
        <row r="981">
          <cell r="E981" t="str">
            <v>AC613 / AC527</v>
          </cell>
          <cell r="F981" t="str">
            <v>AC642</v>
          </cell>
          <cell r="G981" t="str">
            <v>10.187.207.35</v>
          </cell>
          <cell r="H981" t="str">
            <v>10.187.207.33</v>
          </cell>
          <cell r="I981" t="str">
            <v>/28</v>
          </cell>
          <cell r="J981">
            <v>803</v>
          </cell>
          <cell r="K981" t="str">
            <v>10.187.207.99</v>
          </cell>
          <cell r="L981" t="str">
            <v>10.187.207.97</v>
          </cell>
          <cell r="M981" t="str">
            <v>/28</v>
          </cell>
          <cell r="N981">
            <v>813</v>
          </cell>
          <cell r="O981" t="str">
            <v>10.187.207.163</v>
          </cell>
          <cell r="P981" t="str">
            <v>10.187.207.161</v>
          </cell>
          <cell r="Q981" t="str">
            <v>/28</v>
          </cell>
          <cell r="R981">
            <v>823</v>
          </cell>
        </row>
        <row r="982">
          <cell r="E982" t="str">
            <v>AC613 / AC527</v>
          </cell>
          <cell r="F982" t="str">
            <v>AC527</v>
          </cell>
          <cell r="G982" t="str">
            <v>10.187.207.36</v>
          </cell>
          <cell r="H982" t="str">
            <v>10.187.207.33</v>
          </cell>
          <cell r="I982" t="str">
            <v>/28</v>
          </cell>
          <cell r="J982">
            <v>803</v>
          </cell>
          <cell r="K982" t="str">
            <v>10.187.207.100</v>
          </cell>
          <cell r="L982" t="str">
            <v>10.187.207.97</v>
          </cell>
          <cell r="M982" t="str">
            <v>/28</v>
          </cell>
          <cell r="N982">
            <v>813</v>
          </cell>
          <cell r="O982" t="str">
            <v>10.187.207.164</v>
          </cell>
          <cell r="P982" t="str">
            <v>10.187.207.161</v>
          </cell>
          <cell r="Q982" t="str">
            <v>/28</v>
          </cell>
          <cell r="R982">
            <v>823</v>
          </cell>
        </row>
        <row r="983">
          <cell r="E983" t="str">
            <v>AC613 / AC527</v>
          </cell>
          <cell r="F983" t="str">
            <v>AC527</v>
          </cell>
          <cell r="G983" t="str">
            <v>10.187.207.37</v>
          </cell>
          <cell r="H983" t="str">
            <v>10.187.207.33</v>
          </cell>
          <cell r="I983" t="str">
            <v>/28</v>
          </cell>
          <cell r="J983">
            <v>803</v>
          </cell>
          <cell r="K983" t="str">
            <v>10.187.207.101</v>
          </cell>
          <cell r="L983" t="str">
            <v>10.187.207.97</v>
          </cell>
          <cell r="M983" t="str">
            <v>/28</v>
          </cell>
          <cell r="N983">
            <v>813</v>
          </cell>
          <cell r="O983" t="str">
            <v>10.187.207.165</v>
          </cell>
          <cell r="P983" t="str">
            <v>10.187.207.161</v>
          </cell>
          <cell r="Q983" t="str">
            <v>/28</v>
          </cell>
          <cell r="R983">
            <v>823</v>
          </cell>
        </row>
        <row r="984">
          <cell r="E984" t="str">
            <v>AC613 / AC527</v>
          </cell>
          <cell r="F984" t="str">
            <v>ET493</v>
          </cell>
          <cell r="G984" t="str">
            <v>10.187.207.38</v>
          </cell>
          <cell r="H984" t="str">
            <v>10.187.207.33</v>
          </cell>
          <cell r="I984" t="str">
            <v>/28</v>
          </cell>
          <cell r="J984">
            <v>803</v>
          </cell>
          <cell r="K984" t="str">
            <v>10.187.207.102</v>
          </cell>
          <cell r="L984" t="str">
            <v>10.187.207.97</v>
          </cell>
          <cell r="M984" t="str">
            <v>/28</v>
          </cell>
          <cell r="N984">
            <v>813</v>
          </cell>
          <cell r="O984" t="str">
            <v>10.187.207.166</v>
          </cell>
          <cell r="P984" t="str">
            <v>10.187.207.161</v>
          </cell>
          <cell r="Q984" t="str">
            <v>/28</v>
          </cell>
          <cell r="R984">
            <v>823</v>
          </cell>
        </row>
        <row r="985">
          <cell r="E985" t="str">
            <v>AC613 / AC527</v>
          </cell>
          <cell r="F985" t="str">
            <v>ET493</v>
          </cell>
          <cell r="G985" t="str">
            <v>10.187.207.39</v>
          </cell>
          <cell r="H985" t="str">
            <v>10.187.207.33</v>
          </cell>
          <cell r="I985" t="str">
            <v>/28</v>
          </cell>
          <cell r="J985">
            <v>803</v>
          </cell>
          <cell r="K985" t="str">
            <v>10.187.207.103</v>
          </cell>
          <cell r="L985" t="str">
            <v>10.187.207.97</v>
          </cell>
          <cell r="M985" t="str">
            <v>/28</v>
          </cell>
          <cell r="N985">
            <v>813</v>
          </cell>
          <cell r="O985" t="str">
            <v>10.187.207.167</v>
          </cell>
          <cell r="P985" t="str">
            <v>10.187.207.161</v>
          </cell>
          <cell r="Q985" t="str">
            <v>/28</v>
          </cell>
          <cell r="R985">
            <v>823</v>
          </cell>
        </row>
        <row r="986">
          <cell r="E986" t="str">
            <v>AC613 / AC527</v>
          </cell>
          <cell r="G986" t="str">
            <v>10.187.207.40</v>
          </cell>
          <cell r="H986" t="str">
            <v>10.187.207.33</v>
          </cell>
          <cell r="I986" t="str">
            <v>/28</v>
          </cell>
          <cell r="J986">
            <v>803</v>
          </cell>
          <cell r="K986" t="str">
            <v>10.187.207.104</v>
          </cell>
          <cell r="L986" t="str">
            <v>10.187.207.97</v>
          </cell>
          <cell r="M986" t="str">
            <v>/28</v>
          </cell>
          <cell r="N986">
            <v>813</v>
          </cell>
          <cell r="O986" t="str">
            <v>10.187.207.168</v>
          </cell>
          <cell r="P986" t="str">
            <v>10.187.207.161</v>
          </cell>
          <cell r="Q986" t="str">
            <v>/28</v>
          </cell>
          <cell r="R986">
            <v>823</v>
          </cell>
        </row>
        <row r="987">
          <cell r="E987" t="str">
            <v>AC613 / AC527</v>
          </cell>
          <cell r="F987" t="str">
            <v>ET599</v>
          </cell>
          <cell r="G987" t="str">
            <v>10.187.207.41</v>
          </cell>
          <cell r="H987" t="str">
            <v>10.187.207.33</v>
          </cell>
          <cell r="I987" t="str">
            <v>/28</v>
          </cell>
          <cell r="J987">
            <v>803</v>
          </cell>
          <cell r="K987" t="str">
            <v>10.187.207.105</v>
          </cell>
          <cell r="L987" t="str">
            <v>10.187.207.97</v>
          </cell>
          <cell r="M987" t="str">
            <v>/28</v>
          </cell>
          <cell r="N987">
            <v>813</v>
          </cell>
          <cell r="O987" t="str">
            <v>10.187.207.169</v>
          </cell>
          <cell r="P987" t="str">
            <v>10.187.207.161</v>
          </cell>
          <cell r="Q987" t="str">
            <v>/28</v>
          </cell>
          <cell r="R987">
            <v>823</v>
          </cell>
        </row>
        <row r="988">
          <cell r="E988" t="str">
            <v>AC613 / AC527</v>
          </cell>
          <cell r="F988" t="str">
            <v>ET599</v>
          </cell>
          <cell r="G988" t="str">
            <v>10.187.207.42</v>
          </cell>
          <cell r="H988" t="str">
            <v>10.187.207.33</v>
          </cell>
          <cell r="I988" t="str">
            <v>/28</v>
          </cell>
          <cell r="J988">
            <v>803</v>
          </cell>
          <cell r="K988" t="str">
            <v>10.187.207.106</v>
          </cell>
          <cell r="L988" t="str">
            <v>10.187.207.97</v>
          </cell>
          <cell r="M988" t="str">
            <v>/28</v>
          </cell>
          <cell r="N988">
            <v>813</v>
          </cell>
          <cell r="O988" t="str">
            <v>10.187.207.170</v>
          </cell>
          <cell r="P988" t="str">
            <v>10.187.207.161</v>
          </cell>
          <cell r="Q988" t="str">
            <v>/28</v>
          </cell>
          <cell r="R988">
            <v>823</v>
          </cell>
        </row>
        <row r="989">
          <cell r="E989" t="str">
            <v>AC613 / AC527</v>
          </cell>
          <cell r="F989" t="str">
            <v>ET050</v>
          </cell>
          <cell r="G989" t="str">
            <v>10.187.207.43</v>
          </cell>
          <cell r="H989" t="str">
            <v>10.187.207.33</v>
          </cell>
          <cell r="I989" t="str">
            <v>/28</v>
          </cell>
          <cell r="J989">
            <v>803</v>
          </cell>
          <cell r="K989" t="str">
            <v>10.187.207.107</v>
          </cell>
          <cell r="L989" t="str">
            <v>10.187.207.97</v>
          </cell>
          <cell r="M989" t="str">
            <v>/28</v>
          </cell>
          <cell r="N989">
            <v>813</v>
          </cell>
          <cell r="O989" t="str">
            <v>10.187.207.171</v>
          </cell>
          <cell r="P989" t="str">
            <v>10.187.207.161</v>
          </cell>
          <cell r="Q989" t="str">
            <v>/28</v>
          </cell>
          <cell r="R989">
            <v>823</v>
          </cell>
        </row>
        <row r="990">
          <cell r="E990" t="str">
            <v>AC613 / AC527</v>
          </cell>
          <cell r="F990" t="str">
            <v>ET050</v>
          </cell>
          <cell r="G990" t="str">
            <v>10.187.207.44</v>
          </cell>
          <cell r="H990" t="str">
            <v>10.187.207.33</v>
          </cell>
          <cell r="I990" t="str">
            <v>/28</v>
          </cell>
          <cell r="J990">
            <v>803</v>
          </cell>
          <cell r="K990" t="str">
            <v>10.187.207.108</v>
          </cell>
          <cell r="L990" t="str">
            <v>10.187.207.97</v>
          </cell>
          <cell r="M990" t="str">
            <v>/28</v>
          </cell>
          <cell r="N990">
            <v>813</v>
          </cell>
          <cell r="O990" t="str">
            <v>10.187.207.172</v>
          </cell>
          <cell r="P990" t="str">
            <v>10.187.207.161</v>
          </cell>
          <cell r="Q990" t="str">
            <v>/28</v>
          </cell>
          <cell r="R990">
            <v>823</v>
          </cell>
        </row>
        <row r="991">
          <cell r="E991" t="str">
            <v>AC613 / AC527</v>
          </cell>
          <cell r="F991" t="str">
            <v>IM252</v>
          </cell>
          <cell r="G991" t="str">
            <v>10.187.207.45</v>
          </cell>
          <cell r="H991" t="str">
            <v>10.187.207.33</v>
          </cell>
          <cell r="I991" t="str">
            <v>/28</v>
          </cell>
          <cell r="J991">
            <v>803</v>
          </cell>
          <cell r="K991" t="str">
            <v>10.187.207.109</v>
          </cell>
          <cell r="L991" t="str">
            <v>10.187.207.97</v>
          </cell>
          <cell r="M991" t="str">
            <v>/28</v>
          </cell>
          <cell r="N991">
            <v>813</v>
          </cell>
          <cell r="O991" t="str">
            <v>10.187.207.173</v>
          </cell>
          <cell r="P991" t="str">
            <v>10.187.207.161</v>
          </cell>
          <cell r="Q991" t="str">
            <v>/28</v>
          </cell>
          <cell r="R991">
            <v>823</v>
          </cell>
        </row>
        <row r="992">
          <cell r="E992" t="str">
            <v>AC613 / AC527</v>
          </cell>
          <cell r="F992" t="str">
            <v>IM252</v>
          </cell>
          <cell r="G992" t="str">
            <v>10.187.207.46</v>
          </cell>
          <cell r="H992" t="str">
            <v>10.187.207.33</v>
          </cell>
          <cell r="I992" t="str">
            <v>/28</v>
          </cell>
          <cell r="J992">
            <v>803</v>
          </cell>
          <cell r="K992" t="str">
            <v>10.187.207.110</v>
          </cell>
          <cell r="L992" t="str">
            <v>10.187.207.97</v>
          </cell>
          <cell r="M992" t="str">
            <v>/28</v>
          </cell>
          <cell r="N992">
            <v>813</v>
          </cell>
          <cell r="O992" t="str">
            <v>10.187.207.174</v>
          </cell>
          <cell r="P992" t="str">
            <v>10.187.207.161</v>
          </cell>
          <cell r="Q992" t="str">
            <v>/28</v>
          </cell>
          <cell r="R992">
            <v>823</v>
          </cell>
        </row>
        <row r="993">
          <cell r="E993" t="str">
            <v>AC613 / AC527</v>
          </cell>
          <cell r="G993" t="str">
            <v>10.187.207.47</v>
          </cell>
          <cell r="H993" t="str">
            <v>10.187.207.33</v>
          </cell>
          <cell r="I993" t="str">
            <v>/28</v>
          </cell>
          <cell r="J993">
            <v>803</v>
          </cell>
          <cell r="K993" t="str">
            <v>10.187.207.111</v>
          </cell>
          <cell r="L993" t="str">
            <v>10.187.207.97</v>
          </cell>
          <cell r="M993" t="str">
            <v>/28</v>
          </cell>
          <cell r="N993">
            <v>813</v>
          </cell>
          <cell r="O993" t="str">
            <v>10.187.207.175</v>
          </cell>
          <cell r="P993" t="str">
            <v>10.187.207.161</v>
          </cell>
          <cell r="Q993" t="str">
            <v>/28</v>
          </cell>
          <cell r="R993">
            <v>823</v>
          </cell>
        </row>
        <row r="994">
          <cell r="E994" t="str">
            <v>ASR_9006_AC613</v>
          </cell>
          <cell r="G994" t="str">
            <v>10.187.208.0</v>
          </cell>
          <cell r="H994" t="str">
            <v>10.187.208.1</v>
          </cell>
          <cell r="I994" t="str">
            <v>/27</v>
          </cell>
          <cell r="J994">
            <v>801</v>
          </cell>
          <cell r="K994" t="str">
            <v>10.187.208.64</v>
          </cell>
          <cell r="L994" t="str">
            <v>10.187.208.65</v>
          </cell>
          <cell r="M994" t="str">
            <v>/27</v>
          </cell>
          <cell r="N994">
            <v>811</v>
          </cell>
          <cell r="O994" t="str">
            <v>10.187.208.128</v>
          </cell>
          <cell r="P994" t="str">
            <v>10.187.208.129</v>
          </cell>
          <cell r="Q994" t="str">
            <v>/27</v>
          </cell>
          <cell r="R994">
            <v>821</v>
          </cell>
        </row>
        <row r="995">
          <cell r="E995" t="str">
            <v>ASR_9006_AC613</v>
          </cell>
          <cell r="G995" t="str">
            <v>10.187.208.1</v>
          </cell>
          <cell r="H995" t="str">
            <v>10.187.208.1</v>
          </cell>
          <cell r="I995" t="str">
            <v>/27</v>
          </cell>
          <cell r="J995">
            <v>801</v>
          </cell>
          <cell r="K995" t="str">
            <v>10.187.208.65</v>
          </cell>
          <cell r="L995" t="str">
            <v>10.187.208.65</v>
          </cell>
          <cell r="M995" t="str">
            <v>/27</v>
          </cell>
          <cell r="N995">
            <v>811</v>
          </cell>
          <cell r="O995" t="str">
            <v>10.187.208.129</v>
          </cell>
          <cell r="P995" t="str">
            <v>10.187.208.129</v>
          </cell>
          <cell r="Q995" t="str">
            <v>/27</v>
          </cell>
          <cell r="R995">
            <v>821</v>
          </cell>
        </row>
        <row r="996">
          <cell r="E996" t="str">
            <v>ASR_9006_AC613</v>
          </cell>
          <cell r="G996" t="str">
            <v>10.187.208.2</v>
          </cell>
          <cell r="H996" t="str">
            <v>10.187.208.1</v>
          </cell>
          <cell r="I996" t="str">
            <v>/27</v>
          </cell>
          <cell r="J996">
            <v>801</v>
          </cell>
          <cell r="K996" t="str">
            <v>10.187.208.66</v>
          </cell>
          <cell r="L996" t="str">
            <v>10.187.208.65</v>
          </cell>
          <cell r="M996" t="str">
            <v>/27</v>
          </cell>
          <cell r="N996">
            <v>811</v>
          </cell>
          <cell r="O996" t="str">
            <v>10.187.208.130</v>
          </cell>
          <cell r="P996" t="str">
            <v>10.187.208.129</v>
          </cell>
          <cell r="Q996" t="str">
            <v>/27</v>
          </cell>
          <cell r="R996">
            <v>821</v>
          </cell>
        </row>
        <row r="997">
          <cell r="E997" t="str">
            <v>ASR_9006_AC613</v>
          </cell>
          <cell r="G997" t="str">
            <v>10.187.208.3</v>
          </cell>
          <cell r="H997" t="str">
            <v>10.187.208.1</v>
          </cell>
          <cell r="I997" t="str">
            <v>/27</v>
          </cell>
          <cell r="J997">
            <v>801</v>
          </cell>
          <cell r="K997" t="str">
            <v>10.187.208.67</v>
          </cell>
          <cell r="L997" t="str">
            <v>10.187.208.65</v>
          </cell>
          <cell r="M997" t="str">
            <v>/27</v>
          </cell>
          <cell r="N997">
            <v>811</v>
          </cell>
          <cell r="O997" t="str">
            <v>10.187.208.131</v>
          </cell>
          <cell r="P997" t="str">
            <v>10.187.208.129</v>
          </cell>
          <cell r="Q997" t="str">
            <v>/27</v>
          </cell>
          <cell r="R997">
            <v>821</v>
          </cell>
        </row>
        <row r="998">
          <cell r="E998" t="str">
            <v>ASR_9006_AC613</v>
          </cell>
          <cell r="F998" t="str">
            <v>AC319</v>
          </cell>
          <cell r="G998" t="str">
            <v>10.187.208.4</v>
          </cell>
          <cell r="H998" t="str">
            <v>10.187.208.1</v>
          </cell>
          <cell r="I998" t="str">
            <v>/27</v>
          </cell>
          <cell r="J998">
            <v>801</v>
          </cell>
          <cell r="K998" t="str">
            <v>10.187.208.68</v>
          </cell>
          <cell r="L998" t="str">
            <v>10.187.208.65</v>
          </cell>
          <cell r="M998" t="str">
            <v>/27</v>
          </cell>
          <cell r="N998">
            <v>811</v>
          </cell>
          <cell r="O998" t="str">
            <v>10.187.208.132</v>
          </cell>
          <cell r="P998" t="str">
            <v>10.187.208.129</v>
          </cell>
          <cell r="Q998" t="str">
            <v>/27</v>
          </cell>
          <cell r="R998">
            <v>821</v>
          </cell>
        </row>
        <row r="999">
          <cell r="E999" t="str">
            <v>ASR_9006_AC613</v>
          </cell>
          <cell r="G999" t="str">
            <v>10.187.208.5</v>
          </cell>
          <cell r="H999" t="str">
            <v>10.187.208.1</v>
          </cell>
          <cell r="I999" t="str">
            <v>/27</v>
          </cell>
          <cell r="J999">
            <v>801</v>
          </cell>
          <cell r="K999" t="str">
            <v>10.187.208.69</v>
          </cell>
          <cell r="L999" t="str">
            <v>10.187.208.65</v>
          </cell>
          <cell r="M999" t="str">
            <v>/27</v>
          </cell>
          <cell r="N999">
            <v>811</v>
          </cell>
          <cell r="O999" t="str">
            <v>10.187.208.133</v>
          </cell>
          <cell r="P999" t="str">
            <v>10.187.208.129</v>
          </cell>
          <cell r="Q999" t="str">
            <v>/27</v>
          </cell>
          <cell r="R999">
            <v>821</v>
          </cell>
        </row>
        <row r="1000">
          <cell r="E1000" t="str">
            <v>ASR_9006_AC613</v>
          </cell>
          <cell r="G1000" t="str">
            <v>10.187.208.6</v>
          </cell>
          <cell r="H1000" t="str">
            <v>10.187.208.1</v>
          </cell>
          <cell r="I1000" t="str">
            <v>/27</v>
          </cell>
          <cell r="J1000">
            <v>801</v>
          </cell>
          <cell r="K1000" t="str">
            <v>10.187.208.70</v>
          </cell>
          <cell r="L1000" t="str">
            <v>10.187.208.65</v>
          </cell>
          <cell r="M1000" t="str">
            <v>/27</v>
          </cell>
          <cell r="N1000">
            <v>811</v>
          </cell>
          <cell r="O1000" t="str">
            <v>10.187.208.134</v>
          </cell>
          <cell r="P1000" t="str">
            <v>10.187.208.129</v>
          </cell>
          <cell r="Q1000" t="str">
            <v>/27</v>
          </cell>
          <cell r="R1000">
            <v>821</v>
          </cell>
        </row>
        <row r="1001">
          <cell r="E1001" t="str">
            <v>ASR_9006_AC613</v>
          </cell>
          <cell r="F1001" t="str">
            <v>ET055</v>
          </cell>
          <cell r="G1001" t="str">
            <v>10.187.208.7</v>
          </cell>
          <cell r="H1001" t="str">
            <v>10.187.208.1</v>
          </cell>
          <cell r="I1001" t="str">
            <v>/27</v>
          </cell>
          <cell r="J1001">
            <v>801</v>
          </cell>
          <cell r="K1001" t="str">
            <v>10.187.208.71</v>
          </cell>
          <cell r="L1001" t="str">
            <v>10.187.208.65</v>
          </cell>
          <cell r="M1001" t="str">
            <v>/27</v>
          </cell>
          <cell r="N1001">
            <v>811</v>
          </cell>
          <cell r="O1001" t="str">
            <v>10.187.208.135</v>
          </cell>
          <cell r="P1001" t="str">
            <v>10.187.208.129</v>
          </cell>
          <cell r="Q1001" t="str">
            <v>/27</v>
          </cell>
          <cell r="R1001">
            <v>821</v>
          </cell>
        </row>
        <row r="1002">
          <cell r="E1002" t="str">
            <v>ASR_9006_AC613</v>
          </cell>
          <cell r="G1002" t="str">
            <v>10.187.208.8</v>
          </cell>
          <cell r="H1002" t="str">
            <v>10.187.208.1</v>
          </cell>
          <cell r="I1002" t="str">
            <v>/27</v>
          </cell>
          <cell r="J1002">
            <v>801</v>
          </cell>
          <cell r="K1002" t="str">
            <v>10.187.208.72</v>
          </cell>
          <cell r="L1002" t="str">
            <v>10.187.208.65</v>
          </cell>
          <cell r="M1002" t="str">
            <v>/27</v>
          </cell>
          <cell r="N1002">
            <v>811</v>
          </cell>
          <cell r="O1002" t="str">
            <v>10.187.208.136</v>
          </cell>
          <cell r="P1002" t="str">
            <v>10.187.208.129</v>
          </cell>
          <cell r="Q1002" t="str">
            <v>/27</v>
          </cell>
          <cell r="R1002">
            <v>821</v>
          </cell>
        </row>
        <row r="1003">
          <cell r="E1003" t="str">
            <v>ASR_9006_AC613</v>
          </cell>
          <cell r="G1003" t="str">
            <v>10.187.208.9</v>
          </cell>
          <cell r="H1003" t="str">
            <v>10.187.208.1</v>
          </cell>
          <cell r="I1003" t="str">
            <v>/27</v>
          </cell>
          <cell r="J1003">
            <v>801</v>
          </cell>
          <cell r="K1003" t="str">
            <v>10.187.208.73</v>
          </cell>
          <cell r="L1003" t="str">
            <v>10.187.208.65</v>
          </cell>
          <cell r="M1003" t="str">
            <v>/27</v>
          </cell>
          <cell r="N1003">
            <v>811</v>
          </cell>
          <cell r="O1003" t="str">
            <v>10.187.208.137</v>
          </cell>
          <cell r="P1003" t="str">
            <v>10.187.208.129</v>
          </cell>
          <cell r="Q1003" t="str">
            <v>/27</v>
          </cell>
          <cell r="R1003">
            <v>821</v>
          </cell>
        </row>
        <row r="1004">
          <cell r="E1004" t="str">
            <v>ASR_9006_AC613</v>
          </cell>
          <cell r="G1004" t="str">
            <v>10.187.208.10</v>
          </cell>
          <cell r="H1004" t="str">
            <v>10.187.208.1</v>
          </cell>
          <cell r="I1004" t="str">
            <v>/27</v>
          </cell>
          <cell r="J1004">
            <v>801</v>
          </cell>
          <cell r="K1004" t="str">
            <v>10.187.208.74</v>
          </cell>
          <cell r="L1004" t="str">
            <v>10.187.208.65</v>
          </cell>
          <cell r="M1004" t="str">
            <v>/27</v>
          </cell>
          <cell r="N1004">
            <v>811</v>
          </cell>
          <cell r="O1004" t="str">
            <v>10.187.208.138</v>
          </cell>
          <cell r="P1004" t="str">
            <v>10.187.208.129</v>
          </cell>
          <cell r="Q1004" t="str">
            <v>/27</v>
          </cell>
          <cell r="R1004">
            <v>821</v>
          </cell>
        </row>
        <row r="1005">
          <cell r="E1005" t="str">
            <v>ASR_9006_AC613</v>
          </cell>
          <cell r="G1005" t="str">
            <v>10.187.208.11</v>
          </cell>
          <cell r="H1005" t="str">
            <v>10.187.208.1</v>
          </cell>
          <cell r="I1005" t="str">
            <v>/27</v>
          </cell>
          <cell r="J1005">
            <v>801</v>
          </cell>
          <cell r="K1005" t="str">
            <v>10.187.208.75</v>
          </cell>
          <cell r="L1005" t="str">
            <v>10.187.208.65</v>
          </cell>
          <cell r="M1005" t="str">
            <v>/27</v>
          </cell>
          <cell r="N1005">
            <v>811</v>
          </cell>
          <cell r="O1005" t="str">
            <v>10.187.208.139</v>
          </cell>
          <cell r="P1005" t="str">
            <v>10.187.208.129</v>
          </cell>
          <cell r="Q1005" t="str">
            <v>/27</v>
          </cell>
          <cell r="R1005">
            <v>821</v>
          </cell>
        </row>
        <row r="1006">
          <cell r="E1006" t="str">
            <v>ASR_9006_AC613</v>
          </cell>
          <cell r="G1006" t="str">
            <v>10.187.208.12</v>
          </cell>
          <cell r="H1006" t="str">
            <v>10.187.208.1</v>
          </cell>
          <cell r="I1006" t="str">
            <v>/27</v>
          </cell>
          <cell r="J1006">
            <v>801</v>
          </cell>
          <cell r="K1006" t="str">
            <v>10.187.208.76</v>
          </cell>
          <cell r="L1006" t="str">
            <v>10.187.208.65</v>
          </cell>
          <cell r="M1006" t="str">
            <v>/27</v>
          </cell>
          <cell r="N1006">
            <v>811</v>
          </cell>
          <cell r="O1006" t="str">
            <v>10.187.208.140</v>
          </cell>
          <cell r="P1006" t="str">
            <v>10.187.208.129</v>
          </cell>
          <cell r="Q1006" t="str">
            <v>/27</v>
          </cell>
          <cell r="R1006">
            <v>821</v>
          </cell>
        </row>
        <row r="1007">
          <cell r="E1007" t="str">
            <v>ASR_9006_AC613</v>
          </cell>
          <cell r="G1007" t="str">
            <v>10.187.208.13</v>
          </cell>
          <cell r="H1007" t="str">
            <v>10.187.208.1</v>
          </cell>
          <cell r="I1007" t="str">
            <v>/27</v>
          </cell>
          <cell r="J1007">
            <v>801</v>
          </cell>
          <cell r="K1007" t="str">
            <v>10.187.208.77</v>
          </cell>
          <cell r="L1007" t="str">
            <v>10.187.208.65</v>
          </cell>
          <cell r="M1007" t="str">
            <v>/27</v>
          </cell>
          <cell r="N1007">
            <v>811</v>
          </cell>
          <cell r="O1007" t="str">
            <v>10.187.208.141</v>
          </cell>
          <cell r="P1007" t="str">
            <v>10.187.208.129</v>
          </cell>
          <cell r="Q1007" t="str">
            <v>/27</v>
          </cell>
          <cell r="R1007">
            <v>821</v>
          </cell>
        </row>
        <row r="1008">
          <cell r="E1008" t="str">
            <v>ASR_9006_AC613</v>
          </cell>
          <cell r="G1008" t="str">
            <v>10.187.208.14</v>
          </cell>
          <cell r="H1008" t="str">
            <v>10.187.208.1</v>
          </cell>
          <cell r="I1008" t="str">
            <v>/27</v>
          </cell>
          <cell r="J1008">
            <v>801</v>
          </cell>
          <cell r="K1008" t="str">
            <v>10.187.208.78</v>
          </cell>
          <cell r="L1008" t="str">
            <v>10.187.208.65</v>
          </cell>
          <cell r="M1008" t="str">
            <v>/27</v>
          </cell>
          <cell r="N1008">
            <v>811</v>
          </cell>
          <cell r="O1008" t="str">
            <v>10.187.208.142</v>
          </cell>
          <cell r="P1008" t="str">
            <v>10.187.208.129</v>
          </cell>
          <cell r="Q1008" t="str">
            <v>/27</v>
          </cell>
          <cell r="R1008">
            <v>821</v>
          </cell>
        </row>
        <row r="1009">
          <cell r="E1009" t="str">
            <v>ASR_9006_AC613</v>
          </cell>
          <cell r="G1009" t="str">
            <v>10.187.208.15</v>
          </cell>
          <cell r="H1009" t="str">
            <v>10.187.208.1</v>
          </cell>
          <cell r="I1009" t="str">
            <v>/27</v>
          </cell>
          <cell r="J1009">
            <v>801</v>
          </cell>
          <cell r="K1009" t="str">
            <v>10.187.208.79</v>
          </cell>
          <cell r="L1009" t="str">
            <v>10.187.208.65</v>
          </cell>
          <cell r="M1009" t="str">
            <v>/27</v>
          </cell>
          <cell r="N1009">
            <v>811</v>
          </cell>
          <cell r="O1009" t="str">
            <v>10.187.208.143</v>
          </cell>
          <cell r="P1009" t="str">
            <v>10.187.208.129</v>
          </cell>
          <cell r="Q1009" t="str">
            <v>/27</v>
          </cell>
          <cell r="R1009">
            <v>821</v>
          </cell>
        </row>
        <row r="1010">
          <cell r="E1010" t="str">
            <v>ASR_9006_AC613</v>
          </cell>
          <cell r="G1010" t="str">
            <v>10.187.208.16</v>
          </cell>
          <cell r="H1010" t="str">
            <v>10.187.208.1</v>
          </cell>
          <cell r="I1010" t="str">
            <v>/27</v>
          </cell>
          <cell r="J1010">
            <v>801</v>
          </cell>
          <cell r="K1010" t="str">
            <v>10.187.208.80</v>
          </cell>
          <cell r="L1010" t="str">
            <v>10.187.208.65</v>
          </cell>
          <cell r="M1010" t="str">
            <v>/27</v>
          </cell>
          <cell r="N1010">
            <v>811</v>
          </cell>
          <cell r="O1010" t="str">
            <v>10.187.208.144</v>
          </cell>
          <cell r="P1010" t="str">
            <v>10.187.208.129</v>
          </cell>
          <cell r="Q1010" t="str">
            <v>/27</v>
          </cell>
          <cell r="R1010">
            <v>821</v>
          </cell>
        </row>
        <row r="1011">
          <cell r="E1011" t="str">
            <v>ASR_9006_AC613</v>
          </cell>
          <cell r="G1011" t="str">
            <v>10.187.208.17</v>
          </cell>
          <cell r="H1011" t="str">
            <v>10.187.208.1</v>
          </cell>
          <cell r="I1011" t="str">
            <v>/27</v>
          </cell>
          <cell r="J1011">
            <v>801</v>
          </cell>
          <cell r="K1011" t="str">
            <v>10.187.208.81</v>
          </cell>
          <cell r="L1011" t="str">
            <v>10.187.208.65</v>
          </cell>
          <cell r="M1011" t="str">
            <v>/27</v>
          </cell>
          <cell r="N1011">
            <v>811</v>
          </cell>
          <cell r="O1011" t="str">
            <v>10.187.208.145</v>
          </cell>
          <cell r="P1011" t="str">
            <v>10.187.208.129</v>
          </cell>
          <cell r="Q1011" t="str">
            <v>/27</v>
          </cell>
          <cell r="R1011">
            <v>821</v>
          </cell>
        </row>
        <row r="1012">
          <cell r="E1012" t="str">
            <v>ASR_9006_AC613</v>
          </cell>
          <cell r="G1012" t="str">
            <v>10.187.208.18</v>
          </cell>
          <cell r="H1012" t="str">
            <v>10.187.208.1</v>
          </cell>
          <cell r="I1012" t="str">
            <v>/27</v>
          </cell>
          <cell r="J1012">
            <v>801</v>
          </cell>
          <cell r="K1012" t="str">
            <v>10.187.208.82</v>
          </cell>
          <cell r="L1012" t="str">
            <v>10.187.208.65</v>
          </cell>
          <cell r="M1012" t="str">
            <v>/27</v>
          </cell>
          <cell r="N1012">
            <v>811</v>
          </cell>
          <cell r="O1012" t="str">
            <v>10.187.208.146</v>
          </cell>
          <cell r="P1012" t="str">
            <v>10.187.208.129</v>
          </cell>
          <cell r="Q1012" t="str">
            <v>/27</v>
          </cell>
          <cell r="R1012">
            <v>821</v>
          </cell>
        </row>
        <row r="1013">
          <cell r="E1013" t="str">
            <v>ASR_9006_AC613</v>
          </cell>
          <cell r="G1013" t="str">
            <v>10.187.208.19</v>
          </cell>
          <cell r="H1013" t="str">
            <v>10.187.208.1</v>
          </cell>
          <cell r="I1013" t="str">
            <v>/27</v>
          </cell>
          <cell r="J1013">
            <v>801</v>
          </cell>
          <cell r="K1013" t="str">
            <v>10.187.208.83</v>
          </cell>
          <cell r="L1013" t="str">
            <v>10.187.208.65</v>
          </cell>
          <cell r="M1013" t="str">
            <v>/27</v>
          </cell>
          <cell r="N1013">
            <v>811</v>
          </cell>
          <cell r="O1013" t="str">
            <v>10.187.208.147</v>
          </cell>
          <cell r="P1013" t="str">
            <v>10.187.208.129</v>
          </cell>
          <cell r="Q1013" t="str">
            <v>/27</v>
          </cell>
          <cell r="R1013">
            <v>821</v>
          </cell>
        </row>
        <row r="1014">
          <cell r="E1014" t="str">
            <v>ASR_9006_AC613</v>
          </cell>
          <cell r="G1014" t="str">
            <v>10.187.208.20</v>
          </cell>
          <cell r="H1014" t="str">
            <v>10.187.208.1</v>
          </cell>
          <cell r="I1014" t="str">
            <v>/27</v>
          </cell>
          <cell r="J1014">
            <v>801</v>
          </cell>
          <cell r="K1014" t="str">
            <v>10.187.208.84</v>
          </cell>
          <cell r="L1014" t="str">
            <v>10.187.208.65</v>
          </cell>
          <cell r="M1014" t="str">
            <v>/27</v>
          </cell>
          <cell r="N1014">
            <v>811</v>
          </cell>
          <cell r="O1014" t="str">
            <v>10.187.208.148</v>
          </cell>
          <cell r="P1014" t="str">
            <v>10.187.208.129</v>
          </cell>
          <cell r="Q1014" t="str">
            <v>/27</v>
          </cell>
          <cell r="R1014">
            <v>821</v>
          </cell>
        </row>
        <row r="1015">
          <cell r="E1015" t="str">
            <v>ASR_9006_AC613</v>
          </cell>
          <cell r="G1015" t="str">
            <v>10.187.208.21</v>
          </cell>
          <cell r="H1015" t="str">
            <v>10.187.208.1</v>
          </cell>
          <cell r="I1015" t="str">
            <v>/27</v>
          </cell>
          <cell r="J1015">
            <v>801</v>
          </cell>
          <cell r="K1015" t="str">
            <v>10.187.208.85</v>
          </cell>
          <cell r="L1015" t="str">
            <v>10.187.208.65</v>
          </cell>
          <cell r="M1015" t="str">
            <v>/27</v>
          </cell>
          <cell r="N1015">
            <v>811</v>
          </cell>
          <cell r="O1015" t="str">
            <v>10.187.208.149</v>
          </cell>
          <cell r="P1015" t="str">
            <v>10.187.208.129</v>
          </cell>
          <cell r="Q1015" t="str">
            <v>/27</v>
          </cell>
          <cell r="R1015">
            <v>821</v>
          </cell>
        </row>
        <row r="1016">
          <cell r="E1016" t="str">
            <v>ASR_9006_AC613</v>
          </cell>
          <cell r="G1016" t="str">
            <v>10.187.208.22</v>
          </cell>
          <cell r="H1016" t="str">
            <v>10.187.208.1</v>
          </cell>
          <cell r="I1016" t="str">
            <v>/27</v>
          </cell>
          <cell r="J1016">
            <v>801</v>
          </cell>
          <cell r="K1016" t="str">
            <v>10.187.208.86</v>
          </cell>
          <cell r="L1016" t="str">
            <v>10.187.208.65</v>
          </cell>
          <cell r="M1016" t="str">
            <v>/27</v>
          </cell>
          <cell r="N1016">
            <v>811</v>
          </cell>
          <cell r="O1016" t="str">
            <v>10.187.208.150</v>
          </cell>
          <cell r="P1016" t="str">
            <v>10.187.208.129</v>
          </cell>
          <cell r="Q1016" t="str">
            <v>/27</v>
          </cell>
          <cell r="R1016">
            <v>821</v>
          </cell>
        </row>
        <row r="1017">
          <cell r="E1017" t="str">
            <v>ASR_9006_AC613</v>
          </cell>
          <cell r="G1017" t="str">
            <v>10.187.208.23</v>
          </cell>
          <cell r="H1017" t="str">
            <v>10.187.208.1</v>
          </cell>
          <cell r="I1017" t="str">
            <v>/27</v>
          </cell>
          <cell r="J1017">
            <v>801</v>
          </cell>
          <cell r="K1017" t="str">
            <v>10.187.208.87</v>
          </cell>
          <cell r="L1017" t="str">
            <v>10.187.208.65</v>
          </cell>
          <cell r="M1017" t="str">
            <v>/27</v>
          </cell>
          <cell r="N1017">
            <v>811</v>
          </cell>
          <cell r="O1017" t="str">
            <v>10.187.208.151</v>
          </cell>
          <cell r="P1017" t="str">
            <v>10.187.208.129</v>
          </cell>
          <cell r="Q1017" t="str">
            <v>/27</v>
          </cell>
          <cell r="R1017">
            <v>821</v>
          </cell>
        </row>
        <row r="1018">
          <cell r="E1018" t="str">
            <v>ASR_9006_AC613</v>
          </cell>
          <cell r="G1018" t="str">
            <v>10.187.208.24</v>
          </cell>
          <cell r="H1018" t="str">
            <v>10.187.208.1</v>
          </cell>
          <cell r="I1018" t="str">
            <v>/27</v>
          </cell>
          <cell r="J1018">
            <v>801</v>
          </cell>
          <cell r="K1018" t="str">
            <v>10.187.208.88</v>
          </cell>
          <cell r="L1018" t="str">
            <v>10.187.208.65</v>
          </cell>
          <cell r="M1018" t="str">
            <v>/27</v>
          </cell>
          <cell r="N1018">
            <v>811</v>
          </cell>
          <cell r="O1018" t="str">
            <v>10.187.208.152</v>
          </cell>
          <cell r="P1018" t="str">
            <v>10.187.208.129</v>
          </cell>
          <cell r="Q1018" t="str">
            <v>/27</v>
          </cell>
          <cell r="R1018">
            <v>821</v>
          </cell>
        </row>
        <row r="1019">
          <cell r="E1019" t="str">
            <v>ASR_9006_AC613</v>
          </cell>
          <cell r="G1019" t="str">
            <v>10.187.208.25</v>
          </cell>
          <cell r="H1019" t="str">
            <v>10.187.208.1</v>
          </cell>
          <cell r="I1019" t="str">
            <v>/27</v>
          </cell>
          <cell r="J1019">
            <v>801</v>
          </cell>
          <cell r="K1019" t="str">
            <v>10.187.208.89</v>
          </cell>
          <cell r="L1019" t="str">
            <v>10.187.208.65</v>
          </cell>
          <cell r="M1019" t="str">
            <v>/27</v>
          </cell>
          <cell r="N1019">
            <v>811</v>
          </cell>
          <cell r="O1019" t="str">
            <v>10.187.208.153</v>
          </cell>
          <cell r="P1019" t="str">
            <v>10.187.208.129</v>
          </cell>
          <cell r="Q1019" t="str">
            <v>/27</v>
          </cell>
          <cell r="R1019">
            <v>821</v>
          </cell>
        </row>
        <row r="1020">
          <cell r="E1020" t="str">
            <v>ASR_9006_AC613</v>
          </cell>
          <cell r="G1020" t="str">
            <v>10.187.208.26</v>
          </cell>
          <cell r="H1020" t="str">
            <v>10.187.208.1</v>
          </cell>
          <cell r="I1020" t="str">
            <v>/27</v>
          </cell>
          <cell r="J1020">
            <v>801</v>
          </cell>
          <cell r="K1020" t="str">
            <v>10.187.208.90</v>
          </cell>
          <cell r="L1020" t="str">
            <v>10.187.208.65</v>
          </cell>
          <cell r="M1020" t="str">
            <v>/27</v>
          </cell>
          <cell r="N1020">
            <v>811</v>
          </cell>
          <cell r="O1020" t="str">
            <v>10.187.208.154</v>
          </cell>
          <cell r="P1020" t="str">
            <v>10.187.208.129</v>
          </cell>
          <cell r="Q1020" t="str">
            <v>/27</v>
          </cell>
          <cell r="R1020">
            <v>821</v>
          </cell>
        </row>
        <row r="1021">
          <cell r="E1021" t="str">
            <v>ASR_9006_AC613</v>
          </cell>
          <cell r="G1021" t="str">
            <v>10.187.208.27</v>
          </cell>
          <cell r="H1021" t="str">
            <v>10.187.208.1</v>
          </cell>
          <cell r="I1021" t="str">
            <v>/27</v>
          </cell>
          <cell r="J1021">
            <v>801</v>
          </cell>
          <cell r="K1021" t="str">
            <v>10.187.208.91</v>
          </cell>
          <cell r="L1021" t="str">
            <v>10.187.208.65</v>
          </cell>
          <cell r="M1021" t="str">
            <v>/27</v>
          </cell>
          <cell r="N1021">
            <v>811</v>
          </cell>
          <cell r="O1021" t="str">
            <v>10.187.208.155</v>
          </cell>
          <cell r="P1021" t="str">
            <v>10.187.208.129</v>
          </cell>
          <cell r="Q1021" t="str">
            <v>/27</v>
          </cell>
          <cell r="R1021">
            <v>821</v>
          </cell>
        </row>
        <row r="1022">
          <cell r="E1022" t="str">
            <v>ASR_9006_AC613</v>
          </cell>
          <cell r="G1022" t="str">
            <v>10.187.208.28</v>
          </cell>
          <cell r="H1022" t="str">
            <v>10.187.208.1</v>
          </cell>
          <cell r="I1022" t="str">
            <v>/27</v>
          </cell>
          <cell r="J1022">
            <v>801</v>
          </cell>
          <cell r="K1022" t="str">
            <v>10.187.208.92</v>
          </cell>
          <cell r="L1022" t="str">
            <v>10.187.208.65</v>
          </cell>
          <cell r="M1022" t="str">
            <v>/27</v>
          </cell>
          <cell r="N1022">
            <v>811</v>
          </cell>
          <cell r="O1022" t="str">
            <v>10.187.208.156</v>
          </cell>
          <cell r="P1022" t="str">
            <v>10.187.208.129</v>
          </cell>
          <cell r="Q1022" t="str">
            <v>/27</v>
          </cell>
          <cell r="R1022">
            <v>821</v>
          </cell>
        </row>
        <row r="1023">
          <cell r="E1023" t="str">
            <v>ASR_9006_AC613</v>
          </cell>
          <cell r="G1023" t="str">
            <v>10.187.208.29</v>
          </cell>
          <cell r="H1023" t="str">
            <v>10.187.208.1</v>
          </cell>
          <cell r="I1023" t="str">
            <v>/27</v>
          </cell>
          <cell r="J1023">
            <v>801</v>
          </cell>
          <cell r="K1023" t="str">
            <v>10.187.208.93</v>
          </cell>
          <cell r="L1023" t="str">
            <v>10.187.208.65</v>
          </cell>
          <cell r="M1023" t="str">
            <v>/27</v>
          </cell>
          <cell r="N1023">
            <v>811</v>
          </cell>
          <cell r="O1023" t="str">
            <v>10.187.208.157</v>
          </cell>
          <cell r="P1023" t="str">
            <v>10.187.208.129</v>
          </cell>
          <cell r="Q1023" t="str">
            <v>/27</v>
          </cell>
          <cell r="R1023">
            <v>821</v>
          </cell>
        </row>
        <row r="1024">
          <cell r="E1024" t="str">
            <v>ASR_9006_AC613</v>
          </cell>
          <cell r="G1024" t="str">
            <v>10.187.208.30</v>
          </cell>
          <cell r="H1024" t="str">
            <v>10.187.208.1</v>
          </cell>
          <cell r="I1024" t="str">
            <v>/27</v>
          </cell>
          <cell r="J1024">
            <v>801</v>
          </cell>
          <cell r="K1024" t="str">
            <v>10.187.208.94</v>
          </cell>
          <cell r="L1024" t="str">
            <v>10.187.208.65</v>
          </cell>
          <cell r="M1024" t="str">
            <v>/27</v>
          </cell>
          <cell r="N1024">
            <v>811</v>
          </cell>
          <cell r="O1024" t="str">
            <v>10.187.208.158</v>
          </cell>
          <cell r="P1024" t="str">
            <v>10.187.208.129</v>
          </cell>
          <cell r="Q1024" t="str">
            <v>/27</v>
          </cell>
          <cell r="R1024">
            <v>821</v>
          </cell>
        </row>
        <row r="1025">
          <cell r="E1025" t="str">
            <v>ASR_9006_AC613</v>
          </cell>
          <cell r="G1025" t="str">
            <v>10.187.208.31</v>
          </cell>
          <cell r="H1025" t="str">
            <v>10.187.208.1</v>
          </cell>
          <cell r="I1025" t="str">
            <v>/27</v>
          </cell>
          <cell r="J1025">
            <v>801</v>
          </cell>
          <cell r="K1025" t="str">
            <v>10.187.208.95</v>
          </cell>
          <cell r="L1025" t="str">
            <v>10.187.208.65</v>
          </cell>
          <cell r="M1025" t="str">
            <v>/27</v>
          </cell>
          <cell r="N1025">
            <v>811</v>
          </cell>
          <cell r="O1025" t="str">
            <v>10.187.208.159</v>
          </cell>
          <cell r="P1025" t="str">
            <v>10.187.208.129</v>
          </cell>
          <cell r="Q1025" t="str">
            <v>/27</v>
          </cell>
          <cell r="R1025">
            <v>821</v>
          </cell>
        </row>
        <row r="1026">
          <cell r="E1026" t="str">
            <v>AC966</v>
          </cell>
          <cell r="G1026" t="str">
            <v>10.187.200.96</v>
          </cell>
          <cell r="H1026" t="str">
            <v>10.187.200.97</v>
          </cell>
          <cell r="I1026" t="str">
            <v>/28</v>
          </cell>
          <cell r="J1026">
            <v>801</v>
          </cell>
          <cell r="K1026" t="str">
            <v>10.187.202.96</v>
          </cell>
          <cell r="L1026" t="str">
            <v>10.187.202.97</v>
          </cell>
          <cell r="M1026" t="str">
            <v>/28</v>
          </cell>
          <cell r="N1026">
            <v>811</v>
          </cell>
          <cell r="O1026" t="str">
            <v>10.187.204.96</v>
          </cell>
          <cell r="P1026" t="str">
            <v>10.187.204.97</v>
          </cell>
          <cell r="Q1026" t="str">
            <v>/28</v>
          </cell>
          <cell r="R1026">
            <v>821</v>
          </cell>
        </row>
        <row r="1027">
          <cell r="E1027" t="str">
            <v>AC966</v>
          </cell>
          <cell r="G1027" t="str">
            <v>10.187.200.97</v>
          </cell>
          <cell r="H1027" t="str">
            <v>10.187.200.97</v>
          </cell>
          <cell r="I1027" t="str">
            <v>/28</v>
          </cell>
          <cell r="J1027">
            <v>801</v>
          </cell>
          <cell r="K1027" t="str">
            <v>10.187.202.97</v>
          </cell>
          <cell r="L1027" t="str">
            <v>10.187.202.97</v>
          </cell>
          <cell r="M1027" t="str">
            <v>/28</v>
          </cell>
          <cell r="N1027">
            <v>811</v>
          </cell>
          <cell r="O1027" t="str">
            <v>10.187.204.97</v>
          </cell>
          <cell r="P1027" t="str">
            <v>10.187.204.97</v>
          </cell>
          <cell r="Q1027" t="str">
            <v>/28</v>
          </cell>
          <cell r="R1027">
            <v>821</v>
          </cell>
        </row>
        <row r="1028">
          <cell r="E1028" t="str">
            <v>AC966</v>
          </cell>
          <cell r="G1028" t="str">
            <v>10.187.200.98</v>
          </cell>
          <cell r="H1028" t="str">
            <v>10.187.200.97</v>
          </cell>
          <cell r="I1028" t="str">
            <v>/28</v>
          </cell>
          <cell r="J1028">
            <v>801</v>
          </cell>
          <cell r="K1028" t="str">
            <v>10.187.202.98</v>
          </cell>
          <cell r="L1028" t="str">
            <v>10.187.202.97</v>
          </cell>
          <cell r="M1028" t="str">
            <v>/28</v>
          </cell>
          <cell r="N1028">
            <v>811</v>
          </cell>
          <cell r="O1028" t="str">
            <v>10.187.204.98</v>
          </cell>
          <cell r="P1028" t="str">
            <v>10.187.204.97</v>
          </cell>
          <cell r="Q1028" t="str">
            <v>/28</v>
          </cell>
          <cell r="R1028">
            <v>821</v>
          </cell>
        </row>
        <row r="1029">
          <cell r="E1029" t="str">
            <v>AC966</v>
          </cell>
          <cell r="G1029" t="str">
            <v>10.187.200.99</v>
          </cell>
          <cell r="H1029" t="str">
            <v>10.187.200.97</v>
          </cell>
          <cell r="I1029" t="str">
            <v>/28</v>
          </cell>
          <cell r="J1029">
            <v>801</v>
          </cell>
          <cell r="K1029" t="str">
            <v>10.187.202.99</v>
          </cell>
          <cell r="L1029" t="str">
            <v>10.187.202.97</v>
          </cell>
          <cell r="M1029" t="str">
            <v>/28</v>
          </cell>
          <cell r="N1029">
            <v>811</v>
          </cell>
          <cell r="O1029" t="str">
            <v>10.187.204.99</v>
          </cell>
          <cell r="P1029" t="str">
            <v>10.187.204.97</v>
          </cell>
          <cell r="Q1029" t="str">
            <v>/28</v>
          </cell>
          <cell r="R1029">
            <v>821</v>
          </cell>
        </row>
        <row r="1030">
          <cell r="E1030" t="str">
            <v>AC966</v>
          </cell>
          <cell r="F1030" t="str">
            <v>AC199</v>
          </cell>
          <cell r="G1030" t="str">
            <v>10.187.200.100</v>
          </cell>
          <cell r="H1030" t="str">
            <v>10.187.200.97</v>
          </cell>
          <cell r="I1030" t="str">
            <v>/28</v>
          </cell>
          <cell r="J1030">
            <v>801</v>
          </cell>
          <cell r="K1030" t="str">
            <v>10.187.202.100</v>
          </cell>
          <cell r="L1030" t="str">
            <v>10.187.202.97</v>
          </cell>
          <cell r="M1030" t="str">
            <v>/28</v>
          </cell>
          <cell r="N1030">
            <v>811</v>
          </cell>
          <cell r="O1030" t="str">
            <v>10.187.204.100</v>
          </cell>
          <cell r="P1030" t="str">
            <v>10.187.204.97</v>
          </cell>
          <cell r="Q1030" t="str">
            <v>/28</v>
          </cell>
          <cell r="R1030">
            <v>821</v>
          </cell>
        </row>
        <row r="1031">
          <cell r="E1031" t="str">
            <v>AC966</v>
          </cell>
          <cell r="F1031" t="str">
            <v>AC966</v>
          </cell>
          <cell r="G1031" t="str">
            <v>10.187.200.101</v>
          </cell>
          <cell r="H1031" t="str">
            <v>10.187.200.97</v>
          </cell>
          <cell r="I1031" t="str">
            <v>/28</v>
          </cell>
          <cell r="J1031">
            <v>801</v>
          </cell>
          <cell r="K1031" t="str">
            <v>10.187.202.101</v>
          </cell>
          <cell r="L1031" t="str">
            <v>10.187.202.97</v>
          </cell>
          <cell r="M1031" t="str">
            <v>/28</v>
          </cell>
          <cell r="N1031">
            <v>811</v>
          </cell>
          <cell r="O1031" t="str">
            <v>10.187.204.101</v>
          </cell>
          <cell r="P1031" t="str">
            <v>10.187.204.97</v>
          </cell>
          <cell r="Q1031" t="str">
            <v>/28</v>
          </cell>
          <cell r="R1031">
            <v>821</v>
          </cell>
        </row>
        <row r="1032">
          <cell r="E1032" t="str">
            <v>AC966</v>
          </cell>
          <cell r="G1032" t="str">
            <v>10.187.200.102</v>
          </cell>
          <cell r="H1032" t="str">
            <v>10.187.200.97</v>
          </cell>
          <cell r="I1032" t="str">
            <v>/28</v>
          </cell>
          <cell r="J1032">
            <v>801</v>
          </cell>
          <cell r="K1032" t="str">
            <v>10.187.202.102</v>
          </cell>
          <cell r="L1032" t="str">
            <v>10.187.202.97</v>
          </cell>
          <cell r="M1032" t="str">
            <v>/28</v>
          </cell>
          <cell r="N1032">
            <v>811</v>
          </cell>
          <cell r="O1032" t="str">
            <v>10.187.204.102</v>
          </cell>
          <cell r="P1032" t="str">
            <v>10.187.204.97</v>
          </cell>
          <cell r="Q1032" t="str">
            <v>/28</v>
          </cell>
          <cell r="R1032">
            <v>821</v>
          </cell>
        </row>
        <row r="1033">
          <cell r="E1033" t="str">
            <v>AC966</v>
          </cell>
          <cell r="G1033" t="str">
            <v>10.187.200.103</v>
          </cell>
          <cell r="H1033" t="str">
            <v>10.187.200.97</v>
          </cell>
          <cell r="I1033" t="str">
            <v>/28</v>
          </cell>
          <cell r="J1033">
            <v>801</v>
          </cell>
          <cell r="K1033" t="str">
            <v>10.187.202.103</v>
          </cell>
          <cell r="L1033" t="str">
            <v>10.187.202.97</v>
          </cell>
          <cell r="M1033" t="str">
            <v>/28</v>
          </cell>
          <cell r="N1033">
            <v>811</v>
          </cell>
          <cell r="O1033" t="str">
            <v>10.187.204.103</v>
          </cell>
          <cell r="P1033" t="str">
            <v>10.187.204.97</v>
          </cell>
          <cell r="Q1033" t="str">
            <v>/28</v>
          </cell>
          <cell r="R1033">
            <v>821</v>
          </cell>
        </row>
        <row r="1034">
          <cell r="E1034" t="str">
            <v>AC966</v>
          </cell>
          <cell r="F1034" t="str">
            <v>AC967</v>
          </cell>
          <cell r="G1034" t="str">
            <v>10.187.200.104</v>
          </cell>
          <cell r="H1034" t="str">
            <v>10.187.200.97</v>
          </cell>
          <cell r="I1034" t="str">
            <v>/28</v>
          </cell>
          <cell r="J1034">
            <v>801</v>
          </cell>
          <cell r="K1034" t="str">
            <v>10.187.202.104</v>
          </cell>
          <cell r="L1034" t="str">
            <v>10.187.202.97</v>
          </cell>
          <cell r="M1034" t="str">
            <v>/28</v>
          </cell>
          <cell r="N1034">
            <v>811</v>
          </cell>
          <cell r="O1034" t="str">
            <v>10.187.204.104</v>
          </cell>
          <cell r="P1034" t="str">
            <v>10.187.204.97</v>
          </cell>
          <cell r="Q1034" t="str">
            <v>/28</v>
          </cell>
          <cell r="R1034">
            <v>821</v>
          </cell>
        </row>
        <row r="1035">
          <cell r="E1035" t="str">
            <v>AC966</v>
          </cell>
          <cell r="F1035" t="str">
            <v>AC967</v>
          </cell>
          <cell r="G1035" t="str">
            <v>10.187.200.105</v>
          </cell>
          <cell r="H1035" t="str">
            <v>10.187.200.97</v>
          </cell>
          <cell r="I1035" t="str">
            <v>/28</v>
          </cell>
          <cell r="J1035">
            <v>801</v>
          </cell>
          <cell r="K1035" t="str">
            <v>10.187.202.105</v>
          </cell>
          <cell r="L1035" t="str">
            <v>10.187.202.97</v>
          </cell>
          <cell r="M1035" t="str">
            <v>/28</v>
          </cell>
          <cell r="N1035">
            <v>811</v>
          </cell>
          <cell r="O1035" t="str">
            <v>10.187.204.105</v>
          </cell>
          <cell r="P1035" t="str">
            <v>10.187.204.97</v>
          </cell>
          <cell r="Q1035" t="str">
            <v>/28</v>
          </cell>
          <cell r="R1035">
            <v>821</v>
          </cell>
        </row>
        <row r="1036">
          <cell r="E1036" t="str">
            <v>AC966</v>
          </cell>
          <cell r="F1036" t="str">
            <v>AC965</v>
          </cell>
          <cell r="G1036" t="str">
            <v>10.187.200.106</v>
          </cell>
          <cell r="H1036" t="str">
            <v>10.187.200.97</v>
          </cell>
          <cell r="I1036" t="str">
            <v>/28</v>
          </cell>
          <cell r="J1036">
            <v>801</v>
          </cell>
          <cell r="K1036" t="str">
            <v>10.187.202.106</v>
          </cell>
          <cell r="L1036" t="str">
            <v>10.187.202.97</v>
          </cell>
          <cell r="M1036" t="str">
            <v>/28</v>
          </cell>
          <cell r="N1036">
            <v>811</v>
          </cell>
          <cell r="O1036" t="str">
            <v>10.187.204.106</v>
          </cell>
          <cell r="P1036" t="str">
            <v>10.187.204.97</v>
          </cell>
          <cell r="Q1036" t="str">
            <v>/28</v>
          </cell>
          <cell r="R1036">
            <v>821</v>
          </cell>
        </row>
        <row r="1037">
          <cell r="E1037" t="str">
            <v>AC966</v>
          </cell>
          <cell r="F1037" t="str">
            <v>AC965</v>
          </cell>
          <cell r="G1037" t="str">
            <v>10.187.200.107</v>
          </cell>
          <cell r="H1037" t="str">
            <v>10.187.200.97</v>
          </cell>
          <cell r="I1037" t="str">
            <v>/28</v>
          </cell>
          <cell r="J1037">
            <v>801</v>
          </cell>
          <cell r="K1037" t="str">
            <v>10.187.202.107</v>
          </cell>
          <cell r="L1037" t="str">
            <v>10.187.202.97</v>
          </cell>
          <cell r="M1037" t="str">
            <v>/28</v>
          </cell>
          <cell r="N1037">
            <v>811</v>
          </cell>
          <cell r="O1037" t="str">
            <v>10.187.204.107</v>
          </cell>
          <cell r="P1037" t="str">
            <v>10.187.204.97</v>
          </cell>
          <cell r="Q1037" t="str">
            <v>/28</v>
          </cell>
          <cell r="R1037">
            <v>821</v>
          </cell>
        </row>
        <row r="1038">
          <cell r="E1038" t="str">
            <v>AC966</v>
          </cell>
          <cell r="F1038" t="str">
            <v>AC817</v>
          </cell>
          <cell r="G1038" t="str">
            <v>10.187.200.108</v>
          </cell>
          <cell r="H1038" t="str">
            <v>10.187.200.97</v>
          </cell>
          <cell r="I1038" t="str">
            <v>/28</v>
          </cell>
          <cell r="J1038">
            <v>801</v>
          </cell>
          <cell r="K1038" t="str">
            <v>10.187.202.108</v>
          </cell>
          <cell r="L1038" t="str">
            <v>10.187.202.97</v>
          </cell>
          <cell r="M1038" t="str">
            <v>/28</v>
          </cell>
          <cell r="N1038">
            <v>811</v>
          </cell>
          <cell r="O1038" t="str">
            <v>10.187.204.108</v>
          </cell>
          <cell r="P1038" t="str">
            <v>10.187.204.97</v>
          </cell>
          <cell r="Q1038" t="str">
            <v>/28</v>
          </cell>
          <cell r="R1038">
            <v>821</v>
          </cell>
        </row>
        <row r="1039">
          <cell r="E1039" t="str">
            <v>AC966</v>
          </cell>
          <cell r="F1039" t="str">
            <v>ET897</v>
          </cell>
          <cell r="G1039" t="str">
            <v>10.187.200.109</v>
          </cell>
          <cell r="H1039" t="str">
            <v>10.187.200.97</v>
          </cell>
          <cell r="I1039" t="str">
            <v>/28</v>
          </cell>
          <cell r="J1039">
            <v>801</v>
          </cell>
          <cell r="K1039" t="str">
            <v>10.187.202.109</v>
          </cell>
          <cell r="L1039" t="str">
            <v>10.187.202.97</v>
          </cell>
          <cell r="M1039" t="str">
            <v>/28</v>
          </cell>
          <cell r="N1039">
            <v>811</v>
          </cell>
          <cell r="O1039" t="str">
            <v>10.187.204.109</v>
          </cell>
          <cell r="P1039" t="str">
            <v>10.187.204.97</v>
          </cell>
          <cell r="Q1039" t="str">
            <v>/28</v>
          </cell>
          <cell r="R1039">
            <v>821</v>
          </cell>
        </row>
        <row r="1040">
          <cell r="E1040" t="str">
            <v>AC966</v>
          </cell>
          <cell r="F1040" t="str">
            <v>ET897</v>
          </cell>
          <cell r="G1040" t="str">
            <v>10.187.200.110</v>
          </cell>
          <cell r="H1040" t="str">
            <v>10.187.200.97</v>
          </cell>
          <cell r="I1040" t="str">
            <v>/28</v>
          </cell>
          <cell r="J1040">
            <v>801</v>
          </cell>
          <cell r="K1040" t="str">
            <v>10.187.202.110</v>
          </cell>
          <cell r="L1040" t="str">
            <v>10.187.202.97</v>
          </cell>
          <cell r="M1040" t="str">
            <v>/28</v>
          </cell>
          <cell r="N1040">
            <v>811</v>
          </cell>
          <cell r="O1040" t="str">
            <v>10.187.204.110</v>
          </cell>
          <cell r="P1040" t="str">
            <v>10.187.204.97</v>
          </cell>
          <cell r="Q1040" t="str">
            <v>/28</v>
          </cell>
          <cell r="R1040">
            <v>821</v>
          </cell>
        </row>
        <row r="1041">
          <cell r="E1041" t="str">
            <v>AC966</v>
          </cell>
          <cell r="G1041" t="str">
            <v>10.187.200.111</v>
          </cell>
          <cell r="H1041" t="str">
            <v>10.187.200.97</v>
          </cell>
          <cell r="I1041" t="str">
            <v>/28</v>
          </cell>
          <cell r="J1041">
            <v>801</v>
          </cell>
          <cell r="K1041" t="str">
            <v>10.187.202.111</v>
          </cell>
          <cell r="L1041" t="str">
            <v>10.187.202.97</v>
          </cell>
          <cell r="M1041" t="str">
            <v>/28</v>
          </cell>
          <cell r="N1041">
            <v>811</v>
          </cell>
          <cell r="O1041" t="str">
            <v>10.187.204.111</v>
          </cell>
          <cell r="P1041" t="str">
            <v>10.187.204.97</v>
          </cell>
          <cell r="Q1041" t="str">
            <v>/28</v>
          </cell>
          <cell r="R1041">
            <v>821</v>
          </cell>
        </row>
        <row r="1042">
          <cell r="E1042" t="str">
            <v>AC147</v>
          </cell>
          <cell r="G1042" t="str">
            <v>10.189.83.240</v>
          </cell>
          <cell r="H1042" t="str">
            <v>10.189.83.241</v>
          </cell>
          <cell r="I1042" t="str">
            <v>/28</v>
          </cell>
          <cell r="J1042">
            <v>2271</v>
          </cell>
          <cell r="K1042" t="str">
            <v>10.189.103.240</v>
          </cell>
          <cell r="L1042" t="str">
            <v>10.189.103.241</v>
          </cell>
          <cell r="M1042" t="str">
            <v>/28</v>
          </cell>
          <cell r="N1042">
            <v>2371</v>
          </cell>
          <cell r="O1042" t="str">
            <v>10.189.123.240</v>
          </cell>
          <cell r="P1042" t="str">
            <v>10.189.123.241</v>
          </cell>
          <cell r="Q1042" t="str">
            <v>/28</v>
          </cell>
          <cell r="R1042">
            <v>2471</v>
          </cell>
        </row>
        <row r="1043">
          <cell r="E1043" t="str">
            <v>AC147</v>
          </cell>
          <cell r="G1043" t="str">
            <v>10.189.83.241</v>
          </cell>
          <cell r="H1043" t="str">
            <v>10.189.83.241</v>
          </cell>
          <cell r="I1043" t="str">
            <v>/28</v>
          </cell>
          <cell r="J1043">
            <v>2271</v>
          </cell>
          <cell r="K1043" t="str">
            <v>10.189.103.241</v>
          </cell>
          <cell r="L1043" t="str">
            <v>10.189.103.241</v>
          </cell>
          <cell r="M1043" t="str">
            <v>/28</v>
          </cell>
          <cell r="N1043">
            <v>2371</v>
          </cell>
          <cell r="O1043" t="str">
            <v>10.189.123.241</v>
          </cell>
          <cell r="P1043" t="str">
            <v>10.189.123.241</v>
          </cell>
          <cell r="Q1043" t="str">
            <v>/28</v>
          </cell>
          <cell r="R1043">
            <v>2471</v>
          </cell>
        </row>
        <row r="1044">
          <cell r="E1044" t="str">
            <v>AC147</v>
          </cell>
          <cell r="F1044" t="str">
            <v>AC968</v>
          </cell>
          <cell r="G1044" t="str">
            <v>10.189.83.253</v>
          </cell>
          <cell r="H1044" t="str">
            <v>10.189.83.241</v>
          </cell>
          <cell r="I1044" t="str">
            <v>/28</v>
          </cell>
          <cell r="J1044">
            <v>2271</v>
          </cell>
          <cell r="K1044" t="str">
            <v>10.189.103.253</v>
          </cell>
          <cell r="L1044" t="str">
            <v>10.189.103.241</v>
          </cell>
          <cell r="M1044" t="str">
            <v>/28</v>
          </cell>
          <cell r="N1044">
            <v>2371</v>
          </cell>
          <cell r="O1044" t="str">
            <v>10.189.123.253</v>
          </cell>
          <cell r="P1044" t="str">
            <v>10.189.123.241</v>
          </cell>
          <cell r="Q1044" t="str">
            <v>/28</v>
          </cell>
          <cell r="R1044">
            <v>2471</v>
          </cell>
        </row>
        <row r="1045">
          <cell r="E1045" t="str">
            <v>AC147</v>
          </cell>
          <cell r="F1045" t="str">
            <v>IM261</v>
          </cell>
          <cell r="G1045" t="str">
            <v>10.189.90.167</v>
          </cell>
          <cell r="H1045" t="str">
            <v>10.189.90.161</v>
          </cell>
          <cell r="I1045" t="str">
            <v>/28</v>
          </cell>
          <cell r="J1045">
            <v>2654</v>
          </cell>
          <cell r="K1045" t="str">
            <v>10.189.110.167</v>
          </cell>
          <cell r="L1045" t="str">
            <v>10.189.110.161</v>
          </cell>
          <cell r="M1045" t="str">
            <v>/28</v>
          </cell>
          <cell r="N1045">
            <v>2954</v>
          </cell>
        </row>
        <row r="1046">
          <cell r="E1046" t="str">
            <v>AC147</v>
          </cell>
          <cell r="F1046" t="str">
            <v>IM261</v>
          </cell>
          <cell r="O1046" t="str">
            <v>10.189.130.167</v>
          </cell>
          <cell r="P1046" t="str">
            <v>10.189.130.161</v>
          </cell>
          <cell r="Q1046" t="str">
            <v>/28</v>
          </cell>
          <cell r="R1046">
            <v>3454</v>
          </cell>
        </row>
        <row r="1047">
          <cell r="E1047" t="str">
            <v>AC115</v>
          </cell>
          <cell r="G1047" t="str">
            <v>10.189.87.112</v>
          </cell>
          <cell r="H1047" t="str">
            <v>10.189.87.113</v>
          </cell>
          <cell r="I1047" t="str">
            <v>/28</v>
          </cell>
          <cell r="J1047">
            <v>2252</v>
          </cell>
          <cell r="K1047" t="str">
            <v>10.189.107.112</v>
          </cell>
          <cell r="L1047" t="str">
            <v>10.189.107.113</v>
          </cell>
          <cell r="M1047" t="str">
            <v>/28</v>
          </cell>
          <cell r="N1047">
            <v>2352</v>
          </cell>
          <cell r="O1047" t="str">
            <v>10.189.127.112</v>
          </cell>
          <cell r="P1047" t="str">
            <v>10.189.127.113</v>
          </cell>
          <cell r="Q1047" t="str">
            <v>/28</v>
          </cell>
          <cell r="R1047">
            <v>2452</v>
          </cell>
        </row>
        <row r="1048">
          <cell r="E1048" t="str">
            <v>AC115</v>
          </cell>
          <cell r="G1048" t="str">
            <v>10.189.87.113</v>
          </cell>
          <cell r="H1048" t="str">
            <v>10.189.87.113</v>
          </cell>
          <cell r="I1048" t="str">
            <v>/28</v>
          </cell>
          <cell r="J1048">
            <v>2252</v>
          </cell>
          <cell r="K1048" t="str">
            <v>10.189.107.113</v>
          </cell>
          <cell r="L1048" t="str">
            <v>10.189.107.113</v>
          </cell>
          <cell r="M1048" t="str">
            <v>/28</v>
          </cell>
          <cell r="N1048">
            <v>2352</v>
          </cell>
          <cell r="O1048" t="str">
            <v>10.189.127.113</v>
          </cell>
          <cell r="P1048" t="str">
            <v>10.189.127.113</v>
          </cell>
          <cell r="Q1048" t="str">
            <v>/28</v>
          </cell>
          <cell r="R1048">
            <v>2452</v>
          </cell>
        </row>
        <row r="1049">
          <cell r="E1049" t="str">
            <v>AC115</v>
          </cell>
          <cell r="G1049" t="str">
            <v>10.189.87.117</v>
          </cell>
          <cell r="H1049" t="str">
            <v>10.189.87.113</v>
          </cell>
          <cell r="I1049" t="str">
            <v>/28</v>
          </cell>
          <cell r="J1049">
            <v>2252</v>
          </cell>
          <cell r="K1049" t="str">
            <v>10.189.107.117</v>
          </cell>
          <cell r="L1049" t="str">
            <v>10.189.107.113</v>
          </cell>
          <cell r="M1049" t="str">
            <v>/28</v>
          </cell>
          <cell r="N1049">
            <v>2352</v>
          </cell>
          <cell r="O1049" t="str">
            <v>10.189.127.117</v>
          </cell>
          <cell r="P1049" t="str">
            <v>10.189.127.113</v>
          </cell>
          <cell r="Q1049" t="str">
            <v>/28</v>
          </cell>
          <cell r="R1049">
            <v>2452</v>
          </cell>
        </row>
        <row r="1050">
          <cell r="E1050" t="str">
            <v>AC115</v>
          </cell>
          <cell r="F1050" t="str">
            <v>AC545</v>
          </cell>
          <cell r="G1050" t="str">
            <v>10.189.83.194</v>
          </cell>
          <cell r="H1050" t="str">
            <v>10.189.83.193</v>
          </cell>
          <cell r="I1050" t="str">
            <v>/28</v>
          </cell>
          <cell r="J1050">
            <v>2268</v>
          </cell>
          <cell r="K1050" t="str">
            <v>10.189.103.194</v>
          </cell>
          <cell r="L1050" t="str">
            <v>10.189.103.193</v>
          </cell>
          <cell r="M1050" t="str">
            <v>/28</v>
          </cell>
          <cell r="N1050">
            <v>2368</v>
          </cell>
          <cell r="O1050" t="str">
            <v>10.189.123.194</v>
          </cell>
          <cell r="P1050" t="str">
            <v>10.189.123.193</v>
          </cell>
          <cell r="Q1050" t="str">
            <v>/28</v>
          </cell>
          <cell r="R1050">
            <v>2468</v>
          </cell>
        </row>
        <row r="1051">
          <cell r="E1051" t="str">
            <v>AC115</v>
          </cell>
          <cell r="F1051" t="str">
            <v>AC545</v>
          </cell>
          <cell r="G1051" t="str">
            <v>10.189.83.195</v>
          </cell>
          <cell r="H1051" t="str">
            <v>10.189.83.193</v>
          </cell>
          <cell r="I1051" t="str">
            <v>/28</v>
          </cell>
          <cell r="J1051">
            <v>2268</v>
          </cell>
          <cell r="K1051" t="str">
            <v>10.189.103.195</v>
          </cell>
          <cell r="L1051" t="str">
            <v>10.189.103.193</v>
          </cell>
          <cell r="M1051" t="str">
            <v>/28</v>
          </cell>
          <cell r="N1051">
            <v>2368</v>
          </cell>
          <cell r="O1051" t="str">
            <v>10.189.123.195</v>
          </cell>
          <cell r="P1051" t="str">
            <v>10.189.123.193</v>
          </cell>
          <cell r="Q1051" t="str">
            <v>/28</v>
          </cell>
          <cell r="R1051">
            <v>2468</v>
          </cell>
        </row>
        <row r="1052">
          <cell r="E1052" t="str">
            <v>AC115</v>
          </cell>
        </row>
        <row r="1053">
          <cell r="E1053" t="str">
            <v>ET444</v>
          </cell>
          <cell r="G1053" t="str">
            <v>10.187.138.224</v>
          </cell>
          <cell r="H1053" t="str">
            <v>10.187.138.225</v>
          </cell>
          <cell r="I1053" t="str">
            <v>/27</v>
          </cell>
          <cell r="J1053">
            <v>1300</v>
          </cell>
          <cell r="K1053" t="str">
            <v>10.187.154.224</v>
          </cell>
          <cell r="L1053" t="str">
            <v>10.187.154.225</v>
          </cell>
          <cell r="M1053" t="str">
            <v>/27</v>
          </cell>
          <cell r="N1053">
            <v>1310</v>
          </cell>
          <cell r="O1053" t="str">
            <v>10.187.170.224</v>
          </cell>
          <cell r="P1053" t="str">
            <v>10.187.170.225</v>
          </cell>
          <cell r="Q1053" t="str">
            <v>/27</v>
          </cell>
          <cell r="R1053">
            <v>1320</v>
          </cell>
        </row>
        <row r="1054">
          <cell r="E1054" t="str">
            <v>ET444</v>
          </cell>
          <cell r="G1054" t="str">
            <v>10.187.138.225</v>
          </cell>
          <cell r="H1054" t="str">
            <v>10.187.138.225</v>
          </cell>
          <cell r="I1054" t="str">
            <v>/27</v>
          </cell>
          <cell r="J1054">
            <v>1300</v>
          </cell>
          <cell r="K1054" t="str">
            <v>10.187.154.225</v>
          </cell>
          <cell r="L1054" t="str">
            <v>10.187.154.225</v>
          </cell>
          <cell r="M1054" t="str">
            <v>/27</v>
          </cell>
          <cell r="N1054">
            <v>1310</v>
          </cell>
          <cell r="O1054" t="str">
            <v>10.187.170.225</v>
          </cell>
          <cell r="P1054" t="str">
            <v>10.187.170.225</v>
          </cell>
          <cell r="Q1054" t="str">
            <v>/27</v>
          </cell>
          <cell r="R1054">
            <v>1320</v>
          </cell>
        </row>
        <row r="1055">
          <cell r="E1055" t="str">
            <v>ET444</v>
          </cell>
          <cell r="F1055" t="str">
            <v>ET444</v>
          </cell>
          <cell r="G1055" t="str">
            <v>10.187.138.226</v>
          </cell>
          <cell r="H1055" t="str">
            <v>10.187.138.225</v>
          </cell>
          <cell r="I1055" t="str">
            <v>/27</v>
          </cell>
          <cell r="J1055">
            <v>1300</v>
          </cell>
          <cell r="K1055" t="str">
            <v>10.187.154.226</v>
          </cell>
          <cell r="L1055" t="str">
            <v>10.187.154.225</v>
          </cell>
          <cell r="M1055" t="str">
            <v>/27</v>
          </cell>
          <cell r="N1055">
            <v>1310</v>
          </cell>
          <cell r="O1055" t="str">
            <v>10.187.170.226</v>
          </cell>
          <cell r="P1055" t="str">
            <v>10.187.170.225</v>
          </cell>
          <cell r="Q1055" t="str">
            <v>/27</v>
          </cell>
          <cell r="R1055">
            <v>1320</v>
          </cell>
        </row>
        <row r="1056">
          <cell r="E1056" t="str">
            <v>ET444</v>
          </cell>
          <cell r="F1056" t="str">
            <v>ET509</v>
          </cell>
          <cell r="G1056" t="str">
            <v>10.187.138.227</v>
          </cell>
          <cell r="H1056" t="str">
            <v>10.187.138.225</v>
          </cell>
          <cell r="I1056" t="str">
            <v>/27</v>
          </cell>
          <cell r="J1056">
            <v>1300</v>
          </cell>
          <cell r="K1056" t="str">
            <v>10.187.154.227</v>
          </cell>
          <cell r="L1056" t="str">
            <v>10.187.154.225</v>
          </cell>
          <cell r="M1056" t="str">
            <v>/27</v>
          </cell>
          <cell r="N1056">
            <v>1310</v>
          </cell>
          <cell r="O1056" t="str">
            <v>10.187.170.227</v>
          </cell>
          <cell r="P1056" t="str">
            <v>10.187.170.225</v>
          </cell>
          <cell r="Q1056" t="str">
            <v>/27</v>
          </cell>
          <cell r="R1056">
            <v>1320</v>
          </cell>
        </row>
        <row r="1057">
          <cell r="E1057" t="str">
            <v>ET444</v>
          </cell>
          <cell r="F1057" t="str">
            <v>ET509</v>
          </cell>
          <cell r="G1057" t="str">
            <v>10.187.138.228</v>
          </cell>
          <cell r="H1057" t="str">
            <v>10.187.138.225</v>
          </cell>
          <cell r="I1057" t="str">
            <v>/27</v>
          </cell>
          <cell r="J1057">
            <v>1300</v>
          </cell>
          <cell r="K1057" t="str">
            <v>10.187.154.228</v>
          </cell>
          <cell r="L1057" t="str">
            <v>10.187.154.225</v>
          </cell>
          <cell r="M1057" t="str">
            <v>/27</v>
          </cell>
          <cell r="N1057">
            <v>1310</v>
          </cell>
          <cell r="O1057" t="str">
            <v>10.187.170.228</v>
          </cell>
          <cell r="P1057" t="str">
            <v>10.187.170.225</v>
          </cell>
          <cell r="Q1057" t="str">
            <v>/27</v>
          </cell>
          <cell r="R1057">
            <v>1320</v>
          </cell>
        </row>
        <row r="1058">
          <cell r="E1058" t="str">
            <v>ET444</v>
          </cell>
          <cell r="G1058" t="str">
            <v>10.187.138.229</v>
          </cell>
          <cell r="H1058" t="str">
            <v>10.187.138.225</v>
          </cell>
          <cell r="I1058" t="str">
            <v>/27</v>
          </cell>
          <cell r="J1058">
            <v>1300</v>
          </cell>
          <cell r="K1058" t="str">
            <v>10.187.154.229</v>
          </cell>
          <cell r="L1058" t="str">
            <v>10.187.154.225</v>
          </cell>
          <cell r="M1058" t="str">
            <v>/27</v>
          </cell>
          <cell r="N1058">
            <v>1310</v>
          </cell>
          <cell r="O1058" t="str">
            <v>10.187.170.229</v>
          </cell>
          <cell r="P1058" t="str">
            <v>10.187.170.225</v>
          </cell>
          <cell r="Q1058" t="str">
            <v>/27</v>
          </cell>
          <cell r="R1058">
            <v>1320</v>
          </cell>
        </row>
        <row r="1059">
          <cell r="E1059" t="str">
            <v>ET444</v>
          </cell>
          <cell r="G1059" t="str">
            <v>10.187.138.230</v>
          </cell>
          <cell r="H1059" t="str">
            <v>10.187.138.225</v>
          </cell>
          <cell r="I1059" t="str">
            <v>/27</v>
          </cell>
          <cell r="J1059">
            <v>1300</v>
          </cell>
          <cell r="K1059" t="str">
            <v>10.187.154.230</v>
          </cell>
          <cell r="L1059" t="str">
            <v>10.187.154.225</v>
          </cell>
          <cell r="M1059" t="str">
            <v>/27</v>
          </cell>
          <cell r="N1059">
            <v>1310</v>
          </cell>
          <cell r="O1059" t="str">
            <v>10.187.170.230</v>
          </cell>
          <cell r="P1059" t="str">
            <v>10.187.170.225</v>
          </cell>
          <cell r="Q1059" t="str">
            <v>/27</v>
          </cell>
          <cell r="R1059">
            <v>1320</v>
          </cell>
        </row>
        <row r="1060">
          <cell r="E1060" t="str">
            <v>ET444</v>
          </cell>
          <cell r="G1060" t="str">
            <v>10.187.138.231</v>
          </cell>
          <cell r="H1060" t="str">
            <v>10.187.138.225</v>
          </cell>
          <cell r="I1060" t="str">
            <v>/27</v>
          </cell>
          <cell r="J1060">
            <v>1300</v>
          </cell>
          <cell r="K1060" t="str">
            <v>10.187.154.231</v>
          </cell>
          <cell r="L1060" t="str">
            <v>10.187.154.225</v>
          </cell>
          <cell r="M1060" t="str">
            <v>/27</v>
          </cell>
          <cell r="N1060">
            <v>1310</v>
          </cell>
          <cell r="O1060" t="str">
            <v>10.187.170.231</v>
          </cell>
          <cell r="P1060" t="str">
            <v>10.187.170.225</v>
          </cell>
          <cell r="Q1060" t="str">
            <v>/27</v>
          </cell>
          <cell r="R1060">
            <v>1320</v>
          </cell>
        </row>
        <row r="1061">
          <cell r="E1061" t="str">
            <v>ET444</v>
          </cell>
          <cell r="G1061" t="str">
            <v>10.187.138.232</v>
          </cell>
          <cell r="H1061" t="str">
            <v>10.187.138.225</v>
          </cell>
          <cell r="I1061" t="str">
            <v>/27</v>
          </cell>
          <cell r="J1061">
            <v>1300</v>
          </cell>
          <cell r="K1061" t="str">
            <v>10.187.154.232</v>
          </cell>
          <cell r="L1061" t="str">
            <v>10.187.154.225</v>
          </cell>
          <cell r="M1061" t="str">
            <v>/27</v>
          </cell>
          <cell r="N1061">
            <v>1310</v>
          </cell>
          <cell r="O1061" t="str">
            <v>10.187.170.232</v>
          </cell>
          <cell r="P1061" t="str">
            <v>10.187.170.225</v>
          </cell>
          <cell r="Q1061" t="str">
            <v>/27</v>
          </cell>
          <cell r="R1061">
            <v>1320</v>
          </cell>
        </row>
        <row r="1062">
          <cell r="E1062" t="str">
            <v>ET444</v>
          </cell>
          <cell r="F1062" t="str">
            <v>AC225</v>
          </cell>
          <cell r="G1062" t="str">
            <v>10.187.138.233</v>
          </cell>
          <cell r="H1062" t="str">
            <v>10.187.138.225</v>
          </cell>
          <cell r="I1062" t="str">
            <v>/27</v>
          </cell>
          <cell r="J1062">
            <v>1300</v>
          </cell>
          <cell r="K1062" t="str">
            <v>10.187.154.233</v>
          </cell>
          <cell r="L1062" t="str">
            <v>10.187.154.225</v>
          </cell>
          <cell r="M1062" t="str">
            <v>/27</v>
          </cell>
          <cell r="N1062">
            <v>1310</v>
          </cell>
          <cell r="O1062" t="str">
            <v>10.187.170.233</v>
          </cell>
          <cell r="P1062" t="str">
            <v>10.187.170.225</v>
          </cell>
          <cell r="Q1062" t="str">
            <v>/27</v>
          </cell>
          <cell r="R1062">
            <v>1320</v>
          </cell>
        </row>
        <row r="1063">
          <cell r="E1063" t="str">
            <v>ET444</v>
          </cell>
          <cell r="F1063" t="str">
            <v>AC225</v>
          </cell>
          <cell r="G1063" t="str">
            <v>10.187.138.234</v>
          </cell>
          <cell r="H1063" t="str">
            <v>10.187.138.225</v>
          </cell>
          <cell r="I1063" t="str">
            <v>/27</v>
          </cell>
          <cell r="J1063">
            <v>1300</v>
          </cell>
          <cell r="K1063" t="str">
            <v>10.187.154.234</v>
          </cell>
          <cell r="L1063" t="str">
            <v>10.187.154.225</v>
          </cell>
          <cell r="M1063" t="str">
            <v>/27</v>
          </cell>
          <cell r="N1063">
            <v>1310</v>
          </cell>
          <cell r="O1063" t="str">
            <v>10.187.170.234</v>
          </cell>
          <cell r="P1063" t="str">
            <v>10.187.170.225</v>
          </cell>
          <cell r="Q1063" t="str">
            <v>/27</v>
          </cell>
          <cell r="R1063">
            <v>1320</v>
          </cell>
        </row>
        <row r="1064">
          <cell r="E1064" t="str">
            <v>ET444</v>
          </cell>
          <cell r="F1064" t="str">
            <v>ET565</v>
          </cell>
          <cell r="G1064" t="str">
            <v>10.187.138.235</v>
          </cell>
          <cell r="H1064" t="str">
            <v>10.187.138.225</v>
          </cell>
          <cell r="I1064" t="str">
            <v>/27</v>
          </cell>
          <cell r="J1064">
            <v>1300</v>
          </cell>
          <cell r="K1064" t="str">
            <v>10.187.154.235</v>
          </cell>
          <cell r="L1064" t="str">
            <v>10.187.154.225</v>
          </cell>
          <cell r="M1064" t="str">
            <v>/27</v>
          </cell>
          <cell r="N1064">
            <v>1310</v>
          </cell>
          <cell r="O1064" t="str">
            <v>10.187.170.235</v>
          </cell>
          <cell r="P1064" t="str">
            <v>10.187.170.225</v>
          </cell>
          <cell r="Q1064" t="str">
            <v>/27</v>
          </cell>
          <cell r="R1064">
            <v>1320</v>
          </cell>
        </row>
        <row r="1065">
          <cell r="E1065" t="str">
            <v>ET444</v>
          </cell>
          <cell r="F1065" t="str">
            <v>ET565</v>
          </cell>
          <cell r="G1065" t="str">
            <v>10.187.138.236</v>
          </cell>
          <cell r="H1065" t="str">
            <v>10.187.138.225</v>
          </cell>
          <cell r="I1065" t="str">
            <v>/27</v>
          </cell>
          <cell r="J1065">
            <v>1300</v>
          </cell>
          <cell r="K1065" t="str">
            <v>10.187.154.236</v>
          </cell>
          <cell r="L1065" t="str">
            <v>10.187.154.225</v>
          </cell>
          <cell r="M1065" t="str">
            <v>/27</v>
          </cell>
          <cell r="N1065">
            <v>1310</v>
          </cell>
          <cell r="O1065" t="str">
            <v>10.187.170.236</v>
          </cell>
          <cell r="P1065" t="str">
            <v>10.187.170.225</v>
          </cell>
          <cell r="Q1065" t="str">
            <v>/27</v>
          </cell>
          <cell r="R1065">
            <v>1320</v>
          </cell>
        </row>
        <row r="1066">
          <cell r="E1066" t="str">
            <v>ET444</v>
          </cell>
          <cell r="F1066" t="str">
            <v>AC642</v>
          </cell>
          <cell r="G1066" t="str">
            <v>10.187.138.237</v>
          </cell>
          <cell r="H1066" t="str">
            <v>10.187.138.225</v>
          </cell>
          <cell r="I1066" t="str">
            <v>/27</v>
          </cell>
          <cell r="J1066">
            <v>1300</v>
          </cell>
          <cell r="K1066" t="str">
            <v>10.187.154.237</v>
          </cell>
          <cell r="L1066" t="str">
            <v>10.187.154.225</v>
          </cell>
          <cell r="M1066" t="str">
            <v>/27</v>
          </cell>
          <cell r="N1066">
            <v>1310</v>
          </cell>
          <cell r="O1066" t="str">
            <v>10.187.170.237</v>
          </cell>
          <cell r="P1066" t="str">
            <v>10.187.170.225</v>
          </cell>
          <cell r="Q1066" t="str">
            <v>/27</v>
          </cell>
          <cell r="R1066">
            <v>1320</v>
          </cell>
        </row>
        <row r="1067">
          <cell r="E1067" t="str">
            <v>ET444</v>
          </cell>
          <cell r="F1067" t="str">
            <v>AC642</v>
          </cell>
          <cell r="G1067" t="str">
            <v>10.187.138.238</v>
          </cell>
          <cell r="H1067" t="str">
            <v>10.187.138.225</v>
          </cell>
          <cell r="I1067" t="str">
            <v>/27</v>
          </cell>
          <cell r="J1067">
            <v>1300</v>
          </cell>
          <cell r="K1067" t="str">
            <v>10.187.154.238</v>
          </cell>
          <cell r="L1067" t="str">
            <v>10.187.154.225</v>
          </cell>
          <cell r="M1067" t="str">
            <v>/27</v>
          </cell>
          <cell r="N1067">
            <v>1310</v>
          </cell>
          <cell r="O1067" t="str">
            <v>10.187.170.238</v>
          </cell>
          <cell r="P1067" t="str">
            <v>10.187.170.225</v>
          </cell>
          <cell r="Q1067" t="str">
            <v>/27</v>
          </cell>
          <cell r="R1067">
            <v>1320</v>
          </cell>
        </row>
        <row r="1068">
          <cell r="E1068" t="str">
            <v>ET444</v>
          </cell>
          <cell r="G1068" t="str">
            <v>10.187.138.239</v>
          </cell>
          <cell r="H1068" t="str">
            <v>10.187.138.225</v>
          </cell>
          <cell r="I1068" t="str">
            <v>/27</v>
          </cell>
          <cell r="J1068">
            <v>1300</v>
          </cell>
          <cell r="K1068" t="str">
            <v>10.187.154.239</v>
          </cell>
          <cell r="L1068" t="str">
            <v>10.187.154.225</v>
          </cell>
          <cell r="M1068" t="str">
            <v>/27</v>
          </cell>
          <cell r="N1068">
            <v>1310</v>
          </cell>
          <cell r="O1068" t="str">
            <v>10.187.170.239</v>
          </cell>
          <cell r="P1068" t="str">
            <v>10.187.170.225</v>
          </cell>
          <cell r="Q1068" t="str">
            <v>/27</v>
          </cell>
          <cell r="R1068">
            <v>1320</v>
          </cell>
        </row>
        <row r="1069">
          <cell r="E1069" t="str">
            <v>ET444</v>
          </cell>
          <cell r="G1069" t="str">
            <v>10.187.138.240</v>
          </cell>
          <cell r="H1069" t="str">
            <v>10.187.138.225</v>
          </cell>
          <cell r="I1069" t="str">
            <v>/27</v>
          </cell>
          <cell r="J1069">
            <v>1300</v>
          </cell>
          <cell r="K1069" t="str">
            <v>10.187.154.240</v>
          </cell>
          <cell r="L1069" t="str">
            <v>10.187.154.225</v>
          </cell>
          <cell r="M1069" t="str">
            <v>/27</v>
          </cell>
          <cell r="N1069">
            <v>1310</v>
          </cell>
          <cell r="O1069" t="str">
            <v>10.187.170.240</v>
          </cell>
          <cell r="P1069" t="str">
            <v>10.187.170.225</v>
          </cell>
          <cell r="Q1069" t="str">
            <v>/27</v>
          </cell>
          <cell r="R1069">
            <v>1320</v>
          </cell>
        </row>
        <row r="1070">
          <cell r="E1070" t="str">
            <v>ET444</v>
          </cell>
          <cell r="G1070" t="str">
            <v>10.187.138.241</v>
          </cell>
          <cell r="H1070" t="str">
            <v>10.187.138.225</v>
          </cell>
          <cell r="I1070" t="str">
            <v>/27</v>
          </cell>
          <cell r="J1070">
            <v>1300</v>
          </cell>
          <cell r="K1070" t="str">
            <v>10.187.154.241</v>
          </cell>
          <cell r="L1070" t="str">
            <v>10.187.154.225</v>
          </cell>
          <cell r="M1070" t="str">
            <v>/27</v>
          </cell>
          <cell r="N1070">
            <v>1310</v>
          </cell>
          <cell r="O1070" t="str">
            <v>10.187.170.241</v>
          </cell>
          <cell r="P1070" t="str">
            <v>10.187.170.225</v>
          </cell>
          <cell r="Q1070" t="str">
            <v>/27</v>
          </cell>
          <cell r="R1070">
            <v>1320</v>
          </cell>
        </row>
        <row r="1071">
          <cell r="E1071" t="str">
            <v>ET444</v>
          </cell>
          <cell r="G1071" t="str">
            <v>10.187.138.242</v>
          </cell>
          <cell r="H1071" t="str">
            <v>10.187.138.225</v>
          </cell>
          <cell r="I1071" t="str">
            <v>/27</v>
          </cell>
          <cell r="J1071">
            <v>1300</v>
          </cell>
          <cell r="K1071" t="str">
            <v>10.187.154.242</v>
          </cell>
          <cell r="L1071" t="str">
            <v>10.187.154.225</v>
          </cell>
          <cell r="M1071" t="str">
            <v>/27</v>
          </cell>
          <cell r="N1071">
            <v>1310</v>
          </cell>
          <cell r="O1071" t="str">
            <v>10.187.170.242</v>
          </cell>
          <cell r="P1071" t="str">
            <v>10.187.170.225</v>
          </cell>
          <cell r="Q1071" t="str">
            <v>/27</v>
          </cell>
          <cell r="R1071">
            <v>1320</v>
          </cell>
        </row>
        <row r="1072">
          <cell r="E1072" t="str">
            <v>ET444</v>
          </cell>
          <cell r="G1072" t="str">
            <v>10.187.138.243</v>
          </cell>
          <cell r="H1072" t="str">
            <v>10.187.138.225</v>
          </cell>
          <cell r="I1072" t="str">
            <v>/27</v>
          </cell>
          <cell r="J1072">
            <v>1300</v>
          </cell>
          <cell r="K1072" t="str">
            <v>10.187.154.243</v>
          </cell>
          <cell r="L1072" t="str">
            <v>10.187.154.225</v>
          </cell>
          <cell r="M1072" t="str">
            <v>/27</v>
          </cell>
          <cell r="N1072">
            <v>1310</v>
          </cell>
          <cell r="O1072" t="str">
            <v>10.187.170.243</v>
          </cell>
          <cell r="P1072" t="str">
            <v>10.187.170.225</v>
          </cell>
          <cell r="Q1072" t="str">
            <v>/27</v>
          </cell>
          <cell r="R1072">
            <v>1320</v>
          </cell>
        </row>
        <row r="1073">
          <cell r="E1073" t="str">
            <v>ET444</v>
          </cell>
          <cell r="G1073" t="str">
            <v>10.187.138.244</v>
          </cell>
          <cell r="H1073" t="str">
            <v>10.187.138.225</v>
          </cell>
          <cell r="I1073" t="str">
            <v>/27</v>
          </cell>
          <cell r="J1073">
            <v>1300</v>
          </cell>
          <cell r="K1073" t="str">
            <v>10.187.154.244</v>
          </cell>
          <cell r="L1073" t="str">
            <v>10.187.154.225</v>
          </cell>
          <cell r="M1073" t="str">
            <v>/27</v>
          </cell>
          <cell r="N1073">
            <v>1310</v>
          </cell>
          <cell r="O1073" t="str">
            <v>10.187.170.244</v>
          </cell>
          <cell r="P1073" t="str">
            <v>10.187.170.225</v>
          </cell>
          <cell r="Q1073" t="str">
            <v>/27</v>
          </cell>
          <cell r="R1073">
            <v>1320</v>
          </cell>
        </row>
        <row r="1074">
          <cell r="E1074" t="str">
            <v>ET444</v>
          </cell>
          <cell r="G1074" t="str">
            <v>10.187.138.245</v>
          </cell>
          <cell r="H1074" t="str">
            <v>10.187.138.225</v>
          </cell>
          <cell r="I1074" t="str">
            <v>/27</v>
          </cell>
          <cell r="J1074">
            <v>1300</v>
          </cell>
          <cell r="K1074" t="str">
            <v>10.187.154.245</v>
          </cell>
          <cell r="L1074" t="str">
            <v>10.187.154.225</v>
          </cell>
          <cell r="M1074" t="str">
            <v>/27</v>
          </cell>
          <cell r="N1074">
            <v>1310</v>
          </cell>
          <cell r="O1074" t="str">
            <v>10.187.170.245</v>
          </cell>
          <cell r="P1074" t="str">
            <v>10.187.170.225</v>
          </cell>
          <cell r="Q1074" t="str">
            <v>/27</v>
          </cell>
          <cell r="R1074">
            <v>1320</v>
          </cell>
        </row>
        <row r="1075">
          <cell r="E1075" t="str">
            <v>ET444</v>
          </cell>
          <cell r="G1075" t="str">
            <v>10.187.138.246</v>
          </cell>
          <cell r="H1075" t="str">
            <v>10.187.138.225</v>
          </cell>
          <cell r="I1075" t="str">
            <v>/27</v>
          </cell>
          <cell r="J1075">
            <v>1300</v>
          </cell>
          <cell r="K1075" t="str">
            <v>10.187.154.246</v>
          </cell>
          <cell r="L1075" t="str">
            <v>10.187.154.225</v>
          </cell>
          <cell r="M1075" t="str">
            <v>/27</v>
          </cell>
          <cell r="N1075">
            <v>1310</v>
          </cell>
          <cell r="O1075" t="str">
            <v>10.187.170.246</v>
          </cell>
          <cell r="P1075" t="str">
            <v>10.187.170.225</v>
          </cell>
          <cell r="Q1075" t="str">
            <v>/27</v>
          </cell>
          <cell r="R1075">
            <v>1320</v>
          </cell>
        </row>
        <row r="1076">
          <cell r="E1076" t="str">
            <v>ET444</v>
          </cell>
          <cell r="G1076" t="str">
            <v>10.187.138.247</v>
          </cell>
          <cell r="H1076" t="str">
            <v>10.187.138.225</v>
          </cell>
          <cell r="I1076" t="str">
            <v>/27</v>
          </cell>
          <cell r="J1076">
            <v>1300</v>
          </cell>
          <cell r="K1076" t="str">
            <v>10.187.154.247</v>
          </cell>
          <cell r="L1076" t="str">
            <v>10.187.154.225</v>
          </cell>
          <cell r="M1076" t="str">
            <v>/27</v>
          </cell>
          <cell r="N1076">
            <v>1310</v>
          </cell>
          <cell r="O1076" t="str">
            <v>10.187.170.247</v>
          </cell>
          <cell r="P1076" t="str">
            <v>10.187.170.225</v>
          </cell>
          <cell r="Q1076" t="str">
            <v>/27</v>
          </cell>
          <cell r="R1076">
            <v>1320</v>
          </cell>
        </row>
        <row r="1077">
          <cell r="E1077" t="str">
            <v>ET444</v>
          </cell>
          <cell r="G1077" t="str">
            <v>10.187.138.248</v>
          </cell>
          <cell r="H1077" t="str">
            <v>10.187.138.225</v>
          </cell>
          <cell r="I1077" t="str">
            <v>/27</v>
          </cell>
          <cell r="J1077">
            <v>1300</v>
          </cell>
          <cell r="K1077" t="str">
            <v>10.187.154.248</v>
          </cell>
          <cell r="L1077" t="str">
            <v>10.187.154.225</v>
          </cell>
          <cell r="M1077" t="str">
            <v>/27</v>
          </cell>
          <cell r="N1077">
            <v>1310</v>
          </cell>
          <cell r="O1077" t="str">
            <v>10.187.170.248</v>
          </cell>
          <cell r="P1077" t="str">
            <v>10.187.170.225</v>
          </cell>
          <cell r="Q1077" t="str">
            <v>/27</v>
          </cell>
          <cell r="R1077">
            <v>1320</v>
          </cell>
        </row>
        <row r="1078">
          <cell r="E1078" t="str">
            <v>ET444</v>
          </cell>
          <cell r="G1078" t="str">
            <v>10.187.138.249</v>
          </cell>
          <cell r="H1078" t="str">
            <v>10.187.138.225</v>
          </cell>
          <cell r="I1078" t="str">
            <v>/27</v>
          </cell>
          <cell r="J1078">
            <v>1300</v>
          </cell>
          <cell r="K1078" t="str">
            <v>10.187.154.249</v>
          </cell>
          <cell r="L1078" t="str">
            <v>10.187.154.225</v>
          </cell>
          <cell r="M1078" t="str">
            <v>/27</v>
          </cell>
          <cell r="N1078">
            <v>1310</v>
          </cell>
          <cell r="O1078" t="str">
            <v>10.187.170.249</v>
          </cell>
          <cell r="P1078" t="str">
            <v>10.187.170.225</v>
          </cell>
          <cell r="Q1078" t="str">
            <v>/27</v>
          </cell>
          <cell r="R1078">
            <v>1320</v>
          </cell>
        </row>
        <row r="1079">
          <cell r="E1079" t="str">
            <v>ET444</v>
          </cell>
          <cell r="G1079" t="str">
            <v>10.187.138.250</v>
          </cell>
          <cell r="H1079" t="str">
            <v>10.187.138.225</v>
          </cell>
          <cell r="I1079" t="str">
            <v>/27</v>
          </cell>
          <cell r="J1079">
            <v>1300</v>
          </cell>
          <cell r="K1079" t="str">
            <v>10.187.154.250</v>
          </cell>
          <cell r="L1079" t="str">
            <v>10.187.154.225</v>
          </cell>
          <cell r="M1079" t="str">
            <v>/27</v>
          </cell>
          <cell r="N1079">
            <v>1310</v>
          </cell>
          <cell r="O1079" t="str">
            <v>10.187.170.250</v>
          </cell>
          <cell r="P1079" t="str">
            <v>10.187.170.225</v>
          </cell>
          <cell r="Q1079" t="str">
            <v>/27</v>
          </cell>
          <cell r="R1079">
            <v>1320</v>
          </cell>
        </row>
        <row r="1080">
          <cell r="E1080" t="str">
            <v>ET444</v>
          </cell>
          <cell r="G1080" t="str">
            <v>10.187.138.251</v>
          </cell>
          <cell r="H1080" t="str">
            <v>10.187.138.225</v>
          </cell>
          <cell r="I1080" t="str">
            <v>/27</v>
          </cell>
          <cell r="J1080">
            <v>1300</v>
          </cell>
          <cell r="K1080" t="str">
            <v>10.187.154.251</v>
          </cell>
          <cell r="L1080" t="str">
            <v>10.187.154.225</v>
          </cell>
          <cell r="M1080" t="str">
            <v>/27</v>
          </cell>
          <cell r="N1080">
            <v>1310</v>
          </cell>
          <cell r="O1080" t="str">
            <v>10.187.170.251</v>
          </cell>
          <cell r="P1080" t="str">
            <v>10.187.170.225</v>
          </cell>
          <cell r="Q1080" t="str">
            <v>/27</v>
          </cell>
          <cell r="R1080">
            <v>1320</v>
          </cell>
        </row>
        <row r="1081">
          <cell r="E1081" t="str">
            <v>ET444</v>
          </cell>
          <cell r="G1081" t="str">
            <v>10.187.138.252</v>
          </cell>
          <cell r="H1081" t="str">
            <v>10.187.138.225</v>
          </cell>
          <cell r="I1081" t="str">
            <v>/27</v>
          </cell>
          <cell r="J1081">
            <v>1300</v>
          </cell>
          <cell r="K1081" t="str">
            <v>10.187.154.252</v>
          </cell>
          <cell r="L1081" t="str">
            <v>10.187.154.225</v>
          </cell>
          <cell r="M1081" t="str">
            <v>/27</v>
          </cell>
          <cell r="N1081">
            <v>1310</v>
          </cell>
          <cell r="O1081" t="str">
            <v>10.187.170.252</v>
          </cell>
          <cell r="P1081" t="str">
            <v>10.187.170.225</v>
          </cell>
          <cell r="Q1081" t="str">
            <v>/27</v>
          </cell>
          <cell r="R1081">
            <v>1320</v>
          </cell>
        </row>
        <row r="1082">
          <cell r="E1082" t="str">
            <v>ET444</v>
          </cell>
          <cell r="G1082" t="str">
            <v>10.187.138.253</v>
          </cell>
          <cell r="H1082" t="str">
            <v>10.187.138.225</v>
          </cell>
          <cell r="I1082" t="str">
            <v>/27</v>
          </cell>
          <cell r="J1082">
            <v>1300</v>
          </cell>
          <cell r="K1082" t="str">
            <v>10.187.154.253</v>
          </cell>
          <cell r="L1082" t="str">
            <v>10.187.154.225</v>
          </cell>
          <cell r="M1082" t="str">
            <v>/27</v>
          </cell>
          <cell r="N1082">
            <v>1310</v>
          </cell>
          <cell r="O1082" t="str">
            <v>10.187.170.253</v>
          </cell>
          <cell r="P1082" t="str">
            <v>10.187.170.225</v>
          </cell>
          <cell r="Q1082" t="str">
            <v>/27</v>
          </cell>
          <cell r="R1082">
            <v>1320</v>
          </cell>
        </row>
        <row r="1083">
          <cell r="E1083" t="str">
            <v>ET444</v>
          </cell>
          <cell r="G1083" t="str">
            <v>10.187.138.254</v>
          </cell>
          <cell r="H1083" t="str">
            <v>10.187.138.225</v>
          </cell>
          <cell r="I1083" t="str">
            <v>/27</v>
          </cell>
          <cell r="J1083">
            <v>1300</v>
          </cell>
          <cell r="K1083" t="str">
            <v>10.187.154.254</v>
          </cell>
          <cell r="L1083" t="str">
            <v>10.187.154.225</v>
          </cell>
          <cell r="M1083" t="str">
            <v>/27</v>
          </cell>
          <cell r="N1083">
            <v>1310</v>
          </cell>
          <cell r="O1083" t="str">
            <v>10.187.170.254</v>
          </cell>
          <cell r="P1083" t="str">
            <v>10.187.170.225</v>
          </cell>
          <cell r="Q1083" t="str">
            <v>/27</v>
          </cell>
          <cell r="R1083">
            <v>1320</v>
          </cell>
        </row>
        <row r="1084">
          <cell r="E1084" t="str">
            <v>ET444</v>
          </cell>
          <cell r="G1084" t="str">
            <v>10.187.138.255</v>
          </cell>
          <cell r="H1084" t="str">
            <v>10.187.138.225</v>
          </cell>
          <cell r="I1084" t="str">
            <v>/27</v>
          </cell>
          <cell r="J1084">
            <v>1300</v>
          </cell>
          <cell r="K1084" t="str">
            <v>10.187.154.255</v>
          </cell>
          <cell r="L1084" t="str">
            <v>10.187.154.225</v>
          </cell>
          <cell r="M1084" t="str">
            <v>/27</v>
          </cell>
          <cell r="N1084">
            <v>1310</v>
          </cell>
          <cell r="O1084" t="str">
            <v>10.187.170.255</v>
          </cell>
          <cell r="P1084" t="str">
            <v>10.187.170.225</v>
          </cell>
          <cell r="Q1084" t="str">
            <v>/27</v>
          </cell>
          <cell r="R1084">
            <v>1320</v>
          </cell>
        </row>
        <row r="1085">
          <cell r="E1085" t="str">
            <v>AC157</v>
          </cell>
          <cell r="G1085" t="str">
            <v>10.117.193.160</v>
          </cell>
          <cell r="H1085" t="str">
            <v>10.117.193.161</v>
          </cell>
          <cell r="I1085" t="str">
            <v>/27</v>
          </cell>
          <cell r="J1085">
            <v>803</v>
          </cell>
          <cell r="K1085" t="str">
            <v>10.117.196.160</v>
          </cell>
          <cell r="L1085" t="str">
            <v>10.117.196.161</v>
          </cell>
          <cell r="M1085" t="str">
            <v>/27</v>
          </cell>
          <cell r="N1085">
            <v>813</v>
          </cell>
          <cell r="O1085" t="str">
            <v>10.117.199.160</v>
          </cell>
          <cell r="P1085" t="str">
            <v>10.117.199.161</v>
          </cell>
          <cell r="Q1085" t="str">
            <v>/27</v>
          </cell>
          <cell r="R1085">
            <v>823</v>
          </cell>
        </row>
        <row r="1086">
          <cell r="E1086" t="str">
            <v>AC157</v>
          </cell>
          <cell r="G1086" t="str">
            <v>10.117.193.161</v>
          </cell>
          <cell r="H1086" t="str">
            <v>10.117.193.161</v>
          </cell>
          <cell r="I1086" t="str">
            <v>/27</v>
          </cell>
          <cell r="J1086">
            <v>803</v>
          </cell>
          <cell r="K1086" t="str">
            <v>10.117.196.161</v>
          </cell>
          <cell r="L1086" t="str">
            <v>10.117.196.161</v>
          </cell>
          <cell r="M1086" t="str">
            <v>/27</v>
          </cell>
          <cell r="N1086">
            <v>813</v>
          </cell>
          <cell r="O1086" t="str">
            <v>10.117.199.161</v>
          </cell>
          <cell r="P1086" t="str">
            <v>10.117.199.161</v>
          </cell>
          <cell r="Q1086" t="str">
            <v>/27</v>
          </cell>
          <cell r="R1086">
            <v>823</v>
          </cell>
        </row>
        <row r="1087">
          <cell r="E1087" t="str">
            <v>AC157</v>
          </cell>
          <cell r="G1087" t="str">
            <v>10.117.193.162</v>
          </cell>
          <cell r="H1087" t="str">
            <v>10.117.193.161</v>
          </cell>
          <cell r="I1087" t="str">
            <v>/27</v>
          </cell>
          <cell r="J1087">
            <v>803</v>
          </cell>
          <cell r="K1087" t="str">
            <v>10.117.196.162</v>
          </cell>
          <cell r="L1087" t="str">
            <v>10.117.196.161</v>
          </cell>
          <cell r="M1087" t="str">
            <v>/27</v>
          </cell>
          <cell r="N1087">
            <v>813</v>
          </cell>
          <cell r="O1087" t="str">
            <v>10.117.199.162</v>
          </cell>
          <cell r="P1087" t="str">
            <v>10.117.199.161</v>
          </cell>
          <cell r="Q1087" t="str">
            <v>/27</v>
          </cell>
          <cell r="R1087">
            <v>823</v>
          </cell>
        </row>
        <row r="1088">
          <cell r="E1088" t="str">
            <v>AC157</v>
          </cell>
          <cell r="G1088" t="str">
            <v>10.117.193.163</v>
          </cell>
          <cell r="H1088" t="str">
            <v>10.117.193.161</v>
          </cell>
          <cell r="I1088" t="str">
            <v>/27</v>
          </cell>
          <cell r="J1088">
            <v>803</v>
          </cell>
          <cell r="K1088" t="str">
            <v>10.117.196.163</v>
          </cell>
          <cell r="L1088" t="str">
            <v>10.117.196.161</v>
          </cell>
          <cell r="M1088" t="str">
            <v>/27</v>
          </cell>
          <cell r="N1088">
            <v>813</v>
          </cell>
          <cell r="O1088" t="str">
            <v>10.117.199.163</v>
          </cell>
          <cell r="P1088" t="str">
            <v>10.117.199.161</v>
          </cell>
          <cell r="Q1088" t="str">
            <v>/27</v>
          </cell>
          <cell r="R1088">
            <v>823</v>
          </cell>
        </row>
        <row r="1089">
          <cell r="E1089" t="str">
            <v>AC157</v>
          </cell>
          <cell r="G1089" t="str">
            <v>10.117.193.164</v>
          </cell>
          <cell r="H1089" t="str">
            <v>10.117.193.161</v>
          </cell>
          <cell r="I1089" t="str">
            <v>/27</v>
          </cell>
          <cell r="J1089">
            <v>803</v>
          </cell>
          <cell r="K1089" t="str">
            <v>10.117.196.164</v>
          </cell>
          <cell r="L1089" t="str">
            <v>10.117.196.161</v>
          </cell>
          <cell r="M1089" t="str">
            <v>/27</v>
          </cell>
          <cell r="N1089">
            <v>813</v>
          </cell>
          <cell r="O1089" t="str">
            <v>10.117.199.164</v>
          </cell>
          <cell r="P1089" t="str">
            <v>10.117.199.161</v>
          </cell>
          <cell r="Q1089" t="str">
            <v>/27</v>
          </cell>
          <cell r="R1089">
            <v>823</v>
          </cell>
        </row>
        <row r="1090">
          <cell r="E1090" t="str">
            <v>AC157</v>
          </cell>
          <cell r="G1090" t="str">
            <v>10.117.193.165</v>
          </cell>
          <cell r="H1090" t="str">
            <v>10.117.193.161</v>
          </cell>
          <cell r="I1090" t="str">
            <v>/27</v>
          </cell>
          <cell r="J1090">
            <v>803</v>
          </cell>
          <cell r="K1090" t="str">
            <v>10.117.196.165</v>
          </cell>
          <cell r="L1090" t="str">
            <v>10.117.196.161</v>
          </cell>
          <cell r="M1090" t="str">
            <v>/27</v>
          </cell>
          <cell r="N1090">
            <v>813</v>
          </cell>
          <cell r="O1090" t="str">
            <v>10.117.199.165</v>
          </cell>
          <cell r="P1090" t="str">
            <v>10.117.199.161</v>
          </cell>
          <cell r="Q1090" t="str">
            <v>/27</v>
          </cell>
          <cell r="R1090">
            <v>823</v>
          </cell>
        </row>
        <row r="1091">
          <cell r="E1091" t="str">
            <v>AC157</v>
          </cell>
          <cell r="F1091" t="str">
            <v>ET596</v>
          </cell>
          <cell r="G1091" t="str">
            <v>10.117.193.166</v>
          </cell>
          <cell r="H1091" t="str">
            <v>10.117.193.161</v>
          </cell>
          <cell r="I1091" t="str">
            <v>/27</v>
          </cell>
          <cell r="J1091">
            <v>803</v>
          </cell>
          <cell r="K1091" t="str">
            <v>10.117.196.166</v>
          </cell>
          <cell r="L1091" t="str">
            <v>10.117.196.161</v>
          </cell>
          <cell r="M1091" t="str">
            <v>/27</v>
          </cell>
          <cell r="N1091">
            <v>813</v>
          </cell>
          <cell r="O1091" t="str">
            <v>10.117.199.166</v>
          </cell>
          <cell r="P1091" t="str">
            <v>10.117.199.161</v>
          </cell>
          <cell r="Q1091" t="str">
            <v>/27</v>
          </cell>
          <cell r="R1091">
            <v>823</v>
          </cell>
        </row>
        <row r="1092">
          <cell r="E1092" t="str">
            <v>AC157</v>
          </cell>
          <cell r="F1092" t="str">
            <v>ET596</v>
          </cell>
          <cell r="G1092" t="str">
            <v>10.117.193.167</v>
          </cell>
          <cell r="H1092" t="str">
            <v>10.117.193.161</v>
          </cell>
          <cell r="I1092" t="str">
            <v>/27</v>
          </cell>
          <cell r="J1092">
            <v>803</v>
          </cell>
          <cell r="K1092" t="str">
            <v>10.117.196.167</v>
          </cell>
          <cell r="L1092" t="str">
            <v>10.117.196.161</v>
          </cell>
          <cell r="M1092" t="str">
            <v>/27</v>
          </cell>
          <cell r="N1092">
            <v>813</v>
          </cell>
          <cell r="O1092" t="str">
            <v>10.117.199.167</v>
          </cell>
          <cell r="P1092" t="str">
            <v>10.117.199.161</v>
          </cell>
          <cell r="Q1092" t="str">
            <v>/27</v>
          </cell>
          <cell r="R1092">
            <v>823</v>
          </cell>
        </row>
        <row r="1093">
          <cell r="E1093" t="str">
            <v>AC157</v>
          </cell>
          <cell r="G1093" t="str">
            <v>10.117.193.168</v>
          </cell>
          <cell r="H1093" t="str">
            <v>10.117.193.161</v>
          </cell>
          <cell r="I1093" t="str">
            <v>/27</v>
          </cell>
          <cell r="J1093">
            <v>803</v>
          </cell>
          <cell r="K1093" t="str">
            <v>10.117.196.168</v>
          </cell>
          <cell r="L1093" t="str">
            <v>10.117.196.161</v>
          </cell>
          <cell r="M1093" t="str">
            <v>/27</v>
          </cell>
          <cell r="N1093">
            <v>813</v>
          </cell>
          <cell r="O1093" t="str">
            <v>10.117.199.168</v>
          </cell>
          <cell r="P1093" t="str">
            <v>10.117.199.161</v>
          </cell>
          <cell r="Q1093" t="str">
            <v>/27</v>
          </cell>
          <cell r="R1093">
            <v>823</v>
          </cell>
        </row>
        <row r="1094">
          <cell r="E1094" t="str">
            <v>AC157</v>
          </cell>
          <cell r="G1094" t="str">
            <v>10.117.193.169</v>
          </cell>
          <cell r="H1094" t="str">
            <v>10.117.193.161</v>
          </cell>
          <cell r="I1094" t="str">
            <v>/27</v>
          </cell>
          <cell r="J1094">
            <v>803</v>
          </cell>
          <cell r="K1094" t="str">
            <v>10.117.196.169</v>
          </cell>
          <cell r="L1094" t="str">
            <v>10.117.196.161</v>
          </cell>
          <cell r="M1094" t="str">
            <v>/27</v>
          </cell>
          <cell r="N1094">
            <v>813</v>
          </cell>
          <cell r="O1094" t="str">
            <v>10.117.199.169</v>
          </cell>
          <cell r="P1094" t="str">
            <v>10.117.199.161</v>
          </cell>
          <cell r="Q1094" t="str">
            <v>/27</v>
          </cell>
          <cell r="R1094">
            <v>823</v>
          </cell>
        </row>
        <row r="1095">
          <cell r="E1095" t="str">
            <v>AC157</v>
          </cell>
          <cell r="G1095" t="str">
            <v>10.117.193.170</v>
          </cell>
          <cell r="H1095" t="str">
            <v>10.117.193.161</v>
          </cell>
          <cell r="I1095" t="str">
            <v>/27</v>
          </cell>
          <cell r="J1095">
            <v>803</v>
          </cell>
          <cell r="K1095" t="str">
            <v>10.117.196.170</v>
          </cell>
          <cell r="L1095" t="str">
            <v>10.117.196.161</v>
          </cell>
          <cell r="M1095" t="str">
            <v>/27</v>
          </cell>
          <cell r="N1095">
            <v>813</v>
          </cell>
          <cell r="O1095" t="str">
            <v>10.117.199.170</v>
          </cell>
          <cell r="P1095" t="str">
            <v>10.117.199.161</v>
          </cell>
          <cell r="Q1095" t="str">
            <v>/27</v>
          </cell>
          <cell r="R1095">
            <v>823</v>
          </cell>
        </row>
        <row r="1096">
          <cell r="E1096" t="str">
            <v>AC157</v>
          </cell>
          <cell r="G1096" t="str">
            <v>10.117.193.171</v>
          </cell>
          <cell r="H1096" t="str">
            <v>10.117.193.161</v>
          </cell>
          <cell r="I1096" t="str">
            <v>/27</v>
          </cell>
          <cell r="J1096">
            <v>803</v>
          </cell>
          <cell r="K1096" t="str">
            <v>10.117.196.171</v>
          </cell>
          <cell r="L1096" t="str">
            <v>10.117.196.161</v>
          </cell>
          <cell r="M1096" t="str">
            <v>/27</v>
          </cell>
          <cell r="N1096">
            <v>813</v>
          </cell>
          <cell r="O1096" t="str">
            <v>10.117.199.171</v>
          </cell>
          <cell r="P1096" t="str">
            <v>10.117.199.161</v>
          </cell>
          <cell r="Q1096" t="str">
            <v>/27</v>
          </cell>
          <cell r="R1096">
            <v>823</v>
          </cell>
        </row>
        <row r="1097">
          <cell r="E1097" t="str">
            <v>AC157</v>
          </cell>
          <cell r="G1097" t="str">
            <v>10.117.193.172</v>
          </cell>
          <cell r="H1097" t="str">
            <v>10.117.193.161</v>
          </cell>
          <cell r="I1097" t="str">
            <v>/27</v>
          </cell>
          <cell r="J1097">
            <v>803</v>
          </cell>
          <cell r="K1097" t="str">
            <v>10.117.196.172</v>
          </cell>
          <cell r="L1097" t="str">
            <v>10.117.196.161</v>
          </cell>
          <cell r="M1097" t="str">
            <v>/27</v>
          </cell>
          <cell r="N1097">
            <v>813</v>
          </cell>
          <cell r="O1097" t="str">
            <v>10.117.199.172</v>
          </cell>
          <cell r="P1097" t="str">
            <v>10.117.199.161</v>
          </cell>
          <cell r="Q1097" t="str">
            <v>/27</v>
          </cell>
          <cell r="R1097">
            <v>823</v>
          </cell>
        </row>
        <row r="1098">
          <cell r="E1098" t="str">
            <v>AC157</v>
          </cell>
          <cell r="G1098" t="str">
            <v>10.117.193.173</v>
          </cell>
          <cell r="H1098" t="str">
            <v>10.117.193.161</v>
          </cell>
          <cell r="I1098" t="str">
            <v>/27</v>
          </cell>
          <cell r="J1098">
            <v>803</v>
          </cell>
          <cell r="K1098" t="str">
            <v>10.117.196.173</v>
          </cell>
          <cell r="L1098" t="str">
            <v>10.117.196.161</v>
          </cell>
          <cell r="M1098" t="str">
            <v>/27</v>
          </cell>
          <cell r="N1098">
            <v>813</v>
          </cell>
          <cell r="O1098" t="str">
            <v>10.117.199.173</v>
          </cell>
          <cell r="P1098" t="str">
            <v>10.117.199.161</v>
          </cell>
          <cell r="Q1098" t="str">
            <v>/27</v>
          </cell>
          <cell r="R1098">
            <v>823</v>
          </cell>
        </row>
        <row r="1099">
          <cell r="E1099" t="str">
            <v>AC157</v>
          </cell>
          <cell r="G1099" t="str">
            <v>10.117.193.174</v>
          </cell>
          <cell r="H1099" t="str">
            <v>10.117.193.161</v>
          </cell>
          <cell r="I1099" t="str">
            <v>/27</v>
          </cell>
          <cell r="J1099">
            <v>803</v>
          </cell>
          <cell r="K1099" t="str">
            <v>10.117.196.174</v>
          </cell>
          <cell r="L1099" t="str">
            <v>10.117.196.161</v>
          </cell>
          <cell r="M1099" t="str">
            <v>/27</v>
          </cell>
          <cell r="N1099">
            <v>813</v>
          </cell>
          <cell r="O1099" t="str">
            <v>10.117.199.174</v>
          </cell>
          <cell r="P1099" t="str">
            <v>10.117.199.161</v>
          </cell>
          <cell r="Q1099" t="str">
            <v>/27</v>
          </cell>
          <cell r="R1099">
            <v>823</v>
          </cell>
        </row>
        <row r="1100">
          <cell r="E1100" t="str">
            <v>AC157</v>
          </cell>
          <cell r="G1100" t="str">
            <v>10.117.193.175</v>
          </cell>
          <cell r="H1100" t="str">
            <v>10.117.193.161</v>
          </cell>
          <cell r="I1100" t="str">
            <v>/27</v>
          </cell>
          <cell r="J1100">
            <v>803</v>
          </cell>
          <cell r="K1100" t="str">
            <v>10.117.196.175</v>
          </cell>
          <cell r="L1100" t="str">
            <v>10.117.196.161</v>
          </cell>
          <cell r="M1100" t="str">
            <v>/27</v>
          </cell>
          <cell r="N1100">
            <v>813</v>
          </cell>
          <cell r="O1100" t="str">
            <v>10.117.199.175</v>
          </cell>
          <cell r="P1100" t="str">
            <v>10.117.199.161</v>
          </cell>
          <cell r="Q1100" t="str">
            <v>/27</v>
          </cell>
          <cell r="R1100">
            <v>823</v>
          </cell>
        </row>
        <row r="1101">
          <cell r="E1101" t="str">
            <v>AC157</v>
          </cell>
          <cell r="G1101" t="str">
            <v>10.117.193.176</v>
          </cell>
          <cell r="H1101" t="str">
            <v>10.117.193.161</v>
          </cell>
          <cell r="I1101" t="str">
            <v>/27</v>
          </cell>
          <cell r="J1101">
            <v>803</v>
          </cell>
          <cell r="K1101" t="str">
            <v>10.117.196.176</v>
          </cell>
          <cell r="L1101" t="str">
            <v>10.117.196.161</v>
          </cell>
          <cell r="M1101" t="str">
            <v>/27</v>
          </cell>
          <cell r="N1101">
            <v>813</v>
          </cell>
          <cell r="O1101" t="str">
            <v>10.117.199.176</v>
          </cell>
          <cell r="P1101" t="str">
            <v>10.117.199.161</v>
          </cell>
          <cell r="Q1101" t="str">
            <v>/27</v>
          </cell>
          <cell r="R1101">
            <v>823</v>
          </cell>
        </row>
        <row r="1102">
          <cell r="E1102" t="str">
            <v>AC157</v>
          </cell>
          <cell r="F1102" t="str">
            <v>ET690</v>
          </cell>
          <cell r="G1102" t="str">
            <v>10.117.193.177</v>
          </cell>
          <cell r="H1102" t="str">
            <v>10.117.193.161</v>
          </cell>
          <cell r="I1102" t="str">
            <v>/27</v>
          </cell>
          <cell r="J1102">
            <v>803</v>
          </cell>
          <cell r="K1102" t="str">
            <v>10.117.196.177</v>
          </cell>
          <cell r="L1102" t="str">
            <v>10.117.196.161</v>
          </cell>
          <cell r="M1102" t="str">
            <v>/27</v>
          </cell>
          <cell r="N1102">
            <v>813</v>
          </cell>
          <cell r="O1102" t="str">
            <v>10.117.199.177</v>
          </cell>
          <cell r="P1102" t="str">
            <v>10.117.199.161</v>
          </cell>
          <cell r="Q1102" t="str">
            <v>/27</v>
          </cell>
          <cell r="R1102">
            <v>823</v>
          </cell>
        </row>
        <row r="1103">
          <cell r="E1103" t="str">
            <v>AC157</v>
          </cell>
          <cell r="F1103" t="str">
            <v>ET919</v>
          </cell>
          <cell r="G1103" t="str">
            <v>10.117.193.178</v>
          </cell>
          <cell r="H1103" t="str">
            <v>10.117.193.161</v>
          </cell>
          <cell r="I1103" t="str">
            <v>/27</v>
          </cell>
          <cell r="J1103">
            <v>803</v>
          </cell>
          <cell r="K1103" t="str">
            <v>10.117.196.178</v>
          </cell>
          <cell r="L1103" t="str">
            <v>10.117.196.161</v>
          </cell>
          <cell r="M1103" t="str">
            <v>/27</v>
          </cell>
          <cell r="N1103">
            <v>813</v>
          </cell>
          <cell r="O1103" t="str">
            <v>10.117.199.178</v>
          </cell>
          <cell r="P1103" t="str">
            <v>10.117.199.161</v>
          </cell>
          <cell r="Q1103" t="str">
            <v>/27</v>
          </cell>
          <cell r="R1103">
            <v>823</v>
          </cell>
        </row>
        <row r="1104">
          <cell r="E1104" t="str">
            <v>AC157</v>
          </cell>
          <cell r="F1104" t="str">
            <v>ET919</v>
          </cell>
          <cell r="G1104" t="str">
            <v>10.117.193.179</v>
          </cell>
          <cell r="H1104" t="str">
            <v>10.117.193.161</v>
          </cell>
          <cell r="I1104" t="str">
            <v>/27</v>
          </cell>
          <cell r="J1104">
            <v>803</v>
          </cell>
          <cell r="K1104" t="str">
            <v>10.117.196.179</v>
          </cell>
          <cell r="L1104" t="str">
            <v>10.117.196.161</v>
          </cell>
          <cell r="M1104" t="str">
            <v>/27</v>
          </cell>
          <cell r="N1104">
            <v>813</v>
          </cell>
          <cell r="O1104" t="str">
            <v>10.117.199.179</v>
          </cell>
          <cell r="P1104" t="str">
            <v>10.117.199.161</v>
          </cell>
          <cell r="Q1104" t="str">
            <v>/27</v>
          </cell>
          <cell r="R1104">
            <v>823</v>
          </cell>
        </row>
        <row r="1105">
          <cell r="E1105" t="str">
            <v>AC157</v>
          </cell>
          <cell r="F1105" t="str">
            <v>ET929</v>
          </cell>
          <cell r="G1105" t="str">
            <v>10.117.193.180</v>
          </cell>
          <cell r="H1105" t="str">
            <v>10.117.193.161</v>
          </cell>
          <cell r="I1105" t="str">
            <v>/27</v>
          </cell>
          <cell r="J1105">
            <v>803</v>
          </cell>
          <cell r="K1105" t="str">
            <v>10.117.196.180</v>
          </cell>
          <cell r="L1105" t="str">
            <v>10.117.196.161</v>
          </cell>
          <cell r="M1105" t="str">
            <v>/27</v>
          </cell>
          <cell r="N1105">
            <v>813</v>
          </cell>
          <cell r="O1105" t="str">
            <v>10.117.199.180</v>
          </cell>
          <cell r="P1105" t="str">
            <v>10.117.199.161</v>
          </cell>
          <cell r="Q1105" t="str">
            <v>/27</v>
          </cell>
          <cell r="R1105">
            <v>823</v>
          </cell>
        </row>
        <row r="1106">
          <cell r="E1106" t="str">
            <v>AC157</v>
          </cell>
          <cell r="F1106" t="str">
            <v>ET929</v>
          </cell>
          <cell r="G1106" t="str">
            <v>10.117.193.181</v>
          </cell>
          <cell r="H1106" t="str">
            <v>10.117.193.161</v>
          </cell>
          <cell r="I1106" t="str">
            <v>/27</v>
          </cell>
          <cell r="J1106">
            <v>803</v>
          </cell>
          <cell r="K1106" t="str">
            <v>10.117.196.181</v>
          </cell>
          <cell r="L1106" t="str">
            <v>10.117.196.161</v>
          </cell>
          <cell r="M1106" t="str">
            <v>/27</v>
          </cell>
          <cell r="N1106">
            <v>813</v>
          </cell>
          <cell r="O1106" t="str">
            <v>10.117.199.181</v>
          </cell>
          <cell r="P1106" t="str">
            <v>10.117.199.161</v>
          </cell>
          <cell r="Q1106" t="str">
            <v>/27</v>
          </cell>
          <cell r="R1106">
            <v>823</v>
          </cell>
        </row>
        <row r="1107">
          <cell r="E1107" t="str">
            <v>AC157</v>
          </cell>
          <cell r="F1107" t="str">
            <v>ET796</v>
          </cell>
          <cell r="G1107" t="str">
            <v>10.117.193.182</v>
          </cell>
          <cell r="H1107" t="str">
            <v>10.117.193.161</v>
          </cell>
          <cell r="I1107" t="str">
            <v>/27</v>
          </cell>
          <cell r="J1107">
            <v>803</v>
          </cell>
          <cell r="K1107" t="str">
            <v>10.117.196.182</v>
          </cell>
          <cell r="L1107" t="str">
            <v>10.117.196.161</v>
          </cell>
          <cell r="M1107" t="str">
            <v>/27</v>
          </cell>
          <cell r="N1107">
            <v>813</v>
          </cell>
          <cell r="O1107" t="str">
            <v>10.117.199.182</v>
          </cell>
          <cell r="P1107" t="str">
            <v>10.117.199.161</v>
          </cell>
          <cell r="Q1107" t="str">
            <v>/27</v>
          </cell>
          <cell r="R1107">
            <v>823</v>
          </cell>
        </row>
        <row r="1108">
          <cell r="E1108" t="str">
            <v>AC157</v>
          </cell>
          <cell r="F1108" t="str">
            <v>ET796</v>
          </cell>
          <cell r="G1108" t="str">
            <v>10.117.193.183</v>
          </cell>
          <cell r="H1108" t="str">
            <v>10.117.193.161</v>
          </cell>
          <cell r="I1108" t="str">
            <v>/27</v>
          </cell>
          <cell r="J1108">
            <v>803</v>
          </cell>
          <cell r="K1108" t="str">
            <v>10.117.196.183</v>
          </cell>
          <cell r="L1108" t="str">
            <v>10.117.196.161</v>
          </cell>
          <cell r="M1108" t="str">
            <v>/27</v>
          </cell>
          <cell r="N1108">
            <v>813</v>
          </cell>
          <cell r="O1108" t="str">
            <v>10.117.199.183</v>
          </cell>
          <cell r="P1108" t="str">
            <v>10.117.199.161</v>
          </cell>
          <cell r="Q1108" t="str">
            <v>/27</v>
          </cell>
          <cell r="R1108">
            <v>823</v>
          </cell>
        </row>
        <row r="1109">
          <cell r="E1109" t="str">
            <v>AC157</v>
          </cell>
          <cell r="G1109" t="str">
            <v>10.117.193.184</v>
          </cell>
          <cell r="H1109" t="str">
            <v>10.117.193.161</v>
          </cell>
          <cell r="I1109" t="str">
            <v>/27</v>
          </cell>
          <cell r="J1109">
            <v>803</v>
          </cell>
          <cell r="K1109" t="str">
            <v>10.117.196.184</v>
          </cell>
          <cell r="L1109" t="str">
            <v>10.117.196.161</v>
          </cell>
          <cell r="M1109" t="str">
            <v>/27</v>
          </cell>
          <cell r="N1109">
            <v>813</v>
          </cell>
          <cell r="O1109" t="str">
            <v>10.117.199.184</v>
          </cell>
          <cell r="P1109" t="str">
            <v>10.117.199.161</v>
          </cell>
          <cell r="Q1109" t="str">
            <v>/27</v>
          </cell>
          <cell r="R1109">
            <v>823</v>
          </cell>
        </row>
        <row r="1110">
          <cell r="E1110" t="str">
            <v>AC157</v>
          </cell>
          <cell r="G1110" t="str">
            <v>10.117.193.185</v>
          </cell>
          <cell r="H1110" t="str">
            <v>10.117.193.161</v>
          </cell>
          <cell r="I1110" t="str">
            <v>/27</v>
          </cell>
          <cell r="J1110">
            <v>803</v>
          </cell>
          <cell r="K1110" t="str">
            <v>10.117.196.185</v>
          </cell>
          <cell r="L1110" t="str">
            <v>10.117.196.161</v>
          </cell>
          <cell r="M1110" t="str">
            <v>/27</v>
          </cell>
          <cell r="N1110">
            <v>813</v>
          </cell>
          <cell r="O1110" t="str">
            <v>10.117.199.185</v>
          </cell>
          <cell r="P1110" t="str">
            <v>10.117.199.161</v>
          </cell>
          <cell r="Q1110" t="str">
            <v>/27</v>
          </cell>
          <cell r="R1110">
            <v>823</v>
          </cell>
        </row>
        <row r="1111">
          <cell r="E1111" t="str">
            <v>AC157</v>
          </cell>
          <cell r="G1111" t="str">
            <v>10.117.193.186</v>
          </cell>
          <cell r="H1111" t="str">
            <v>10.117.193.161</v>
          </cell>
          <cell r="I1111" t="str">
            <v>/27</v>
          </cell>
          <cell r="J1111">
            <v>803</v>
          </cell>
          <cell r="K1111" t="str">
            <v>10.117.196.186</v>
          </cell>
          <cell r="L1111" t="str">
            <v>10.117.196.161</v>
          </cell>
          <cell r="M1111" t="str">
            <v>/27</v>
          </cell>
          <cell r="N1111">
            <v>813</v>
          </cell>
          <cell r="O1111" t="str">
            <v>10.117.199.186</v>
          </cell>
          <cell r="P1111" t="str">
            <v>10.117.199.161</v>
          </cell>
          <cell r="Q1111" t="str">
            <v>/27</v>
          </cell>
          <cell r="R1111">
            <v>823</v>
          </cell>
        </row>
        <row r="1112">
          <cell r="E1112" t="str">
            <v>AC157</v>
          </cell>
          <cell r="G1112" t="str">
            <v>10.117.193.187</v>
          </cell>
          <cell r="H1112" t="str">
            <v>10.117.193.161</v>
          </cell>
          <cell r="I1112" t="str">
            <v>/27</v>
          </cell>
          <cell r="J1112">
            <v>803</v>
          </cell>
          <cell r="K1112" t="str">
            <v>10.117.196.187</v>
          </cell>
          <cell r="L1112" t="str">
            <v>10.117.196.161</v>
          </cell>
          <cell r="M1112" t="str">
            <v>/27</v>
          </cell>
          <cell r="N1112">
            <v>813</v>
          </cell>
          <cell r="O1112" t="str">
            <v>10.117.199.187</v>
          </cell>
          <cell r="P1112" t="str">
            <v>10.117.199.161</v>
          </cell>
          <cell r="Q1112" t="str">
            <v>/27</v>
          </cell>
          <cell r="R1112">
            <v>823</v>
          </cell>
        </row>
        <row r="1113">
          <cell r="E1113" t="str">
            <v>AC157</v>
          </cell>
          <cell r="G1113" t="str">
            <v>10.117.193.188</v>
          </cell>
          <cell r="H1113" t="str">
            <v>10.117.193.161</v>
          </cell>
          <cell r="I1113" t="str">
            <v>/27</v>
          </cell>
          <cell r="J1113">
            <v>803</v>
          </cell>
          <cell r="K1113" t="str">
            <v>10.117.196.188</v>
          </cell>
          <cell r="L1113" t="str">
            <v>10.117.196.161</v>
          </cell>
          <cell r="M1113" t="str">
            <v>/27</v>
          </cell>
          <cell r="N1113">
            <v>813</v>
          </cell>
          <cell r="O1113" t="str">
            <v>10.117.199.188</v>
          </cell>
          <cell r="P1113" t="str">
            <v>10.117.199.161</v>
          </cell>
          <cell r="Q1113" t="str">
            <v>/27</v>
          </cell>
          <cell r="R1113">
            <v>823</v>
          </cell>
        </row>
        <row r="1114">
          <cell r="E1114" t="str">
            <v>AC157</v>
          </cell>
          <cell r="G1114" t="str">
            <v>10.117.193.189</v>
          </cell>
          <cell r="H1114" t="str">
            <v>10.117.193.161</v>
          </cell>
          <cell r="I1114" t="str">
            <v>/27</v>
          </cell>
          <cell r="J1114">
            <v>803</v>
          </cell>
          <cell r="K1114" t="str">
            <v>10.117.196.189</v>
          </cell>
          <cell r="L1114" t="str">
            <v>10.117.196.161</v>
          </cell>
          <cell r="M1114" t="str">
            <v>/27</v>
          </cell>
          <cell r="N1114">
            <v>813</v>
          </cell>
          <cell r="O1114" t="str">
            <v>10.117.199.189</v>
          </cell>
          <cell r="P1114" t="str">
            <v>10.117.199.161</v>
          </cell>
          <cell r="Q1114" t="str">
            <v>/27</v>
          </cell>
          <cell r="R1114">
            <v>823</v>
          </cell>
        </row>
        <row r="1115">
          <cell r="E1115" t="str">
            <v>AC157</v>
          </cell>
          <cell r="G1115" t="str">
            <v>10.117.193.190</v>
          </cell>
          <cell r="H1115" t="str">
            <v>10.117.193.161</v>
          </cell>
          <cell r="I1115" t="str">
            <v>/27</v>
          </cell>
          <cell r="J1115">
            <v>803</v>
          </cell>
          <cell r="K1115" t="str">
            <v>10.117.196.190</v>
          </cell>
          <cell r="L1115" t="str">
            <v>10.117.196.161</v>
          </cell>
          <cell r="M1115" t="str">
            <v>/27</v>
          </cell>
          <cell r="N1115">
            <v>813</v>
          </cell>
          <cell r="O1115" t="str">
            <v>10.117.199.190</v>
          </cell>
          <cell r="P1115" t="str">
            <v>10.117.199.161</v>
          </cell>
          <cell r="Q1115" t="str">
            <v>/27</v>
          </cell>
          <cell r="R1115">
            <v>823</v>
          </cell>
        </row>
        <row r="1116">
          <cell r="E1116" t="str">
            <v>AC157</v>
          </cell>
          <cell r="G1116" t="str">
            <v>10.117.193.191</v>
          </cell>
          <cell r="H1116" t="str">
            <v>10.117.193.161</v>
          </cell>
          <cell r="I1116" t="str">
            <v>/27</v>
          </cell>
          <cell r="J1116">
            <v>803</v>
          </cell>
          <cell r="K1116" t="str">
            <v>10.117.196.191</v>
          </cell>
          <cell r="L1116" t="str">
            <v>10.117.196.161</v>
          </cell>
          <cell r="M1116" t="str">
            <v>/27</v>
          </cell>
          <cell r="N1116">
            <v>813</v>
          </cell>
          <cell r="O1116" t="str">
            <v>10.117.199.191</v>
          </cell>
          <cell r="P1116" t="str">
            <v>10.117.199.161</v>
          </cell>
          <cell r="Q1116" t="str">
            <v>/27</v>
          </cell>
          <cell r="R1116">
            <v>823</v>
          </cell>
        </row>
        <row r="1117">
          <cell r="E1117" t="str">
            <v>AC156</v>
          </cell>
          <cell r="G1117" t="str">
            <v>10.117.193.128</v>
          </cell>
          <cell r="H1117" t="str">
            <v>10.117.193.129</v>
          </cell>
          <cell r="I1117" t="str">
            <v>/27</v>
          </cell>
          <cell r="J1117">
            <v>806</v>
          </cell>
          <cell r="K1117" t="str">
            <v>10.117.196.128</v>
          </cell>
          <cell r="L1117" t="str">
            <v>10.117.196.129</v>
          </cell>
          <cell r="M1117" t="str">
            <v>/27</v>
          </cell>
          <cell r="N1117">
            <v>816</v>
          </cell>
          <cell r="O1117" t="str">
            <v>10.117.199.128</v>
          </cell>
          <cell r="P1117" t="str">
            <v>10.117.199.129</v>
          </cell>
          <cell r="Q1117" t="str">
            <v>/27</v>
          </cell>
          <cell r="R1117">
            <v>826</v>
          </cell>
        </row>
        <row r="1118">
          <cell r="E1118" t="str">
            <v>AC156</v>
          </cell>
          <cell r="G1118" t="str">
            <v>10.117.193.129</v>
          </cell>
          <cell r="H1118" t="str">
            <v>10.117.193.129</v>
          </cell>
          <cell r="I1118" t="str">
            <v>/27</v>
          </cell>
          <cell r="J1118">
            <v>806</v>
          </cell>
          <cell r="K1118" t="str">
            <v>10.117.196.129</v>
          </cell>
          <cell r="L1118" t="str">
            <v>10.117.196.129</v>
          </cell>
          <cell r="M1118" t="str">
            <v>/27</v>
          </cell>
          <cell r="N1118">
            <v>816</v>
          </cell>
          <cell r="O1118" t="str">
            <v>10.117.199.129</v>
          </cell>
          <cell r="P1118" t="str">
            <v>10.117.199.129</v>
          </cell>
          <cell r="Q1118" t="str">
            <v>/27</v>
          </cell>
          <cell r="R1118">
            <v>826</v>
          </cell>
        </row>
        <row r="1119">
          <cell r="E1119" t="str">
            <v>AC156</v>
          </cell>
          <cell r="G1119" t="str">
            <v>10.117.193.130</v>
          </cell>
          <cell r="H1119" t="str">
            <v>10.117.193.129</v>
          </cell>
          <cell r="I1119" t="str">
            <v>/27</v>
          </cell>
          <cell r="J1119">
            <v>806</v>
          </cell>
          <cell r="K1119" t="str">
            <v>10.117.196.130</v>
          </cell>
          <cell r="L1119" t="str">
            <v>10.117.196.129</v>
          </cell>
          <cell r="M1119" t="str">
            <v>/27</v>
          </cell>
          <cell r="N1119">
            <v>816</v>
          </cell>
          <cell r="O1119" t="str">
            <v>10.117.199.130</v>
          </cell>
          <cell r="P1119" t="str">
            <v>10.117.199.129</v>
          </cell>
          <cell r="Q1119" t="str">
            <v>/27</v>
          </cell>
          <cell r="R1119">
            <v>826</v>
          </cell>
        </row>
        <row r="1120">
          <cell r="E1120" t="str">
            <v>AC156</v>
          </cell>
          <cell r="G1120" t="str">
            <v>10.117.193.131</v>
          </cell>
          <cell r="H1120" t="str">
            <v>10.117.193.129</v>
          </cell>
          <cell r="I1120" t="str">
            <v>/27</v>
          </cell>
          <cell r="J1120">
            <v>806</v>
          </cell>
          <cell r="K1120" t="str">
            <v>10.117.196.131</v>
          </cell>
          <cell r="L1120" t="str">
            <v>10.117.196.129</v>
          </cell>
          <cell r="M1120" t="str">
            <v>/27</v>
          </cell>
          <cell r="N1120">
            <v>816</v>
          </cell>
          <cell r="O1120" t="str">
            <v>10.117.199.131</v>
          </cell>
          <cell r="P1120" t="str">
            <v>10.117.199.129</v>
          </cell>
          <cell r="Q1120" t="str">
            <v>/27</v>
          </cell>
          <cell r="R1120">
            <v>826</v>
          </cell>
        </row>
        <row r="1121">
          <cell r="E1121" t="str">
            <v>AC156</v>
          </cell>
          <cell r="F1121" t="str">
            <v>AC156</v>
          </cell>
          <cell r="G1121" t="str">
            <v>10.117.193.132</v>
          </cell>
          <cell r="H1121" t="str">
            <v>10.117.193.129</v>
          </cell>
          <cell r="I1121" t="str">
            <v>/27</v>
          </cell>
          <cell r="J1121">
            <v>806</v>
          </cell>
          <cell r="K1121" t="str">
            <v>10.117.196.132</v>
          </cell>
          <cell r="L1121" t="str">
            <v>10.117.196.129</v>
          </cell>
          <cell r="M1121" t="str">
            <v>/27</v>
          </cell>
          <cell r="N1121">
            <v>816</v>
          </cell>
          <cell r="O1121" t="str">
            <v>10.117.199.132</v>
          </cell>
          <cell r="P1121" t="str">
            <v>10.117.199.129</v>
          </cell>
          <cell r="Q1121" t="str">
            <v>/27</v>
          </cell>
          <cell r="R1121">
            <v>826</v>
          </cell>
        </row>
        <row r="1122">
          <cell r="E1122" t="str">
            <v>AC156</v>
          </cell>
          <cell r="G1122" t="str">
            <v>10.117.193.133</v>
          </cell>
          <cell r="H1122" t="str">
            <v>10.117.193.129</v>
          </cell>
          <cell r="I1122" t="str">
            <v>/27</v>
          </cell>
          <cell r="J1122">
            <v>806</v>
          </cell>
          <cell r="K1122" t="str">
            <v>10.117.196.133</v>
          </cell>
          <cell r="L1122" t="str">
            <v>10.117.196.129</v>
          </cell>
          <cell r="M1122" t="str">
            <v>/27</v>
          </cell>
          <cell r="N1122">
            <v>816</v>
          </cell>
          <cell r="O1122" t="str">
            <v>10.117.199.133</v>
          </cell>
          <cell r="P1122" t="str">
            <v>10.117.199.129</v>
          </cell>
          <cell r="Q1122" t="str">
            <v>/27</v>
          </cell>
          <cell r="R1122">
            <v>826</v>
          </cell>
        </row>
        <row r="1123">
          <cell r="E1123" t="str">
            <v>AC156</v>
          </cell>
          <cell r="F1123" t="str">
            <v>ET680</v>
          </cell>
          <cell r="G1123" t="str">
            <v>10.117.193.134</v>
          </cell>
          <cell r="H1123" t="str">
            <v>10.117.193.129</v>
          </cell>
          <cell r="I1123" t="str">
            <v>/27</v>
          </cell>
          <cell r="J1123">
            <v>806</v>
          </cell>
          <cell r="K1123" t="str">
            <v>10.117.196.134</v>
          </cell>
          <cell r="L1123" t="str">
            <v>10.117.196.129</v>
          </cell>
          <cell r="M1123" t="str">
            <v>/27</v>
          </cell>
          <cell r="N1123">
            <v>816</v>
          </cell>
          <cell r="O1123" t="str">
            <v>10.117.199.134</v>
          </cell>
          <cell r="P1123" t="str">
            <v>10.117.199.129</v>
          </cell>
          <cell r="Q1123" t="str">
            <v>/27</v>
          </cell>
          <cell r="R1123">
            <v>826</v>
          </cell>
        </row>
        <row r="1124">
          <cell r="E1124" t="str">
            <v>AC156</v>
          </cell>
          <cell r="F1124" t="str">
            <v>ET680</v>
          </cell>
          <cell r="G1124" t="str">
            <v>10.117.193.135</v>
          </cell>
          <cell r="H1124" t="str">
            <v>10.117.193.129</v>
          </cell>
          <cell r="I1124" t="str">
            <v>/27</v>
          </cell>
          <cell r="J1124">
            <v>806</v>
          </cell>
          <cell r="K1124" t="str">
            <v>10.117.196.135</v>
          </cell>
          <cell r="L1124" t="str">
            <v>10.117.196.129</v>
          </cell>
          <cell r="M1124" t="str">
            <v>/27</v>
          </cell>
          <cell r="N1124">
            <v>816</v>
          </cell>
          <cell r="O1124" t="str">
            <v>10.117.199.135</v>
          </cell>
          <cell r="P1124" t="str">
            <v>10.117.199.129</v>
          </cell>
          <cell r="Q1124" t="str">
            <v>/27</v>
          </cell>
          <cell r="R1124">
            <v>826</v>
          </cell>
        </row>
        <row r="1125">
          <cell r="E1125" t="str">
            <v>AC156</v>
          </cell>
          <cell r="F1125" t="str">
            <v>AC154</v>
          </cell>
          <cell r="G1125" t="str">
            <v>10.117.193.136</v>
          </cell>
          <cell r="H1125" t="str">
            <v>10.117.193.129</v>
          </cell>
          <cell r="I1125" t="str">
            <v>/27</v>
          </cell>
          <cell r="J1125">
            <v>806</v>
          </cell>
          <cell r="K1125" t="str">
            <v>10.117.196.136</v>
          </cell>
          <cell r="L1125" t="str">
            <v>10.117.196.129</v>
          </cell>
          <cell r="M1125" t="str">
            <v>/27</v>
          </cell>
          <cell r="N1125">
            <v>816</v>
          </cell>
          <cell r="O1125" t="str">
            <v>10.117.199.136</v>
          </cell>
          <cell r="P1125" t="str">
            <v>10.117.199.129</v>
          </cell>
          <cell r="Q1125" t="str">
            <v>/27</v>
          </cell>
          <cell r="R1125">
            <v>826</v>
          </cell>
        </row>
        <row r="1126">
          <cell r="E1126" t="str">
            <v>AC156</v>
          </cell>
          <cell r="G1126" t="str">
            <v>10.117.193.137</v>
          </cell>
          <cell r="H1126" t="str">
            <v>10.117.193.129</v>
          </cell>
          <cell r="I1126" t="str">
            <v>/27</v>
          </cell>
          <cell r="J1126">
            <v>806</v>
          </cell>
          <cell r="K1126" t="str">
            <v>10.117.196.137</v>
          </cell>
          <cell r="L1126" t="str">
            <v>10.117.196.129</v>
          </cell>
          <cell r="M1126" t="str">
            <v>/27</v>
          </cell>
          <cell r="N1126">
            <v>816</v>
          </cell>
          <cell r="O1126" t="str">
            <v>10.117.199.137</v>
          </cell>
          <cell r="P1126" t="str">
            <v>10.117.199.129</v>
          </cell>
          <cell r="Q1126" t="str">
            <v>/27</v>
          </cell>
          <cell r="R1126">
            <v>826</v>
          </cell>
        </row>
        <row r="1127">
          <cell r="E1127" t="str">
            <v>AC156</v>
          </cell>
          <cell r="G1127" t="str">
            <v>10.117.193.138</v>
          </cell>
          <cell r="H1127" t="str">
            <v>10.117.193.129</v>
          </cell>
          <cell r="I1127" t="str">
            <v>/27</v>
          </cell>
          <cell r="J1127">
            <v>806</v>
          </cell>
          <cell r="K1127" t="str">
            <v>10.117.196.138</v>
          </cell>
          <cell r="L1127" t="str">
            <v>10.117.196.129</v>
          </cell>
          <cell r="M1127" t="str">
            <v>/27</v>
          </cell>
          <cell r="N1127">
            <v>816</v>
          </cell>
          <cell r="O1127" t="str">
            <v>10.117.199.138</v>
          </cell>
          <cell r="P1127" t="str">
            <v>10.117.199.129</v>
          </cell>
          <cell r="Q1127" t="str">
            <v>/27</v>
          </cell>
          <cell r="R1127">
            <v>826</v>
          </cell>
        </row>
        <row r="1128">
          <cell r="E1128" t="str">
            <v>AC156</v>
          </cell>
          <cell r="G1128" t="str">
            <v>10.117.193.139</v>
          </cell>
          <cell r="H1128" t="str">
            <v>10.117.193.129</v>
          </cell>
          <cell r="I1128" t="str">
            <v>/27</v>
          </cell>
          <cell r="J1128">
            <v>806</v>
          </cell>
          <cell r="K1128" t="str">
            <v>10.117.196.139</v>
          </cell>
          <cell r="L1128" t="str">
            <v>10.117.196.129</v>
          </cell>
          <cell r="M1128" t="str">
            <v>/27</v>
          </cell>
          <cell r="N1128">
            <v>816</v>
          </cell>
          <cell r="O1128" t="str">
            <v>10.117.199.139</v>
          </cell>
          <cell r="P1128" t="str">
            <v>10.117.199.129</v>
          </cell>
          <cell r="Q1128" t="str">
            <v>/27</v>
          </cell>
          <cell r="R1128">
            <v>826</v>
          </cell>
        </row>
        <row r="1129">
          <cell r="E1129" t="str">
            <v>AC156</v>
          </cell>
          <cell r="G1129" t="str">
            <v>10.117.193.140</v>
          </cell>
          <cell r="H1129" t="str">
            <v>10.117.193.129</v>
          </cell>
          <cell r="I1129" t="str">
            <v>/27</v>
          </cell>
          <cell r="J1129">
            <v>806</v>
          </cell>
          <cell r="K1129" t="str">
            <v>10.117.196.140</v>
          </cell>
          <cell r="L1129" t="str">
            <v>10.117.196.129</v>
          </cell>
          <cell r="M1129" t="str">
            <v>/27</v>
          </cell>
          <cell r="N1129">
            <v>816</v>
          </cell>
          <cell r="O1129" t="str">
            <v>10.117.199.140</v>
          </cell>
          <cell r="P1129" t="str">
            <v>10.117.199.129</v>
          </cell>
          <cell r="Q1129" t="str">
            <v>/27</v>
          </cell>
          <cell r="R1129">
            <v>826</v>
          </cell>
        </row>
        <row r="1130">
          <cell r="E1130" t="str">
            <v>AC156</v>
          </cell>
          <cell r="G1130" t="str">
            <v>10.117.193.141</v>
          </cell>
          <cell r="H1130" t="str">
            <v>10.117.193.129</v>
          </cell>
          <cell r="I1130" t="str">
            <v>/27</v>
          </cell>
          <cell r="J1130">
            <v>806</v>
          </cell>
          <cell r="K1130" t="str">
            <v>10.117.196.141</v>
          </cell>
          <cell r="L1130" t="str">
            <v>10.117.196.129</v>
          </cell>
          <cell r="M1130" t="str">
            <v>/27</v>
          </cell>
          <cell r="N1130">
            <v>816</v>
          </cell>
          <cell r="O1130" t="str">
            <v>10.117.199.141</v>
          </cell>
          <cell r="P1130" t="str">
            <v>10.117.199.129</v>
          </cell>
          <cell r="Q1130" t="str">
            <v>/27</v>
          </cell>
          <cell r="R1130">
            <v>826</v>
          </cell>
        </row>
        <row r="1131">
          <cell r="E1131" t="str">
            <v>AC156</v>
          </cell>
          <cell r="G1131" t="str">
            <v>10.117.193.142</v>
          </cell>
          <cell r="H1131" t="str">
            <v>10.117.193.129</v>
          </cell>
          <cell r="I1131" t="str">
            <v>/27</v>
          </cell>
          <cell r="J1131">
            <v>806</v>
          </cell>
          <cell r="K1131" t="str">
            <v>10.117.196.142</v>
          </cell>
          <cell r="L1131" t="str">
            <v>10.117.196.129</v>
          </cell>
          <cell r="M1131" t="str">
            <v>/27</v>
          </cell>
          <cell r="N1131">
            <v>816</v>
          </cell>
          <cell r="O1131" t="str">
            <v>10.117.199.142</v>
          </cell>
          <cell r="P1131" t="str">
            <v>10.117.199.129</v>
          </cell>
          <cell r="Q1131" t="str">
            <v>/27</v>
          </cell>
          <cell r="R1131">
            <v>826</v>
          </cell>
        </row>
        <row r="1132">
          <cell r="E1132" t="str">
            <v>AC156</v>
          </cell>
          <cell r="G1132" t="str">
            <v>10.117.193.143</v>
          </cell>
          <cell r="H1132" t="str">
            <v>10.117.193.129</v>
          </cell>
          <cell r="I1132" t="str">
            <v>/27</v>
          </cell>
          <cell r="J1132">
            <v>806</v>
          </cell>
          <cell r="K1132" t="str">
            <v>10.117.196.143</v>
          </cell>
          <cell r="L1132" t="str">
            <v>10.117.196.129</v>
          </cell>
          <cell r="M1132" t="str">
            <v>/27</v>
          </cell>
          <cell r="N1132">
            <v>816</v>
          </cell>
          <cell r="O1132" t="str">
            <v>10.117.199.143</v>
          </cell>
          <cell r="P1132" t="str">
            <v>10.117.199.129</v>
          </cell>
          <cell r="Q1132" t="str">
            <v>/27</v>
          </cell>
          <cell r="R1132">
            <v>826</v>
          </cell>
        </row>
        <row r="1133">
          <cell r="E1133" t="str">
            <v>AC156</v>
          </cell>
          <cell r="G1133" t="str">
            <v>10.117.193.144</v>
          </cell>
          <cell r="H1133" t="str">
            <v>10.117.193.129</v>
          </cell>
          <cell r="I1133" t="str">
            <v>/27</v>
          </cell>
          <cell r="J1133">
            <v>806</v>
          </cell>
          <cell r="K1133" t="str">
            <v>10.117.196.144</v>
          </cell>
          <cell r="L1133" t="str">
            <v>10.117.196.129</v>
          </cell>
          <cell r="M1133" t="str">
            <v>/27</v>
          </cell>
          <cell r="N1133">
            <v>816</v>
          </cell>
          <cell r="O1133" t="str">
            <v>10.117.199.144</v>
          </cell>
          <cell r="P1133" t="str">
            <v>10.117.199.129</v>
          </cell>
          <cell r="Q1133" t="str">
            <v>/27</v>
          </cell>
          <cell r="R1133">
            <v>826</v>
          </cell>
        </row>
        <row r="1134">
          <cell r="E1134" t="str">
            <v>AC156</v>
          </cell>
          <cell r="G1134" t="str">
            <v>10.117.193.145</v>
          </cell>
          <cell r="H1134" t="str">
            <v>10.117.193.129</v>
          </cell>
          <cell r="I1134" t="str">
            <v>/27</v>
          </cell>
          <cell r="J1134">
            <v>806</v>
          </cell>
          <cell r="K1134" t="str">
            <v>10.117.196.145</v>
          </cell>
          <cell r="L1134" t="str">
            <v>10.117.196.129</v>
          </cell>
          <cell r="M1134" t="str">
            <v>/27</v>
          </cell>
          <cell r="N1134">
            <v>816</v>
          </cell>
          <cell r="O1134" t="str">
            <v>10.117.199.145</v>
          </cell>
          <cell r="P1134" t="str">
            <v>10.117.199.129</v>
          </cell>
          <cell r="Q1134" t="str">
            <v>/27</v>
          </cell>
          <cell r="R1134">
            <v>826</v>
          </cell>
        </row>
        <row r="1135">
          <cell r="E1135" t="str">
            <v>AC156</v>
          </cell>
          <cell r="G1135" t="str">
            <v>10.117.193.146</v>
          </cell>
          <cell r="H1135" t="str">
            <v>10.117.193.129</v>
          </cell>
          <cell r="I1135" t="str">
            <v>/27</v>
          </cell>
          <cell r="J1135">
            <v>806</v>
          </cell>
          <cell r="K1135" t="str">
            <v>10.117.196.146</v>
          </cell>
          <cell r="L1135" t="str">
            <v>10.117.196.129</v>
          </cell>
          <cell r="M1135" t="str">
            <v>/27</v>
          </cell>
          <cell r="N1135">
            <v>816</v>
          </cell>
          <cell r="O1135" t="str">
            <v>10.117.199.146</v>
          </cell>
          <cell r="P1135" t="str">
            <v>10.117.199.129</v>
          </cell>
          <cell r="Q1135" t="str">
            <v>/27</v>
          </cell>
          <cell r="R1135">
            <v>826</v>
          </cell>
        </row>
        <row r="1136">
          <cell r="E1136" t="str">
            <v>AC156</v>
          </cell>
          <cell r="G1136" t="str">
            <v>10.117.193.147</v>
          </cell>
          <cell r="H1136" t="str">
            <v>10.117.193.129</v>
          </cell>
          <cell r="I1136" t="str">
            <v>/27</v>
          </cell>
          <cell r="J1136">
            <v>806</v>
          </cell>
          <cell r="K1136" t="str">
            <v>10.117.196.147</v>
          </cell>
          <cell r="L1136" t="str">
            <v>10.117.196.129</v>
          </cell>
          <cell r="M1136" t="str">
            <v>/27</v>
          </cell>
          <cell r="N1136">
            <v>816</v>
          </cell>
          <cell r="O1136" t="str">
            <v>10.117.199.147</v>
          </cell>
          <cell r="P1136" t="str">
            <v>10.117.199.129</v>
          </cell>
          <cell r="Q1136" t="str">
            <v>/27</v>
          </cell>
          <cell r="R1136">
            <v>826</v>
          </cell>
        </row>
        <row r="1137">
          <cell r="E1137" t="str">
            <v>AC156</v>
          </cell>
          <cell r="G1137" t="str">
            <v>10.117.193.148</v>
          </cell>
          <cell r="H1137" t="str">
            <v>10.117.193.129</v>
          </cell>
          <cell r="I1137" t="str">
            <v>/27</v>
          </cell>
          <cell r="J1137">
            <v>806</v>
          </cell>
          <cell r="K1137" t="str">
            <v>10.117.196.148</v>
          </cell>
          <cell r="L1137" t="str">
            <v>10.117.196.129</v>
          </cell>
          <cell r="M1137" t="str">
            <v>/27</v>
          </cell>
          <cell r="N1137">
            <v>816</v>
          </cell>
          <cell r="O1137" t="str">
            <v>10.117.199.148</v>
          </cell>
          <cell r="P1137" t="str">
            <v>10.117.199.129</v>
          </cell>
          <cell r="Q1137" t="str">
            <v>/27</v>
          </cell>
          <cell r="R1137">
            <v>826</v>
          </cell>
        </row>
        <row r="1138">
          <cell r="E1138" t="str">
            <v>AC156</v>
          </cell>
          <cell r="G1138" t="str">
            <v>10.117.193.149</v>
          </cell>
          <cell r="H1138" t="str">
            <v>10.117.193.129</v>
          </cell>
          <cell r="I1138" t="str">
            <v>/27</v>
          </cell>
          <cell r="J1138">
            <v>806</v>
          </cell>
          <cell r="K1138" t="str">
            <v>10.117.196.149</v>
          </cell>
          <cell r="L1138" t="str">
            <v>10.117.196.129</v>
          </cell>
          <cell r="M1138" t="str">
            <v>/27</v>
          </cell>
          <cell r="N1138">
            <v>816</v>
          </cell>
          <cell r="O1138" t="str">
            <v>10.117.199.149</v>
          </cell>
          <cell r="P1138" t="str">
            <v>10.117.199.129</v>
          </cell>
          <cell r="Q1138" t="str">
            <v>/27</v>
          </cell>
          <cell r="R1138">
            <v>826</v>
          </cell>
        </row>
        <row r="1139">
          <cell r="E1139" t="str">
            <v>AC156</v>
          </cell>
          <cell r="G1139" t="str">
            <v>10.117.193.150</v>
          </cell>
          <cell r="H1139" t="str">
            <v>10.117.193.129</v>
          </cell>
          <cell r="I1139" t="str">
            <v>/27</v>
          </cell>
          <cell r="J1139">
            <v>806</v>
          </cell>
          <cell r="K1139" t="str">
            <v>10.117.196.150</v>
          </cell>
          <cell r="L1139" t="str">
            <v>10.117.196.129</v>
          </cell>
          <cell r="M1139" t="str">
            <v>/27</v>
          </cell>
          <cell r="N1139">
            <v>816</v>
          </cell>
          <cell r="O1139" t="str">
            <v>10.117.199.150</v>
          </cell>
          <cell r="P1139" t="str">
            <v>10.117.199.129</v>
          </cell>
          <cell r="Q1139" t="str">
            <v>/27</v>
          </cell>
          <cell r="R1139">
            <v>826</v>
          </cell>
        </row>
        <row r="1140">
          <cell r="E1140" t="str">
            <v>AC156</v>
          </cell>
          <cell r="G1140" t="str">
            <v>10.117.193.151</v>
          </cell>
          <cell r="H1140" t="str">
            <v>10.117.193.129</v>
          </cell>
          <cell r="I1140" t="str">
            <v>/27</v>
          </cell>
          <cell r="J1140">
            <v>806</v>
          </cell>
          <cell r="K1140" t="str">
            <v>10.117.196.151</v>
          </cell>
          <cell r="L1140" t="str">
            <v>10.117.196.129</v>
          </cell>
          <cell r="M1140" t="str">
            <v>/27</v>
          </cell>
          <cell r="N1140">
            <v>816</v>
          </cell>
          <cell r="O1140" t="str">
            <v>10.117.199.151</v>
          </cell>
          <cell r="P1140" t="str">
            <v>10.117.199.129</v>
          </cell>
          <cell r="Q1140" t="str">
            <v>/27</v>
          </cell>
          <cell r="R1140">
            <v>826</v>
          </cell>
        </row>
        <row r="1141">
          <cell r="E1141" t="str">
            <v>AC156</v>
          </cell>
          <cell r="G1141" t="str">
            <v>10.117.193.152</v>
          </cell>
          <cell r="H1141" t="str">
            <v>10.117.193.129</v>
          </cell>
          <cell r="I1141" t="str">
            <v>/27</v>
          </cell>
          <cell r="J1141">
            <v>806</v>
          </cell>
          <cell r="K1141" t="str">
            <v>10.117.196.152</v>
          </cell>
          <cell r="L1141" t="str">
            <v>10.117.196.129</v>
          </cell>
          <cell r="M1141" t="str">
            <v>/27</v>
          </cell>
          <cell r="N1141">
            <v>816</v>
          </cell>
          <cell r="O1141" t="str">
            <v>10.117.199.152</v>
          </cell>
          <cell r="P1141" t="str">
            <v>10.117.199.129</v>
          </cell>
          <cell r="Q1141" t="str">
            <v>/27</v>
          </cell>
          <cell r="R1141">
            <v>826</v>
          </cell>
        </row>
        <row r="1142">
          <cell r="E1142" t="str">
            <v>AC156</v>
          </cell>
          <cell r="G1142" t="str">
            <v>10.117.193.153</v>
          </cell>
          <cell r="H1142" t="str">
            <v>10.117.193.129</v>
          </cell>
          <cell r="I1142" t="str">
            <v>/27</v>
          </cell>
          <cell r="J1142">
            <v>806</v>
          </cell>
          <cell r="K1142" t="str">
            <v>10.117.196.153</v>
          </cell>
          <cell r="L1142" t="str">
            <v>10.117.196.129</v>
          </cell>
          <cell r="M1142" t="str">
            <v>/27</v>
          </cell>
          <cell r="N1142">
            <v>816</v>
          </cell>
          <cell r="O1142" t="str">
            <v>10.117.199.153</v>
          </cell>
          <cell r="P1142" t="str">
            <v>10.117.199.129</v>
          </cell>
          <cell r="Q1142" t="str">
            <v>/27</v>
          </cell>
          <cell r="R1142">
            <v>826</v>
          </cell>
        </row>
        <row r="1143">
          <cell r="E1143" t="str">
            <v>AC156</v>
          </cell>
          <cell r="G1143" t="str">
            <v>10.117.193.154</v>
          </cell>
          <cell r="H1143" t="str">
            <v>10.117.193.129</v>
          </cell>
          <cell r="I1143" t="str">
            <v>/27</v>
          </cell>
          <cell r="J1143">
            <v>806</v>
          </cell>
          <cell r="K1143" t="str">
            <v>10.117.196.154</v>
          </cell>
          <cell r="L1143" t="str">
            <v>10.117.196.129</v>
          </cell>
          <cell r="M1143" t="str">
            <v>/27</v>
          </cell>
          <cell r="N1143">
            <v>816</v>
          </cell>
          <cell r="O1143" t="str">
            <v>10.117.199.154</v>
          </cell>
          <cell r="P1143" t="str">
            <v>10.117.199.129</v>
          </cell>
          <cell r="Q1143" t="str">
            <v>/27</v>
          </cell>
          <cell r="R1143">
            <v>826</v>
          </cell>
        </row>
        <row r="1144">
          <cell r="E1144" t="str">
            <v>AC156</v>
          </cell>
          <cell r="G1144" t="str">
            <v>10.117.193.155</v>
          </cell>
          <cell r="H1144" t="str">
            <v>10.117.193.129</v>
          </cell>
          <cell r="I1144" t="str">
            <v>/27</v>
          </cell>
          <cell r="J1144">
            <v>806</v>
          </cell>
          <cell r="K1144" t="str">
            <v>10.117.196.155</v>
          </cell>
          <cell r="L1144" t="str">
            <v>10.117.196.129</v>
          </cell>
          <cell r="M1144" t="str">
            <v>/27</v>
          </cell>
          <cell r="N1144">
            <v>816</v>
          </cell>
          <cell r="O1144" t="str">
            <v>10.117.199.155</v>
          </cell>
          <cell r="P1144" t="str">
            <v>10.117.199.129</v>
          </cell>
          <cell r="Q1144" t="str">
            <v>/27</v>
          </cell>
          <cell r="R1144">
            <v>826</v>
          </cell>
        </row>
        <row r="1145">
          <cell r="E1145" t="str">
            <v>AC156</v>
          </cell>
          <cell r="G1145" t="str">
            <v>10.117.193.156</v>
          </cell>
          <cell r="H1145" t="str">
            <v>10.117.193.129</v>
          </cell>
          <cell r="I1145" t="str">
            <v>/27</v>
          </cell>
          <cell r="J1145">
            <v>806</v>
          </cell>
          <cell r="K1145" t="str">
            <v>10.117.196.156</v>
          </cell>
          <cell r="L1145" t="str">
            <v>10.117.196.129</v>
          </cell>
          <cell r="M1145" t="str">
            <v>/27</v>
          </cell>
          <cell r="N1145">
            <v>816</v>
          </cell>
          <cell r="O1145" t="str">
            <v>10.117.199.156</v>
          </cell>
          <cell r="P1145" t="str">
            <v>10.117.199.129</v>
          </cell>
          <cell r="Q1145" t="str">
            <v>/27</v>
          </cell>
          <cell r="R1145">
            <v>826</v>
          </cell>
        </row>
        <row r="1146">
          <cell r="E1146" t="str">
            <v>AC156</v>
          </cell>
          <cell r="G1146" t="str">
            <v>10.117.193.157</v>
          </cell>
          <cell r="H1146" t="str">
            <v>10.117.193.129</v>
          </cell>
          <cell r="I1146" t="str">
            <v>/27</v>
          </cell>
          <cell r="J1146">
            <v>806</v>
          </cell>
          <cell r="K1146" t="str">
            <v>10.117.196.157</v>
          </cell>
          <cell r="L1146" t="str">
            <v>10.117.196.129</v>
          </cell>
          <cell r="M1146" t="str">
            <v>/27</v>
          </cell>
          <cell r="N1146">
            <v>816</v>
          </cell>
          <cell r="O1146" t="str">
            <v>10.117.199.157</v>
          </cell>
          <cell r="P1146" t="str">
            <v>10.117.199.129</v>
          </cell>
          <cell r="Q1146" t="str">
            <v>/27</v>
          </cell>
          <cell r="R1146">
            <v>826</v>
          </cell>
        </row>
        <row r="1147">
          <cell r="E1147" t="str">
            <v>AC156</v>
          </cell>
          <cell r="G1147" t="str">
            <v>10.117.193.158</v>
          </cell>
          <cell r="H1147" t="str">
            <v>10.117.193.129</v>
          </cell>
          <cell r="I1147" t="str">
            <v>/27</v>
          </cell>
          <cell r="J1147">
            <v>806</v>
          </cell>
          <cell r="K1147" t="str">
            <v>10.117.196.158</v>
          </cell>
          <cell r="L1147" t="str">
            <v>10.117.196.129</v>
          </cell>
          <cell r="M1147" t="str">
            <v>/27</v>
          </cell>
          <cell r="N1147">
            <v>816</v>
          </cell>
          <cell r="O1147" t="str">
            <v>10.117.199.158</v>
          </cell>
          <cell r="P1147" t="str">
            <v>10.117.199.129</v>
          </cell>
          <cell r="Q1147" t="str">
            <v>/27</v>
          </cell>
          <cell r="R1147">
            <v>826</v>
          </cell>
        </row>
        <row r="1148">
          <cell r="E1148" t="str">
            <v>AC156</v>
          </cell>
          <cell r="G1148" t="str">
            <v>10.117.193.159</v>
          </cell>
          <cell r="H1148" t="str">
            <v>10.117.193.129</v>
          </cell>
          <cell r="I1148" t="str">
            <v>/27</v>
          </cell>
          <cell r="J1148">
            <v>806</v>
          </cell>
          <cell r="K1148" t="str">
            <v>10.117.196.159</v>
          </cell>
          <cell r="L1148" t="str">
            <v>10.117.196.129</v>
          </cell>
          <cell r="M1148" t="str">
            <v>/27</v>
          </cell>
          <cell r="N1148">
            <v>816</v>
          </cell>
          <cell r="O1148" t="str">
            <v>10.117.199.159</v>
          </cell>
          <cell r="P1148" t="str">
            <v>10.117.199.129</v>
          </cell>
          <cell r="Q1148" t="str">
            <v>/27</v>
          </cell>
          <cell r="R1148">
            <v>826</v>
          </cell>
        </row>
        <row r="1149">
          <cell r="E1149" t="str">
            <v>AC171</v>
          </cell>
          <cell r="G1149" t="str">
            <v>10.117.192.32</v>
          </cell>
          <cell r="H1149" t="str">
            <v>10.117.192.33</v>
          </cell>
          <cell r="I1149" t="str">
            <v>/27</v>
          </cell>
          <cell r="J1149">
            <v>803</v>
          </cell>
          <cell r="K1149" t="str">
            <v>10.117.195.32</v>
          </cell>
          <cell r="L1149" t="str">
            <v>10.117.195.33</v>
          </cell>
          <cell r="M1149" t="str">
            <v>/27</v>
          </cell>
          <cell r="N1149">
            <v>813</v>
          </cell>
          <cell r="O1149" t="str">
            <v>10.117.198.32</v>
          </cell>
          <cell r="P1149" t="str">
            <v>10.117.198.33</v>
          </cell>
          <cell r="Q1149" t="str">
            <v>/27</v>
          </cell>
          <cell r="R1149">
            <v>823</v>
          </cell>
        </row>
        <row r="1150">
          <cell r="E1150" t="str">
            <v>AC171</v>
          </cell>
          <cell r="G1150" t="str">
            <v>10.117.192.33</v>
          </cell>
          <cell r="H1150" t="str">
            <v>10.117.192.33</v>
          </cell>
          <cell r="I1150" t="str">
            <v>/27</v>
          </cell>
          <cell r="J1150">
            <v>803</v>
          </cell>
          <cell r="K1150" t="str">
            <v>10.117.195.33</v>
          </cell>
          <cell r="L1150" t="str">
            <v>10.117.195.33</v>
          </cell>
          <cell r="M1150" t="str">
            <v>/27</v>
          </cell>
          <cell r="N1150">
            <v>813</v>
          </cell>
          <cell r="O1150" t="str">
            <v>10.117.198.33</v>
          </cell>
          <cell r="P1150" t="str">
            <v>10.117.198.33</v>
          </cell>
          <cell r="Q1150" t="str">
            <v>/27</v>
          </cell>
          <cell r="R1150">
            <v>823</v>
          </cell>
        </row>
        <row r="1151">
          <cell r="E1151" t="str">
            <v>AC171</v>
          </cell>
          <cell r="G1151" t="str">
            <v>10.117.192.34</v>
          </cell>
          <cell r="H1151" t="str">
            <v>10.117.192.33</v>
          </cell>
          <cell r="I1151" t="str">
            <v>/27</v>
          </cell>
          <cell r="J1151">
            <v>803</v>
          </cell>
          <cell r="K1151" t="str">
            <v>10.117.195.34</v>
          </cell>
          <cell r="L1151" t="str">
            <v>10.117.195.33</v>
          </cell>
          <cell r="M1151" t="str">
            <v>/27</v>
          </cell>
          <cell r="N1151">
            <v>813</v>
          </cell>
          <cell r="O1151" t="str">
            <v>10.117.198.34</v>
          </cell>
          <cell r="P1151" t="str">
            <v>10.117.198.33</v>
          </cell>
          <cell r="Q1151" t="str">
            <v>/27</v>
          </cell>
          <cell r="R1151">
            <v>823</v>
          </cell>
        </row>
        <row r="1152">
          <cell r="E1152" t="str">
            <v>AC171</v>
          </cell>
          <cell r="G1152" t="str">
            <v>10.117.192.35</v>
          </cell>
          <cell r="H1152" t="str">
            <v>10.117.192.33</v>
          </cell>
          <cell r="I1152" t="str">
            <v>/27</v>
          </cell>
          <cell r="J1152">
            <v>803</v>
          </cell>
          <cell r="K1152" t="str">
            <v>10.117.195.35</v>
          </cell>
          <cell r="L1152" t="str">
            <v>10.117.195.33</v>
          </cell>
          <cell r="M1152" t="str">
            <v>/27</v>
          </cell>
          <cell r="N1152">
            <v>813</v>
          </cell>
          <cell r="O1152" t="str">
            <v>10.117.198.35</v>
          </cell>
          <cell r="P1152" t="str">
            <v>10.117.198.33</v>
          </cell>
          <cell r="Q1152" t="str">
            <v>/27</v>
          </cell>
          <cell r="R1152">
            <v>823</v>
          </cell>
        </row>
        <row r="1153">
          <cell r="E1153" t="str">
            <v>AC171</v>
          </cell>
          <cell r="F1153" t="str">
            <v>AC561</v>
          </cell>
          <cell r="G1153" t="str">
            <v>10.117.192.36</v>
          </cell>
          <cell r="H1153" t="str">
            <v>10.117.192.33</v>
          </cell>
          <cell r="I1153" t="str">
            <v>/27</v>
          </cell>
          <cell r="J1153">
            <v>803</v>
          </cell>
          <cell r="K1153" t="str">
            <v>10.117.195.36</v>
          </cell>
          <cell r="L1153" t="str">
            <v>10.117.195.33</v>
          </cell>
          <cell r="M1153" t="str">
            <v>/27</v>
          </cell>
          <cell r="N1153">
            <v>813</v>
          </cell>
          <cell r="O1153" t="str">
            <v>10.117.198.36</v>
          </cell>
          <cell r="P1153" t="str">
            <v>10.117.198.33</v>
          </cell>
          <cell r="Q1153" t="str">
            <v>/27</v>
          </cell>
          <cell r="R1153">
            <v>823</v>
          </cell>
        </row>
        <row r="1154">
          <cell r="E1154" t="str">
            <v>AC171</v>
          </cell>
          <cell r="F1154" t="str">
            <v>AC561</v>
          </cell>
          <cell r="G1154" t="str">
            <v>10.117.192.37</v>
          </cell>
          <cell r="H1154" t="str">
            <v>10.117.192.33</v>
          </cell>
          <cell r="I1154" t="str">
            <v>/27</v>
          </cell>
          <cell r="J1154">
            <v>803</v>
          </cell>
          <cell r="K1154" t="str">
            <v>10.117.195.37</v>
          </cell>
          <cell r="L1154" t="str">
            <v>10.117.195.33</v>
          </cell>
          <cell r="M1154" t="str">
            <v>/27</v>
          </cell>
          <cell r="N1154">
            <v>813</v>
          </cell>
          <cell r="O1154" t="str">
            <v>10.117.198.37</v>
          </cell>
          <cell r="P1154" t="str">
            <v>10.117.198.33</v>
          </cell>
          <cell r="Q1154" t="str">
            <v>/27</v>
          </cell>
          <cell r="R1154">
            <v>823</v>
          </cell>
        </row>
        <row r="1155">
          <cell r="E1155" t="str">
            <v>AC171</v>
          </cell>
          <cell r="F1155" t="str">
            <v>AC749</v>
          </cell>
          <cell r="G1155" t="str">
            <v>10.117.192.38</v>
          </cell>
          <cell r="H1155" t="str">
            <v>10.117.192.33</v>
          </cell>
          <cell r="I1155" t="str">
            <v>/27</v>
          </cell>
          <cell r="J1155">
            <v>803</v>
          </cell>
          <cell r="K1155" t="str">
            <v>10.117.195.38</v>
          </cell>
          <cell r="L1155" t="str">
            <v>10.117.195.33</v>
          </cell>
          <cell r="M1155" t="str">
            <v>/27</v>
          </cell>
          <cell r="N1155">
            <v>813</v>
          </cell>
          <cell r="O1155" t="str">
            <v>10.117.198.38</v>
          </cell>
          <cell r="P1155" t="str">
            <v>10.117.198.33</v>
          </cell>
          <cell r="Q1155" t="str">
            <v>/27</v>
          </cell>
          <cell r="R1155">
            <v>823</v>
          </cell>
        </row>
        <row r="1156">
          <cell r="E1156" t="str">
            <v>AC171</v>
          </cell>
          <cell r="F1156" t="str">
            <v>ET641</v>
          </cell>
          <cell r="G1156" t="str">
            <v>10.117.192.39</v>
          </cell>
          <cell r="H1156" t="str">
            <v>10.117.192.33</v>
          </cell>
          <cell r="I1156" t="str">
            <v>/27</v>
          </cell>
          <cell r="J1156">
            <v>803</v>
          </cell>
          <cell r="K1156" t="str">
            <v>10.117.195.39</v>
          </cell>
          <cell r="L1156" t="str">
            <v>10.117.195.33</v>
          </cell>
          <cell r="M1156" t="str">
            <v>/27</v>
          </cell>
          <cell r="N1156">
            <v>813</v>
          </cell>
          <cell r="O1156" t="str">
            <v>10.117.198.39</v>
          </cell>
          <cell r="P1156" t="str">
            <v>10.117.198.33</v>
          </cell>
          <cell r="Q1156" t="str">
            <v>/27</v>
          </cell>
          <cell r="R1156">
            <v>823</v>
          </cell>
        </row>
        <row r="1157">
          <cell r="E1157" t="str">
            <v>AC171</v>
          </cell>
          <cell r="F1157" t="str">
            <v>ET448</v>
          </cell>
          <cell r="G1157" t="str">
            <v>10.117.192.40</v>
          </cell>
          <cell r="H1157" t="str">
            <v>10.117.192.33</v>
          </cell>
          <cell r="I1157" t="str">
            <v>/27</v>
          </cell>
          <cell r="J1157">
            <v>803</v>
          </cell>
          <cell r="K1157" t="str">
            <v>10.117.195.40</v>
          </cell>
          <cell r="L1157" t="str">
            <v>10.117.195.33</v>
          </cell>
          <cell r="M1157" t="str">
            <v>/27</v>
          </cell>
          <cell r="N1157">
            <v>813</v>
          </cell>
          <cell r="O1157" t="str">
            <v>10.117.198.40</v>
          </cell>
          <cell r="P1157" t="str">
            <v>10.117.198.33</v>
          </cell>
          <cell r="Q1157" t="str">
            <v>/27</v>
          </cell>
          <cell r="R1157">
            <v>823</v>
          </cell>
        </row>
        <row r="1158">
          <cell r="E1158" t="str">
            <v>AC171</v>
          </cell>
          <cell r="F1158" t="str">
            <v>ET448</v>
          </cell>
          <cell r="G1158" t="str">
            <v>10.117.192.41</v>
          </cell>
          <cell r="H1158" t="str">
            <v>10.117.192.33</v>
          </cell>
          <cell r="I1158" t="str">
            <v>/27</v>
          </cell>
          <cell r="J1158">
            <v>803</v>
          </cell>
          <cell r="K1158" t="str">
            <v>10.117.195.41</v>
          </cell>
          <cell r="L1158" t="str">
            <v>10.117.195.33</v>
          </cell>
          <cell r="M1158" t="str">
            <v>/27</v>
          </cell>
          <cell r="N1158">
            <v>813</v>
          </cell>
          <cell r="O1158" t="str">
            <v>10.117.198.41</v>
          </cell>
          <cell r="P1158" t="str">
            <v>10.117.198.33</v>
          </cell>
          <cell r="Q1158" t="str">
            <v>/27</v>
          </cell>
          <cell r="R1158">
            <v>823</v>
          </cell>
        </row>
        <row r="1159">
          <cell r="E1159" t="str">
            <v>AC171</v>
          </cell>
          <cell r="F1159" t="str">
            <v>AC426</v>
          </cell>
          <cell r="G1159" t="str">
            <v>10.117.192.42</v>
          </cell>
          <cell r="H1159" t="str">
            <v>10.117.192.33</v>
          </cell>
          <cell r="I1159" t="str">
            <v>/27</v>
          </cell>
          <cell r="J1159">
            <v>803</v>
          </cell>
          <cell r="K1159" t="str">
            <v>10.117.195.42</v>
          </cell>
          <cell r="L1159" t="str">
            <v>10.117.195.33</v>
          </cell>
          <cell r="M1159" t="str">
            <v>/27</v>
          </cell>
          <cell r="N1159">
            <v>813</v>
          </cell>
          <cell r="O1159" t="str">
            <v>10.117.198.42</v>
          </cell>
          <cell r="P1159" t="str">
            <v>10.117.198.33</v>
          </cell>
          <cell r="Q1159" t="str">
            <v>/27</v>
          </cell>
          <cell r="R1159">
            <v>823</v>
          </cell>
        </row>
        <row r="1160">
          <cell r="E1160" t="str">
            <v>AC171</v>
          </cell>
          <cell r="G1160" t="str">
            <v>10.117.192.43</v>
          </cell>
          <cell r="H1160" t="str">
            <v>10.117.192.33</v>
          </cell>
          <cell r="I1160" t="str">
            <v>/27</v>
          </cell>
          <cell r="J1160">
            <v>803</v>
          </cell>
          <cell r="K1160" t="str">
            <v>10.117.195.43</v>
          </cell>
          <cell r="L1160" t="str">
            <v>10.117.195.33</v>
          </cell>
          <cell r="M1160" t="str">
            <v>/27</v>
          </cell>
          <cell r="N1160">
            <v>813</v>
          </cell>
          <cell r="O1160" t="str">
            <v>10.117.198.43</v>
          </cell>
          <cell r="P1160" t="str">
            <v>10.117.198.33</v>
          </cell>
          <cell r="Q1160" t="str">
            <v>/27</v>
          </cell>
          <cell r="R1160">
            <v>823</v>
          </cell>
        </row>
        <row r="1161">
          <cell r="E1161" t="str">
            <v>AC171</v>
          </cell>
          <cell r="G1161" t="str">
            <v>10.117.192.44</v>
          </cell>
          <cell r="H1161" t="str">
            <v>10.117.192.33</v>
          </cell>
          <cell r="I1161" t="str">
            <v>/27</v>
          </cell>
          <cell r="J1161">
            <v>803</v>
          </cell>
          <cell r="K1161" t="str">
            <v>10.117.195.44</v>
          </cell>
          <cell r="L1161" t="str">
            <v>10.117.195.33</v>
          </cell>
          <cell r="M1161" t="str">
            <v>/27</v>
          </cell>
          <cell r="N1161">
            <v>813</v>
          </cell>
          <cell r="O1161" t="str">
            <v>10.117.198.44</v>
          </cell>
          <cell r="P1161" t="str">
            <v>10.117.198.33</v>
          </cell>
          <cell r="Q1161" t="str">
            <v>/27</v>
          </cell>
          <cell r="R1161">
            <v>823</v>
          </cell>
        </row>
        <row r="1162">
          <cell r="E1162" t="str">
            <v>AC171</v>
          </cell>
          <cell r="G1162" t="str">
            <v>10.117.192.45</v>
          </cell>
          <cell r="H1162" t="str">
            <v>10.117.192.33</v>
          </cell>
          <cell r="I1162" t="str">
            <v>/27</v>
          </cell>
          <cell r="J1162">
            <v>803</v>
          </cell>
          <cell r="K1162" t="str">
            <v>10.117.195.45</v>
          </cell>
          <cell r="L1162" t="str">
            <v>10.117.195.33</v>
          </cell>
          <cell r="M1162" t="str">
            <v>/27</v>
          </cell>
          <cell r="N1162">
            <v>813</v>
          </cell>
          <cell r="O1162" t="str">
            <v>10.117.198.45</v>
          </cell>
          <cell r="P1162" t="str">
            <v>10.117.198.33</v>
          </cell>
          <cell r="Q1162" t="str">
            <v>/27</v>
          </cell>
          <cell r="R1162">
            <v>823</v>
          </cell>
        </row>
        <row r="1163">
          <cell r="E1163" t="str">
            <v>AC171</v>
          </cell>
          <cell r="G1163" t="str">
            <v>10.117.192.46</v>
          </cell>
          <cell r="H1163" t="str">
            <v>10.117.192.33</v>
          </cell>
          <cell r="I1163" t="str">
            <v>/27</v>
          </cell>
          <cell r="J1163">
            <v>803</v>
          </cell>
          <cell r="K1163" t="str">
            <v>10.117.195.46</v>
          </cell>
          <cell r="L1163" t="str">
            <v>10.117.195.33</v>
          </cell>
          <cell r="M1163" t="str">
            <v>/27</v>
          </cell>
          <cell r="N1163">
            <v>813</v>
          </cell>
          <cell r="O1163" t="str">
            <v>10.117.198.46</v>
          </cell>
          <cell r="P1163" t="str">
            <v>10.117.198.33</v>
          </cell>
          <cell r="Q1163" t="str">
            <v>/27</v>
          </cell>
          <cell r="R1163">
            <v>823</v>
          </cell>
        </row>
        <row r="1164">
          <cell r="E1164" t="str">
            <v>AC171</v>
          </cell>
          <cell r="F1164" t="str">
            <v>ET336</v>
          </cell>
          <cell r="G1164" t="str">
            <v>10.117.192.47</v>
          </cell>
          <cell r="H1164" t="str">
            <v>10.117.192.33</v>
          </cell>
          <cell r="I1164" t="str">
            <v>/27</v>
          </cell>
          <cell r="J1164">
            <v>803</v>
          </cell>
          <cell r="K1164" t="str">
            <v>10.117.195.47</v>
          </cell>
          <cell r="L1164" t="str">
            <v>10.117.195.33</v>
          </cell>
          <cell r="M1164" t="str">
            <v>/27</v>
          </cell>
          <cell r="N1164">
            <v>813</v>
          </cell>
          <cell r="O1164" t="str">
            <v>10.117.198.47</v>
          </cell>
          <cell r="P1164" t="str">
            <v>10.117.198.33</v>
          </cell>
          <cell r="Q1164" t="str">
            <v>/27</v>
          </cell>
          <cell r="R1164">
            <v>823</v>
          </cell>
        </row>
        <row r="1165">
          <cell r="E1165" t="str">
            <v>AC171</v>
          </cell>
          <cell r="G1165" t="str">
            <v>10.117.192.48</v>
          </cell>
          <cell r="H1165" t="str">
            <v>10.117.192.33</v>
          </cell>
          <cell r="I1165" t="str">
            <v>/27</v>
          </cell>
          <cell r="J1165">
            <v>803</v>
          </cell>
          <cell r="K1165" t="str">
            <v>10.117.195.48</v>
          </cell>
          <cell r="L1165" t="str">
            <v>10.117.195.33</v>
          </cell>
          <cell r="M1165" t="str">
            <v>/27</v>
          </cell>
          <cell r="N1165">
            <v>813</v>
          </cell>
          <cell r="O1165" t="str">
            <v>10.117.198.48</v>
          </cell>
          <cell r="P1165" t="str">
            <v>10.117.198.33</v>
          </cell>
          <cell r="Q1165" t="str">
            <v>/27</v>
          </cell>
          <cell r="R1165">
            <v>823</v>
          </cell>
        </row>
        <row r="1166">
          <cell r="E1166" t="str">
            <v>AC171</v>
          </cell>
          <cell r="G1166" t="str">
            <v>10.117.192.49</v>
          </cell>
          <cell r="H1166" t="str">
            <v>10.117.192.33</v>
          </cell>
          <cell r="I1166" t="str">
            <v>/27</v>
          </cell>
          <cell r="J1166">
            <v>803</v>
          </cell>
          <cell r="K1166" t="str">
            <v>10.117.195.49</v>
          </cell>
          <cell r="L1166" t="str">
            <v>10.117.195.33</v>
          </cell>
          <cell r="M1166" t="str">
            <v>/27</v>
          </cell>
          <cell r="N1166">
            <v>813</v>
          </cell>
          <cell r="O1166" t="str">
            <v>10.117.198.49</v>
          </cell>
          <cell r="P1166" t="str">
            <v>10.117.198.33</v>
          </cell>
          <cell r="Q1166" t="str">
            <v>/27</v>
          </cell>
          <cell r="R1166">
            <v>823</v>
          </cell>
        </row>
        <row r="1167">
          <cell r="E1167" t="str">
            <v>AC171</v>
          </cell>
          <cell r="F1167" t="str">
            <v>ET108</v>
          </cell>
          <cell r="G1167" t="str">
            <v>10.117.192.50</v>
          </cell>
          <cell r="H1167" t="str">
            <v>10.117.192.33</v>
          </cell>
          <cell r="I1167" t="str">
            <v>/27</v>
          </cell>
          <cell r="J1167">
            <v>803</v>
          </cell>
          <cell r="K1167" t="str">
            <v>10.117.195.50</v>
          </cell>
          <cell r="L1167" t="str">
            <v>10.117.195.33</v>
          </cell>
          <cell r="M1167" t="str">
            <v>/27</v>
          </cell>
          <cell r="N1167">
            <v>813</v>
          </cell>
          <cell r="O1167" t="str">
            <v>10.117.198.50</v>
          </cell>
          <cell r="P1167" t="str">
            <v>10.117.198.33</v>
          </cell>
          <cell r="Q1167" t="str">
            <v>/27</v>
          </cell>
          <cell r="R1167">
            <v>823</v>
          </cell>
        </row>
        <row r="1168">
          <cell r="E1168" t="str">
            <v>AC171</v>
          </cell>
          <cell r="F1168" t="str">
            <v>ET641</v>
          </cell>
          <cell r="G1168" t="str">
            <v>10.117.192.51</v>
          </cell>
          <cell r="H1168" t="str">
            <v>10.117.192.33</v>
          </cell>
          <cell r="I1168" t="str">
            <v>/27</v>
          </cell>
          <cell r="J1168">
            <v>803</v>
          </cell>
          <cell r="K1168" t="str">
            <v>10.117.195.51</v>
          </cell>
          <cell r="L1168" t="str">
            <v>10.117.195.33</v>
          </cell>
          <cell r="M1168" t="str">
            <v>/27</v>
          </cell>
          <cell r="N1168">
            <v>813</v>
          </cell>
          <cell r="O1168" t="str">
            <v>10.117.198.51</v>
          </cell>
          <cell r="P1168" t="str">
            <v>10.117.198.33</v>
          </cell>
          <cell r="Q1168" t="str">
            <v>/27</v>
          </cell>
          <cell r="R1168">
            <v>823</v>
          </cell>
        </row>
        <row r="1169">
          <cell r="E1169" t="str">
            <v>AC171</v>
          </cell>
          <cell r="G1169" t="str">
            <v>10.117.192.52</v>
          </cell>
          <cell r="H1169" t="str">
            <v>10.117.192.33</v>
          </cell>
          <cell r="I1169" t="str">
            <v>/27</v>
          </cell>
          <cell r="J1169">
            <v>803</v>
          </cell>
          <cell r="K1169" t="str">
            <v>10.117.195.52</v>
          </cell>
          <cell r="L1169" t="str">
            <v>10.117.195.33</v>
          </cell>
          <cell r="M1169" t="str">
            <v>/27</v>
          </cell>
          <cell r="N1169">
            <v>813</v>
          </cell>
          <cell r="O1169" t="str">
            <v>10.117.198.52</v>
          </cell>
          <cell r="P1169" t="str">
            <v>10.117.198.33</v>
          </cell>
          <cell r="Q1169" t="str">
            <v>/27</v>
          </cell>
          <cell r="R1169">
            <v>823</v>
          </cell>
        </row>
        <row r="1170">
          <cell r="E1170" t="str">
            <v>AC171</v>
          </cell>
          <cell r="F1170" t="str">
            <v>AC528</v>
          </cell>
          <cell r="G1170" t="str">
            <v>10.117.192.53</v>
          </cell>
          <cell r="H1170" t="str">
            <v>10.117.192.33</v>
          </cell>
          <cell r="I1170" t="str">
            <v>/27</v>
          </cell>
          <cell r="J1170">
            <v>803</v>
          </cell>
          <cell r="K1170" t="str">
            <v>10.117.195.53</v>
          </cell>
          <cell r="L1170" t="str">
            <v>10.117.195.33</v>
          </cell>
          <cell r="M1170" t="str">
            <v>/27</v>
          </cell>
          <cell r="N1170">
            <v>813</v>
          </cell>
          <cell r="O1170" t="str">
            <v>10.117.198.53</v>
          </cell>
          <cell r="P1170" t="str">
            <v>10.117.198.33</v>
          </cell>
          <cell r="Q1170" t="str">
            <v>/27</v>
          </cell>
          <cell r="R1170">
            <v>823</v>
          </cell>
        </row>
        <row r="1171">
          <cell r="E1171" t="str">
            <v>AC171</v>
          </cell>
          <cell r="F1171" t="str">
            <v>ET216</v>
          </cell>
          <cell r="G1171" t="str">
            <v>10.117.192.54</v>
          </cell>
          <cell r="H1171" t="str">
            <v>10.117.192.33</v>
          </cell>
          <cell r="I1171" t="str">
            <v>/27</v>
          </cell>
          <cell r="J1171">
            <v>803</v>
          </cell>
          <cell r="K1171" t="str">
            <v>10.117.195.54</v>
          </cell>
          <cell r="L1171" t="str">
            <v>10.117.195.33</v>
          </cell>
          <cell r="M1171" t="str">
            <v>/27</v>
          </cell>
          <cell r="N1171">
            <v>813</v>
          </cell>
          <cell r="O1171" t="str">
            <v>10.117.198.54</v>
          </cell>
          <cell r="P1171" t="str">
            <v>10.117.198.33</v>
          </cell>
          <cell r="Q1171" t="str">
            <v>/27</v>
          </cell>
          <cell r="R1171">
            <v>823</v>
          </cell>
        </row>
        <row r="1172">
          <cell r="E1172" t="str">
            <v>AC171</v>
          </cell>
          <cell r="G1172" t="str">
            <v>10.117.192.55</v>
          </cell>
          <cell r="H1172" t="str">
            <v>10.117.192.33</v>
          </cell>
          <cell r="I1172" t="str">
            <v>/27</v>
          </cell>
          <cell r="J1172">
            <v>803</v>
          </cell>
          <cell r="K1172" t="str">
            <v>10.117.195.55</v>
          </cell>
          <cell r="L1172" t="str">
            <v>10.117.195.33</v>
          </cell>
          <cell r="M1172" t="str">
            <v>/27</v>
          </cell>
          <cell r="N1172">
            <v>813</v>
          </cell>
          <cell r="O1172" t="str">
            <v>10.117.198.55</v>
          </cell>
          <cell r="P1172" t="str">
            <v>10.117.198.33</v>
          </cell>
          <cell r="Q1172" t="str">
            <v>/27</v>
          </cell>
          <cell r="R1172">
            <v>823</v>
          </cell>
        </row>
        <row r="1173">
          <cell r="E1173" t="str">
            <v>AC171</v>
          </cell>
          <cell r="G1173" t="str">
            <v>10.117.192.56</v>
          </cell>
          <cell r="H1173" t="str">
            <v>10.117.192.33</v>
          </cell>
          <cell r="I1173" t="str">
            <v>/27</v>
          </cell>
          <cell r="J1173">
            <v>803</v>
          </cell>
          <cell r="K1173" t="str">
            <v>10.117.195.56</v>
          </cell>
          <cell r="L1173" t="str">
            <v>10.117.195.33</v>
          </cell>
          <cell r="M1173" t="str">
            <v>/27</v>
          </cell>
          <cell r="N1173">
            <v>813</v>
          </cell>
          <cell r="O1173" t="str">
            <v>10.117.198.56</v>
          </cell>
          <cell r="P1173" t="str">
            <v>10.117.198.33</v>
          </cell>
          <cell r="Q1173" t="str">
            <v>/27</v>
          </cell>
          <cell r="R1173">
            <v>823</v>
          </cell>
        </row>
        <row r="1174">
          <cell r="E1174" t="str">
            <v>AC171</v>
          </cell>
          <cell r="F1174" t="str">
            <v>ET548</v>
          </cell>
          <cell r="G1174" t="str">
            <v>10.117.192.57</v>
          </cell>
          <cell r="H1174" t="str">
            <v>10.117.192.33</v>
          </cell>
          <cell r="I1174" t="str">
            <v>/27</v>
          </cell>
          <cell r="J1174">
            <v>803</v>
          </cell>
          <cell r="K1174" t="str">
            <v>10.117.195.57</v>
          </cell>
          <cell r="L1174" t="str">
            <v>10.117.195.33</v>
          </cell>
          <cell r="M1174" t="str">
            <v>/27</v>
          </cell>
          <cell r="N1174">
            <v>813</v>
          </cell>
          <cell r="O1174" t="str">
            <v>10.117.198.57</v>
          </cell>
          <cell r="P1174" t="str">
            <v>10.117.198.33</v>
          </cell>
          <cell r="Q1174" t="str">
            <v>/27</v>
          </cell>
          <cell r="R1174">
            <v>823</v>
          </cell>
        </row>
        <row r="1175">
          <cell r="E1175" t="str">
            <v>AC171</v>
          </cell>
          <cell r="F1175" t="str">
            <v>ET445</v>
          </cell>
          <cell r="G1175" t="str">
            <v>10.117.192.58</v>
          </cell>
          <cell r="H1175" t="str">
            <v>10.117.192.33</v>
          </cell>
          <cell r="I1175" t="str">
            <v>/27</v>
          </cell>
          <cell r="J1175">
            <v>803</v>
          </cell>
          <cell r="K1175" t="str">
            <v>10.117.195.58</v>
          </cell>
          <cell r="L1175" t="str">
            <v>10.117.195.33</v>
          </cell>
          <cell r="M1175" t="str">
            <v>/27</v>
          </cell>
          <cell r="N1175">
            <v>813</v>
          </cell>
          <cell r="O1175" t="str">
            <v>10.117.198.58</v>
          </cell>
          <cell r="P1175" t="str">
            <v>10.117.198.33</v>
          </cell>
          <cell r="Q1175" t="str">
            <v>/27</v>
          </cell>
          <cell r="R1175">
            <v>823</v>
          </cell>
        </row>
        <row r="1176">
          <cell r="E1176" t="str">
            <v>AC171</v>
          </cell>
          <cell r="G1176" t="str">
            <v>10.117.192.59</v>
          </cell>
          <cell r="H1176" t="str">
            <v>10.117.192.33</v>
          </cell>
          <cell r="I1176" t="str">
            <v>/27</v>
          </cell>
          <cell r="J1176">
            <v>803</v>
          </cell>
          <cell r="K1176" t="str">
            <v>10.117.195.59</v>
          </cell>
          <cell r="L1176" t="str">
            <v>10.117.195.33</v>
          </cell>
          <cell r="M1176" t="str">
            <v>/27</v>
          </cell>
          <cell r="N1176">
            <v>813</v>
          </cell>
          <cell r="O1176" t="str">
            <v>10.117.198.59</v>
          </cell>
          <cell r="P1176" t="str">
            <v>10.117.198.33</v>
          </cell>
          <cell r="Q1176" t="str">
            <v>/27</v>
          </cell>
          <cell r="R1176">
            <v>823</v>
          </cell>
        </row>
        <row r="1177">
          <cell r="E1177" t="str">
            <v>AC171</v>
          </cell>
          <cell r="F1177" t="str">
            <v>AC172</v>
          </cell>
          <cell r="G1177" t="str">
            <v>10.117.192.60</v>
          </cell>
          <cell r="H1177" t="str">
            <v>10.117.192.33</v>
          </cell>
          <cell r="I1177" t="str">
            <v>/27</v>
          </cell>
          <cell r="J1177">
            <v>803</v>
          </cell>
          <cell r="K1177" t="str">
            <v>10.117.195.60</v>
          </cell>
          <cell r="L1177" t="str">
            <v>10.117.195.33</v>
          </cell>
          <cell r="M1177" t="str">
            <v>/27</v>
          </cell>
          <cell r="N1177">
            <v>813</v>
          </cell>
          <cell r="O1177" t="str">
            <v>10.117.198.60</v>
          </cell>
          <cell r="P1177" t="str">
            <v>10.117.198.33</v>
          </cell>
          <cell r="Q1177" t="str">
            <v>/27</v>
          </cell>
          <cell r="R1177">
            <v>823</v>
          </cell>
        </row>
        <row r="1178">
          <cell r="E1178" t="str">
            <v>AC171</v>
          </cell>
          <cell r="F1178" t="str">
            <v>AC172</v>
          </cell>
          <cell r="G1178" t="str">
            <v>10.117.192.61</v>
          </cell>
          <cell r="H1178" t="str">
            <v>10.117.192.33</v>
          </cell>
          <cell r="I1178" t="str">
            <v>/27</v>
          </cell>
          <cell r="J1178">
            <v>803</v>
          </cell>
          <cell r="K1178" t="str">
            <v>10.117.195.61</v>
          </cell>
          <cell r="L1178" t="str">
            <v>10.117.195.33</v>
          </cell>
          <cell r="M1178" t="str">
            <v>/27</v>
          </cell>
          <cell r="N1178">
            <v>813</v>
          </cell>
          <cell r="O1178" t="str">
            <v>10.117.198.61</v>
          </cell>
          <cell r="P1178" t="str">
            <v>10.117.198.33</v>
          </cell>
          <cell r="Q1178" t="str">
            <v>/27</v>
          </cell>
          <cell r="R1178">
            <v>823</v>
          </cell>
        </row>
        <row r="1179">
          <cell r="E1179" t="str">
            <v>AC171</v>
          </cell>
          <cell r="F1179" t="str">
            <v>ET337</v>
          </cell>
          <cell r="G1179" t="str">
            <v>10.117.192.62</v>
          </cell>
          <cell r="H1179" t="str">
            <v>10.117.192.33</v>
          </cell>
          <cell r="I1179" t="str">
            <v>/27</v>
          </cell>
          <cell r="J1179">
            <v>803</v>
          </cell>
          <cell r="K1179" t="str">
            <v>10.117.195.62</v>
          </cell>
          <cell r="L1179" t="str">
            <v>10.117.195.33</v>
          </cell>
          <cell r="M1179" t="str">
            <v>/27</v>
          </cell>
          <cell r="N1179">
            <v>813</v>
          </cell>
          <cell r="O1179" t="str">
            <v>10.117.198.62</v>
          </cell>
          <cell r="P1179" t="str">
            <v>10.117.198.33</v>
          </cell>
          <cell r="Q1179" t="str">
            <v>/27</v>
          </cell>
          <cell r="R1179">
            <v>823</v>
          </cell>
        </row>
        <row r="1180">
          <cell r="E1180" t="str">
            <v>AC171</v>
          </cell>
          <cell r="G1180" t="str">
            <v>10.117.192.63</v>
          </cell>
          <cell r="H1180" t="str">
            <v>10.117.192.33</v>
          </cell>
          <cell r="I1180" t="str">
            <v>/27</v>
          </cell>
          <cell r="J1180">
            <v>803</v>
          </cell>
          <cell r="K1180" t="str">
            <v>10.117.195.63</v>
          </cell>
          <cell r="L1180" t="str">
            <v>10.117.195.33</v>
          </cell>
          <cell r="M1180" t="str">
            <v>/27</v>
          </cell>
          <cell r="N1180">
            <v>813</v>
          </cell>
          <cell r="O1180" t="str">
            <v>10.117.198.63</v>
          </cell>
          <cell r="P1180" t="str">
            <v>10.117.198.33</v>
          </cell>
          <cell r="Q1180" t="str">
            <v>/27</v>
          </cell>
          <cell r="R1180">
            <v>823</v>
          </cell>
        </row>
        <row r="1181">
          <cell r="E1181" t="str">
            <v>AC171</v>
          </cell>
          <cell r="G1181" t="str">
            <v>10.117.194.32</v>
          </cell>
          <cell r="H1181" t="str">
            <v>10.117.194.33</v>
          </cell>
          <cell r="I1181" t="str">
            <v>/27</v>
          </cell>
          <cell r="J1181">
            <v>804</v>
          </cell>
          <cell r="K1181" t="str">
            <v>10.117.197.32</v>
          </cell>
          <cell r="L1181" t="str">
            <v>10.117.197.33</v>
          </cell>
          <cell r="M1181" t="str">
            <v>/27</v>
          </cell>
          <cell r="N1181">
            <v>814</v>
          </cell>
          <cell r="O1181" t="str">
            <v>10.117.200.32</v>
          </cell>
          <cell r="P1181" t="str">
            <v>10.117.200.33</v>
          </cell>
          <cell r="Q1181" t="str">
            <v>/27</v>
          </cell>
          <cell r="R1181">
            <v>824</v>
          </cell>
        </row>
        <row r="1182">
          <cell r="E1182" t="str">
            <v>AC171</v>
          </cell>
          <cell r="G1182" t="str">
            <v>10.117.194.33</v>
          </cell>
          <cell r="H1182" t="str">
            <v>10.117.194.33</v>
          </cell>
          <cell r="I1182" t="str">
            <v>/27</v>
          </cell>
          <cell r="J1182">
            <v>804</v>
          </cell>
          <cell r="K1182" t="str">
            <v>10.117.197.33</v>
          </cell>
          <cell r="L1182" t="str">
            <v>10.117.197.33</v>
          </cell>
          <cell r="M1182" t="str">
            <v>/27</v>
          </cell>
          <cell r="N1182">
            <v>814</v>
          </cell>
          <cell r="O1182" t="str">
            <v>10.117.200.33</v>
          </cell>
          <cell r="P1182" t="str">
            <v>10.117.200.33</v>
          </cell>
          <cell r="Q1182" t="str">
            <v>/27</v>
          </cell>
          <cell r="R1182">
            <v>824</v>
          </cell>
        </row>
        <row r="1183">
          <cell r="E1183" t="str">
            <v>AC171</v>
          </cell>
          <cell r="G1183" t="str">
            <v>10.117.194.34</v>
          </cell>
          <cell r="H1183" t="str">
            <v>10.117.194.33</v>
          </cell>
          <cell r="I1183" t="str">
            <v>/27</v>
          </cell>
          <cell r="J1183">
            <v>804</v>
          </cell>
          <cell r="K1183" t="str">
            <v>10.117.197.34</v>
          </cell>
          <cell r="L1183" t="str">
            <v>10.117.197.33</v>
          </cell>
          <cell r="M1183" t="str">
            <v>/27</v>
          </cell>
          <cell r="N1183">
            <v>814</v>
          </cell>
          <cell r="O1183" t="str">
            <v>10.117.200.34</v>
          </cell>
          <cell r="P1183" t="str">
            <v>10.117.200.33</v>
          </cell>
          <cell r="Q1183" t="str">
            <v>/27</v>
          </cell>
          <cell r="R1183">
            <v>824</v>
          </cell>
        </row>
        <row r="1184">
          <cell r="E1184" t="str">
            <v>AC171</v>
          </cell>
          <cell r="G1184" t="str">
            <v>10.117.194.35</v>
          </cell>
          <cell r="H1184" t="str">
            <v>10.117.194.33</v>
          </cell>
          <cell r="I1184" t="str">
            <v>/27</v>
          </cell>
          <cell r="J1184">
            <v>804</v>
          </cell>
          <cell r="K1184" t="str">
            <v>10.117.197.35</v>
          </cell>
          <cell r="L1184" t="str">
            <v>10.117.197.33</v>
          </cell>
          <cell r="M1184" t="str">
            <v>/27</v>
          </cell>
          <cell r="N1184">
            <v>814</v>
          </cell>
          <cell r="O1184" t="str">
            <v>10.117.200.35</v>
          </cell>
          <cell r="P1184" t="str">
            <v>10.117.200.33</v>
          </cell>
          <cell r="Q1184" t="str">
            <v>/27</v>
          </cell>
          <cell r="R1184">
            <v>824</v>
          </cell>
        </row>
        <row r="1185">
          <cell r="E1185" t="str">
            <v>AC171</v>
          </cell>
          <cell r="F1185" t="str">
            <v>AC542</v>
          </cell>
          <cell r="G1185" t="str">
            <v>10.117.194.36</v>
          </cell>
          <cell r="H1185" t="str">
            <v>10.117.194.33</v>
          </cell>
          <cell r="I1185" t="str">
            <v>/27</v>
          </cell>
          <cell r="J1185">
            <v>804</v>
          </cell>
          <cell r="K1185" t="str">
            <v>10.117.197.36</v>
          </cell>
          <cell r="L1185" t="str">
            <v>10.117.197.33</v>
          </cell>
          <cell r="M1185" t="str">
            <v>/27</v>
          </cell>
          <cell r="N1185">
            <v>814</v>
          </cell>
          <cell r="O1185" t="str">
            <v>10.117.200.36</v>
          </cell>
          <cell r="P1185" t="str">
            <v>10.117.200.33</v>
          </cell>
          <cell r="Q1185" t="str">
            <v>/27</v>
          </cell>
          <cell r="R1185">
            <v>824</v>
          </cell>
        </row>
        <row r="1186">
          <cell r="E1186" t="str">
            <v>AC171</v>
          </cell>
          <cell r="G1186" t="str">
            <v>10.117.194.37</v>
          </cell>
          <cell r="H1186" t="str">
            <v>10.117.194.33</v>
          </cell>
          <cell r="I1186" t="str">
            <v>/27</v>
          </cell>
          <cell r="J1186">
            <v>804</v>
          </cell>
          <cell r="K1186" t="str">
            <v>10.117.197.37</v>
          </cell>
          <cell r="L1186" t="str">
            <v>10.117.197.33</v>
          </cell>
          <cell r="M1186" t="str">
            <v>/27</v>
          </cell>
          <cell r="N1186">
            <v>814</v>
          </cell>
          <cell r="O1186" t="str">
            <v>10.117.200.37</v>
          </cell>
          <cell r="P1186" t="str">
            <v>10.117.200.33</v>
          </cell>
          <cell r="Q1186" t="str">
            <v>/27</v>
          </cell>
          <cell r="R1186">
            <v>824</v>
          </cell>
        </row>
        <row r="1187">
          <cell r="E1187" t="str">
            <v>AC171</v>
          </cell>
          <cell r="F1187" t="str">
            <v>ET280</v>
          </cell>
          <cell r="G1187" t="str">
            <v>10.117.194.38</v>
          </cell>
          <cell r="H1187" t="str">
            <v>10.117.194.33</v>
          </cell>
          <cell r="I1187" t="str">
            <v>/27</v>
          </cell>
          <cell r="J1187">
            <v>804</v>
          </cell>
          <cell r="K1187" t="str">
            <v>10.117.197.38</v>
          </cell>
          <cell r="L1187" t="str">
            <v>10.117.197.33</v>
          </cell>
          <cell r="M1187" t="str">
            <v>/27</v>
          </cell>
          <cell r="N1187">
            <v>814</v>
          </cell>
          <cell r="O1187" t="str">
            <v>10.117.200.38</v>
          </cell>
          <cell r="P1187" t="str">
            <v>10.117.200.33</v>
          </cell>
          <cell r="Q1187" t="str">
            <v>/27</v>
          </cell>
          <cell r="R1187">
            <v>824</v>
          </cell>
        </row>
        <row r="1188">
          <cell r="E1188" t="str">
            <v>AC171</v>
          </cell>
          <cell r="F1188" t="str">
            <v>ET280</v>
          </cell>
          <cell r="G1188" t="str">
            <v>10.117.194.39</v>
          </cell>
          <cell r="H1188" t="str">
            <v>10.117.194.33</v>
          </cell>
          <cell r="I1188" t="str">
            <v>/27</v>
          </cell>
          <cell r="J1188">
            <v>804</v>
          </cell>
          <cell r="K1188" t="str">
            <v>10.117.197.39</v>
          </cell>
          <cell r="L1188" t="str">
            <v>10.117.197.33</v>
          </cell>
          <cell r="M1188" t="str">
            <v>/27</v>
          </cell>
          <cell r="N1188">
            <v>814</v>
          </cell>
          <cell r="O1188" t="str">
            <v>10.117.200.39</v>
          </cell>
          <cell r="P1188" t="str">
            <v>10.117.200.33</v>
          </cell>
          <cell r="Q1188" t="str">
            <v>/27</v>
          </cell>
          <cell r="R1188">
            <v>824</v>
          </cell>
        </row>
        <row r="1189">
          <cell r="E1189" t="str">
            <v>AC171</v>
          </cell>
          <cell r="F1189" t="str">
            <v>AC750</v>
          </cell>
          <cell r="G1189" t="str">
            <v>10.117.194.40</v>
          </cell>
          <cell r="H1189" t="str">
            <v>10.117.194.33</v>
          </cell>
          <cell r="I1189" t="str">
            <v>/27</v>
          </cell>
          <cell r="J1189">
            <v>804</v>
          </cell>
          <cell r="K1189" t="str">
            <v>10.117.197.40</v>
          </cell>
          <cell r="L1189" t="str">
            <v>10.117.197.33</v>
          </cell>
          <cell r="M1189" t="str">
            <v>/27</v>
          </cell>
          <cell r="N1189">
            <v>814</v>
          </cell>
          <cell r="O1189" t="str">
            <v>10.117.200.40</v>
          </cell>
          <cell r="P1189" t="str">
            <v>10.117.200.33</v>
          </cell>
          <cell r="Q1189" t="str">
            <v>/27</v>
          </cell>
          <cell r="R1189">
            <v>824</v>
          </cell>
        </row>
        <row r="1190">
          <cell r="E1190" t="str">
            <v>AC171</v>
          </cell>
          <cell r="F1190" t="str">
            <v>AC750</v>
          </cell>
          <cell r="G1190" t="str">
            <v>10.117.194.41</v>
          </cell>
          <cell r="H1190" t="str">
            <v>10.117.194.33</v>
          </cell>
          <cell r="I1190" t="str">
            <v>/27</v>
          </cell>
          <cell r="J1190">
            <v>804</v>
          </cell>
          <cell r="K1190" t="str">
            <v>10.117.197.41</v>
          </cell>
          <cell r="L1190" t="str">
            <v>10.117.197.33</v>
          </cell>
          <cell r="M1190" t="str">
            <v>/27</v>
          </cell>
          <cell r="N1190">
            <v>814</v>
          </cell>
          <cell r="O1190" t="str">
            <v>10.117.200.41</v>
          </cell>
          <cell r="P1190" t="str">
            <v>10.117.200.33</v>
          </cell>
          <cell r="Q1190" t="str">
            <v>/27</v>
          </cell>
          <cell r="R1190">
            <v>824</v>
          </cell>
        </row>
        <row r="1191">
          <cell r="E1191" t="str">
            <v>AC171</v>
          </cell>
          <cell r="G1191" t="str">
            <v>10.117.194.42</v>
          </cell>
          <cell r="H1191" t="str">
            <v>10.117.194.33</v>
          </cell>
          <cell r="I1191" t="str">
            <v>/27</v>
          </cell>
          <cell r="J1191">
            <v>804</v>
          </cell>
          <cell r="K1191" t="str">
            <v>10.117.197.42</v>
          </cell>
          <cell r="L1191" t="str">
            <v>10.117.197.33</v>
          </cell>
          <cell r="M1191" t="str">
            <v>/27</v>
          </cell>
          <cell r="N1191">
            <v>814</v>
          </cell>
          <cell r="O1191" t="str">
            <v>10.117.200.42</v>
          </cell>
          <cell r="P1191" t="str">
            <v>10.117.200.33</v>
          </cell>
          <cell r="Q1191" t="str">
            <v>/27</v>
          </cell>
          <cell r="R1191">
            <v>824</v>
          </cell>
        </row>
        <row r="1192">
          <cell r="E1192" t="str">
            <v>AC171</v>
          </cell>
          <cell r="F1192" t="str">
            <v>ET909</v>
          </cell>
          <cell r="G1192" t="str">
            <v>10.117.194.43</v>
          </cell>
          <cell r="H1192" t="str">
            <v>10.117.194.33</v>
          </cell>
          <cell r="I1192" t="str">
            <v>/27</v>
          </cell>
          <cell r="J1192">
            <v>804</v>
          </cell>
          <cell r="K1192" t="str">
            <v>10.117.197.43</v>
          </cell>
          <cell r="L1192" t="str">
            <v>10.117.197.33</v>
          </cell>
          <cell r="M1192" t="str">
            <v>/27</v>
          </cell>
          <cell r="N1192">
            <v>814</v>
          </cell>
          <cell r="O1192" t="str">
            <v>10.117.200.43</v>
          </cell>
          <cell r="P1192" t="str">
            <v>10.117.200.33</v>
          </cell>
          <cell r="Q1192" t="str">
            <v>/27</v>
          </cell>
          <cell r="R1192">
            <v>824</v>
          </cell>
        </row>
        <row r="1193">
          <cell r="E1193" t="str">
            <v>AC171</v>
          </cell>
          <cell r="F1193" t="str">
            <v>ET226</v>
          </cell>
          <cell r="G1193" t="str">
            <v>10.117.194.44</v>
          </cell>
          <cell r="H1193" t="str">
            <v>10.117.194.33</v>
          </cell>
          <cell r="I1193" t="str">
            <v>/27</v>
          </cell>
          <cell r="J1193">
            <v>804</v>
          </cell>
          <cell r="K1193" t="str">
            <v>10.117.197.44</v>
          </cell>
          <cell r="L1193" t="str">
            <v>10.117.197.33</v>
          </cell>
          <cell r="M1193" t="str">
            <v>/27</v>
          </cell>
          <cell r="N1193">
            <v>814</v>
          </cell>
          <cell r="O1193" t="str">
            <v>10.117.200.44</v>
          </cell>
          <cell r="P1193" t="str">
            <v>10.117.200.33</v>
          </cell>
          <cell r="Q1193" t="str">
            <v>/27</v>
          </cell>
          <cell r="R1193">
            <v>824</v>
          </cell>
        </row>
        <row r="1194">
          <cell r="E1194" t="str">
            <v>AC171</v>
          </cell>
          <cell r="F1194" t="str">
            <v>ET226</v>
          </cell>
          <cell r="G1194" t="str">
            <v>10.117.194.45</v>
          </cell>
          <cell r="H1194" t="str">
            <v>10.117.194.33</v>
          </cell>
          <cell r="I1194" t="str">
            <v>/27</v>
          </cell>
          <cell r="J1194">
            <v>804</v>
          </cell>
          <cell r="K1194" t="str">
            <v>10.117.197.45</v>
          </cell>
          <cell r="L1194" t="str">
            <v>10.117.197.33</v>
          </cell>
          <cell r="M1194" t="str">
            <v>/27</v>
          </cell>
          <cell r="N1194">
            <v>814</v>
          </cell>
          <cell r="O1194" t="str">
            <v>10.117.200.45</v>
          </cell>
          <cell r="P1194" t="str">
            <v>10.117.200.33</v>
          </cell>
          <cell r="Q1194" t="str">
            <v>/27</v>
          </cell>
          <cell r="R1194">
            <v>824</v>
          </cell>
        </row>
        <row r="1195">
          <cell r="E1195" t="str">
            <v>AC171</v>
          </cell>
          <cell r="F1195" t="str">
            <v>ET909</v>
          </cell>
          <cell r="G1195" t="str">
            <v>10.117.194.46</v>
          </cell>
          <cell r="H1195" t="str">
            <v>10.117.194.33</v>
          </cell>
          <cell r="I1195" t="str">
            <v>/27</v>
          </cell>
          <cell r="J1195">
            <v>804</v>
          </cell>
          <cell r="K1195" t="str">
            <v>10.117.197.46</v>
          </cell>
          <cell r="L1195" t="str">
            <v>10.117.197.33</v>
          </cell>
          <cell r="M1195" t="str">
            <v>/27</v>
          </cell>
          <cell r="N1195">
            <v>814</v>
          </cell>
          <cell r="O1195" t="str">
            <v>10.117.200.46</v>
          </cell>
          <cell r="P1195" t="str">
            <v>10.117.200.33</v>
          </cell>
          <cell r="Q1195" t="str">
            <v>/27</v>
          </cell>
          <cell r="R1195">
            <v>824</v>
          </cell>
        </row>
        <row r="1196">
          <cell r="E1196" t="str">
            <v>AC171</v>
          </cell>
          <cell r="G1196" t="str">
            <v>10.117.194.47</v>
          </cell>
          <cell r="H1196" t="str">
            <v>10.117.194.33</v>
          </cell>
          <cell r="I1196" t="str">
            <v>/27</v>
          </cell>
          <cell r="J1196">
            <v>804</v>
          </cell>
          <cell r="K1196" t="str">
            <v>10.117.197.47</v>
          </cell>
          <cell r="L1196" t="str">
            <v>10.117.197.33</v>
          </cell>
          <cell r="M1196" t="str">
            <v>/27</v>
          </cell>
          <cell r="N1196">
            <v>814</v>
          </cell>
          <cell r="O1196" t="str">
            <v>10.117.200.47</v>
          </cell>
          <cell r="P1196" t="str">
            <v>10.117.200.33</v>
          </cell>
          <cell r="Q1196" t="str">
            <v>/27</v>
          </cell>
          <cell r="R1196">
            <v>824</v>
          </cell>
        </row>
        <row r="1197">
          <cell r="E1197" t="str">
            <v>AC171</v>
          </cell>
          <cell r="G1197" t="str">
            <v>10.117.194.48</v>
          </cell>
          <cell r="H1197" t="str">
            <v>10.117.194.33</v>
          </cell>
          <cell r="I1197" t="str">
            <v>/27</v>
          </cell>
          <cell r="J1197">
            <v>804</v>
          </cell>
          <cell r="K1197" t="str">
            <v>10.117.197.48</v>
          </cell>
          <cell r="L1197" t="str">
            <v>10.117.197.33</v>
          </cell>
          <cell r="M1197" t="str">
            <v>/27</v>
          </cell>
          <cell r="N1197">
            <v>814</v>
          </cell>
          <cell r="O1197" t="str">
            <v>10.117.200.48</v>
          </cell>
          <cell r="P1197" t="str">
            <v>10.117.200.33</v>
          </cell>
          <cell r="Q1197" t="str">
            <v>/27</v>
          </cell>
          <cell r="R1197">
            <v>824</v>
          </cell>
        </row>
        <row r="1198">
          <cell r="E1198" t="str">
            <v>AC171</v>
          </cell>
          <cell r="G1198" t="str">
            <v>10.117.194.49</v>
          </cell>
          <cell r="H1198" t="str">
            <v>10.117.194.33</v>
          </cell>
          <cell r="I1198" t="str">
            <v>/27</v>
          </cell>
          <cell r="J1198">
            <v>804</v>
          </cell>
          <cell r="K1198" t="str">
            <v>10.117.197.49</v>
          </cell>
          <cell r="L1198" t="str">
            <v>10.117.197.33</v>
          </cell>
          <cell r="M1198" t="str">
            <v>/27</v>
          </cell>
          <cell r="N1198">
            <v>814</v>
          </cell>
          <cell r="O1198" t="str">
            <v>10.117.200.49</v>
          </cell>
          <cell r="P1198" t="str">
            <v>10.117.200.33</v>
          </cell>
          <cell r="Q1198" t="str">
            <v>/27</v>
          </cell>
          <cell r="R1198">
            <v>824</v>
          </cell>
        </row>
        <row r="1199">
          <cell r="E1199" t="str">
            <v>AC171</v>
          </cell>
          <cell r="G1199" t="str">
            <v>10.117.194.50</v>
          </cell>
          <cell r="H1199" t="str">
            <v>10.117.194.33</v>
          </cell>
          <cell r="I1199" t="str">
            <v>/27</v>
          </cell>
          <cell r="J1199">
            <v>804</v>
          </cell>
          <cell r="K1199" t="str">
            <v>10.117.197.50</v>
          </cell>
          <cell r="L1199" t="str">
            <v>10.117.197.33</v>
          </cell>
          <cell r="M1199" t="str">
            <v>/27</v>
          </cell>
          <cell r="N1199">
            <v>814</v>
          </cell>
          <cell r="O1199" t="str">
            <v>10.117.200.50</v>
          </cell>
          <cell r="P1199" t="str">
            <v>10.117.200.33</v>
          </cell>
          <cell r="Q1199" t="str">
            <v>/27</v>
          </cell>
          <cell r="R1199">
            <v>824</v>
          </cell>
        </row>
        <row r="1200">
          <cell r="E1200" t="str">
            <v>AC171</v>
          </cell>
          <cell r="G1200" t="str">
            <v>10.117.194.51</v>
          </cell>
          <cell r="H1200" t="str">
            <v>10.117.194.33</v>
          </cell>
          <cell r="I1200" t="str">
            <v>/27</v>
          </cell>
          <cell r="J1200">
            <v>804</v>
          </cell>
          <cell r="K1200" t="str">
            <v>10.117.197.51</v>
          </cell>
          <cell r="L1200" t="str">
            <v>10.117.197.33</v>
          </cell>
          <cell r="M1200" t="str">
            <v>/27</v>
          </cell>
          <cell r="N1200">
            <v>814</v>
          </cell>
          <cell r="O1200" t="str">
            <v>10.117.200.51</v>
          </cell>
          <cell r="P1200" t="str">
            <v>10.117.200.33</v>
          </cell>
          <cell r="Q1200" t="str">
            <v>/27</v>
          </cell>
          <cell r="R1200">
            <v>824</v>
          </cell>
        </row>
        <row r="1201">
          <cell r="E1201" t="str">
            <v>AC171</v>
          </cell>
          <cell r="G1201" t="str">
            <v>10.117.194.52</v>
          </cell>
          <cell r="H1201" t="str">
            <v>10.117.194.33</v>
          </cell>
          <cell r="I1201" t="str">
            <v>/27</v>
          </cell>
          <cell r="J1201">
            <v>804</v>
          </cell>
          <cell r="K1201" t="str">
            <v>10.117.197.52</v>
          </cell>
          <cell r="L1201" t="str">
            <v>10.117.197.33</v>
          </cell>
          <cell r="M1201" t="str">
            <v>/27</v>
          </cell>
          <cell r="N1201">
            <v>814</v>
          </cell>
          <cell r="O1201" t="str">
            <v>10.117.200.52</v>
          </cell>
          <cell r="P1201" t="str">
            <v>10.117.200.33</v>
          </cell>
          <cell r="Q1201" t="str">
            <v>/27</v>
          </cell>
          <cell r="R1201">
            <v>824</v>
          </cell>
        </row>
        <row r="1202">
          <cell r="E1202" t="str">
            <v>AC171</v>
          </cell>
          <cell r="G1202" t="str">
            <v>10.117.194.53</v>
          </cell>
          <cell r="H1202" t="str">
            <v>10.117.194.33</v>
          </cell>
          <cell r="I1202" t="str">
            <v>/27</v>
          </cell>
          <cell r="J1202">
            <v>804</v>
          </cell>
          <cell r="K1202" t="str">
            <v>10.117.197.53</v>
          </cell>
          <cell r="L1202" t="str">
            <v>10.117.197.33</v>
          </cell>
          <cell r="M1202" t="str">
            <v>/27</v>
          </cell>
          <cell r="N1202">
            <v>814</v>
          </cell>
          <cell r="O1202" t="str">
            <v>10.117.200.53</v>
          </cell>
          <cell r="P1202" t="str">
            <v>10.117.200.33</v>
          </cell>
          <cell r="Q1202" t="str">
            <v>/27</v>
          </cell>
          <cell r="R1202">
            <v>824</v>
          </cell>
        </row>
        <row r="1203">
          <cell r="E1203" t="str">
            <v>AC171</v>
          </cell>
          <cell r="G1203" t="str">
            <v>10.117.194.54</v>
          </cell>
          <cell r="H1203" t="str">
            <v>10.117.194.33</v>
          </cell>
          <cell r="I1203" t="str">
            <v>/27</v>
          </cell>
          <cell r="J1203">
            <v>804</v>
          </cell>
          <cell r="K1203" t="str">
            <v>10.117.197.54</v>
          </cell>
          <cell r="L1203" t="str">
            <v>10.117.197.33</v>
          </cell>
          <cell r="M1203" t="str">
            <v>/27</v>
          </cell>
          <cell r="N1203">
            <v>814</v>
          </cell>
          <cell r="O1203" t="str">
            <v>10.117.200.54</v>
          </cell>
          <cell r="P1203" t="str">
            <v>10.117.200.33</v>
          </cell>
          <cell r="Q1203" t="str">
            <v>/27</v>
          </cell>
          <cell r="R1203">
            <v>824</v>
          </cell>
        </row>
        <row r="1204">
          <cell r="E1204" t="str">
            <v>AC171</v>
          </cell>
          <cell r="G1204" t="str">
            <v>10.117.194.55</v>
          </cell>
          <cell r="H1204" t="str">
            <v>10.117.194.33</v>
          </cell>
          <cell r="I1204" t="str">
            <v>/27</v>
          </cell>
          <cell r="J1204">
            <v>804</v>
          </cell>
          <cell r="K1204" t="str">
            <v>10.117.197.55</v>
          </cell>
          <cell r="L1204" t="str">
            <v>10.117.197.33</v>
          </cell>
          <cell r="M1204" t="str">
            <v>/27</v>
          </cell>
          <cell r="N1204">
            <v>814</v>
          </cell>
          <cell r="O1204" t="str">
            <v>10.117.200.55</v>
          </cell>
          <cell r="P1204" t="str">
            <v>10.117.200.33</v>
          </cell>
          <cell r="Q1204" t="str">
            <v>/27</v>
          </cell>
          <cell r="R1204">
            <v>824</v>
          </cell>
        </row>
        <row r="1205">
          <cell r="E1205" t="str">
            <v>AC171</v>
          </cell>
          <cell r="G1205" t="str">
            <v>10.117.194.56</v>
          </cell>
          <cell r="H1205" t="str">
            <v>10.117.194.33</v>
          </cell>
          <cell r="I1205" t="str">
            <v>/27</v>
          </cell>
          <cell r="J1205">
            <v>804</v>
          </cell>
          <cell r="K1205" t="str">
            <v>10.117.197.56</v>
          </cell>
          <cell r="L1205" t="str">
            <v>10.117.197.33</v>
          </cell>
          <cell r="M1205" t="str">
            <v>/27</v>
          </cell>
          <cell r="N1205">
            <v>814</v>
          </cell>
          <cell r="O1205" t="str">
            <v>10.117.200.56</v>
          </cell>
          <cell r="P1205" t="str">
            <v>10.117.200.33</v>
          </cell>
          <cell r="Q1205" t="str">
            <v>/27</v>
          </cell>
          <cell r="R1205">
            <v>824</v>
          </cell>
        </row>
        <row r="1206">
          <cell r="E1206" t="str">
            <v>AC171</v>
          </cell>
          <cell r="G1206" t="str">
            <v>10.117.194.57</v>
          </cell>
          <cell r="H1206" t="str">
            <v>10.117.194.33</v>
          </cell>
          <cell r="I1206" t="str">
            <v>/27</v>
          </cell>
          <cell r="J1206">
            <v>804</v>
          </cell>
          <cell r="K1206" t="str">
            <v>10.117.197.57</v>
          </cell>
          <cell r="L1206" t="str">
            <v>10.117.197.33</v>
          </cell>
          <cell r="M1206" t="str">
            <v>/27</v>
          </cell>
          <cell r="N1206">
            <v>814</v>
          </cell>
          <cell r="O1206" t="str">
            <v>10.117.200.57</v>
          </cell>
          <cell r="P1206" t="str">
            <v>10.117.200.33</v>
          </cell>
          <cell r="Q1206" t="str">
            <v>/27</v>
          </cell>
          <cell r="R1206">
            <v>824</v>
          </cell>
        </row>
        <row r="1207">
          <cell r="E1207" t="str">
            <v>AC171</v>
          </cell>
          <cell r="G1207" t="str">
            <v>10.117.194.58</v>
          </cell>
          <cell r="H1207" t="str">
            <v>10.117.194.33</v>
          </cell>
          <cell r="I1207" t="str">
            <v>/27</v>
          </cell>
          <cell r="J1207">
            <v>804</v>
          </cell>
          <cell r="K1207" t="str">
            <v>10.117.197.58</v>
          </cell>
          <cell r="L1207" t="str">
            <v>10.117.197.33</v>
          </cell>
          <cell r="M1207" t="str">
            <v>/27</v>
          </cell>
          <cell r="N1207">
            <v>814</v>
          </cell>
          <cell r="O1207" t="str">
            <v>10.117.200.58</v>
          </cell>
          <cell r="P1207" t="str">
            <v>10.117.200.33</v>
          </cell>
          <cell r="Q1207" t="str">
            <v>/27</v>
          </cell>
          <cell r="R1207">
            <v>824</v>
          </cell>
        </row>
        <row r="1208">
          <cell r="E1208" t="str">
            <v>AC171</v>
          </cell>
          <cell r="G1208" t="str">
            <v>10.117.194.59</v>
          </cell>
          <cell r="H1208" t="str">
            <v>10.117.194.33</v>
          </cell>
          <cell r="I1208" t="str">
            <v>/27</v>
          </cell>
          <cell r="J1208">
            <v>804</v>
          </cell>
          <cell r="K1208" t="str">
            <v>10.117.197.59</v>
          </cell>
          <cell r="L1208" t="str">
            <v>10.117.197.33</v>
          </cell>
          <cell r="M1208" t="str">
            <v>/27</v>
          </cell>
          <cell r="N1208">
            <v>814</v>
          </cell>
          <cell r="O1208" t="str">
            <v>10.117.200.59</v>
          </cell>
          <cell r="P1208" t="str">
            <v>10.117.200.33</v>
          </cell>
          <cell r="Q1208" t="str">
            <v>/27</v>
          </cell>
          <cell r="R1208">
            <v>824</v>
          </cell>
        </row>
        <row r="1209">
          <cell r="E1209" t="str">
            <v>AC171</v>
          </cell>
          <cell r="G1209" t="str">
            <v>10.117.194.60</v>
          </cell>
          <cell r="H1209" t="str">
            <v>10.117.194.33</v>
          </cell>
          <cell r="I1209" t="str">
            <v>/27</v>
          </cell>
          <cell r="J1209">
            <v>804</v>
          </cell>
          <cell r="K1209" t="str">
            <v>10.117.197.60</v>
          </cell>
          <cell r="L1209" t="str">
            <v>10.117.197.33</v>
          </cell>
          <cell r="M1209" t="str">
            <v>/27</v>
          </cell>
          <cell r="N1209">
            <v>814</v>
          </cell>
          <cell r="O1209" t="str">
            <v>10.117.200.60</v>
          </cell>
          <cell r="P1209" t="str">
            <v>10.117.200.33</v>
          </cell>
          <cell r="Q1209" t="str">
            <v>/27</v>
          </cell>
          <cell r="R1209">
            <v>824</v>
          </cell>
        </row>
        <row r="1210">
          <cell r="E1210" t="str">
            <v>AC171</v>
          </cell>
          <cell r="G1210" t="str">
            <v>10.117.194.61</v>
          </cell>
          <cell r="H1210" t="str">
            <v>10.117.194.33</v>
          </cell>
          <cell r="I1210" t="str">
            <v>/27</v>
          </cell>
          <cell r="J1210">
            <v>804</v>
          </cell>
          <cell r="K1210" t="str">
            <v>10.117.197.61</v>
          </cell>
          <cell r="L1210" t="str">
            <v>10.117.197.33</v>
          </cell>
          <cell r="M1210" t="str">
            <v>/27</v>
          </cell>
          <cell r="N1210">
            <v>814</v>
          </cell>
          <cell r="O1210" t="str">
            <v>10.117.200.61</v>
          </cell>
          <cell r="P1210" t="str">
            <v>10.117.200.33</v>
          </cell>
          <cell r="Q1210" t="str">
            <v>/27</v>
          </cell>
          <cell r="R1210">
            <v>824</v>
          </cell>
        </row>
        <row r="1211">
          <cell r="E1211" t="str">
            <v>AC171</v>
          </cell>
          <cell r="G1211" t="str">
            <v>10.117.194.62</v>
          </cell>
          <cell r="H1211" t="str">
            <v>10.117.194.33</v>
          </cell>
          <cell r="I1211" t="str">
            <v>/27</v>
          </cell>
          <cell r="J1211">
            <v>804</v>
          </cell>
          <cell r="K1211" t="str">
            <v>10.117.197.62</v>
          </cell>
          <cell r="L1211" t="str">
            <v>10.117.197.33</v>
          </cell>
          <cell r="M1211" t="str">
            <v>/27</v>
          </cell>
          <cell r="N1211">
            <v>814</v>
          </cell>
          <cell r="O1211" t="str">
            <v>10.117.200.62</v>
          </cell>
          <cell r="P1211" t="str">
            <v>10.117.200.33</v>
          </cell>
          <cell r="Q1211" t="str">
            <v>/27</v>
          </cell>
          <cell r="R1211">
            <v>824</v>
          </cell>
        </row>
        <row r="1212">
          <cell r="E1212" t="str">
            <v>AC171</v>
          </cell>
          <cell r="G1212" t="str">
            <v>10.117.194.63</v>
          </cell>
          <cell r="H1212" t="str">
            <v>10.117.194.33</v>
          </cell>
          <cell r="I1212" t="str">
            <v>/27</v>
          </cell>
          <cell r="J1212">
            <v>804</v>
          </cell>
          <cell r="K1212" t="str">
            <v>10.117.197.63</v>
          </cell>
          <cell r="L1212" t="str">
            <v>10.117.197.33</v>
          </cell>
          <cell r="M1212" t="str">
            <v>/27</v>
          </cell>
          <cell r="N1212">
            <v>814</v>
          </cell>
          <cell r="O1212" t="str">
            <v>10.117.200.63</v>
          </cell>
          <cell r="P1212" t="str">
            <v>10.117.200.33</v>
          </cell>
          <cell r="Q1212" t="str">
            <v>/27</v>
          </cell>
          <cell r="R1212">
            <v>824</v>
          </cell>
        </row>
        <row r="1213">
          <cell r="E1213" t="str">
            <v>AC183</v>
          </cell>
          <cell r="G1213" t="str">
            <v>10.186.21.0</v>
          </cell>
          <cell r="H1213" t="str">
            <v>10.186.21.1</v>
          </cell>
          <cell r="I1213" t="str">
            <v>/27</v>
          </cell>
          <cell r="J1213">
            <v>800</v>
          </cell>
          <cell r="K1213" t="str">
            <v>10.186.21.160</v>
          </cell>
          <cell r="L1213" t="str">
            <v>10.186.21.161</v>
          </cell>
          <cell r="M1213" t="str">
            <v>/27</v>
          </cell>
          <cell r="N1213">
            <v>810</v>
          </cell>
          <cell r="O1213" t="str">
            <v>10.186.22.64</v>
          </cell>
          <cell r="P1213" t="str">
            <v>10.186.22.65</v>
          </cell>
          <cell r="Q1213" t="str">
            <v>/27</v>
          </cell>
          <cell r="R1213">
            <v>820</v>
          </cell>
        </row>
        <row r="1214">
          <cell r="E1214" t="str">
            <v>AC183</v>
          </cell>
          <cell r="G1214" t="str">
            <v>10.186.21.1</v>
          </cell>
          <cell r="H1214" t="str">
            <v>10.186.21.1</v>
          </cell>
          <cell r="I1214" t="str">
            <v>/27</v>
          </cell>
          <cell r="J1214">
            <v>800</v>
          </cell>
          <cell r="K1214" t="str">
            <v>10.186.21.161</v>
          </cell>
          <cell r="L1214" t="str">
            <v>10.186.21.161</v>
          </cell>
          <cell r="M1214" t="str">
            <v>/27</v>
          </cell>
          <cell r="N1214">
            <v>810</v>
          </cell>
          <cell r="O1214" t="str">
            <v>10.186.22.65</v>
          </cell>
          <cell r="P1214" t="str">
            <v>10.186.22.65</v>
          </cell>
          <cell r="Q1214" t="str">
            <v>/27</v>
          </cell>
          <cell r="R1214">
            <v>820</v>
          </cell>
        </row>
        <row r="1215">
          <cell r="E1215" t="str">
            <v>AC183</v>
          </cell>
          <cell r="F1215" t="str">
            <v/>
          </cell>
          <cell r="G1215" t="str">
            <v>10.186.21.2</v>
          </cell>
          <cell r="H1215" t="str">
            <v>10.186.21.1</v>
          </cell>
          <cell r="I1215" t="str">
            <v>/27</v>
          </cell>
          <cell r="J1215">
            <v>800</v>
          </cell>
          <cell r="K1215" t="str">
            <v>10.186.21.162</v>
          </cell>
          <cell r="L1215" t="str">
            <v>10.186.21.161</v>
          </cell>
          <cell r="M1215" t="str">
            <v>/27</v>
          </cell>
          <cell r="N1215">
            <v>810</v>
          </cell>
          <cell r="O1215" t="str">
            <v>10.186.22.66</v>
          </cell>
          <cell r="P1215" t="str">
            <v>10.186.22.65</v>
          </cell>
          <cell r="Q1215" t="str">
            <v>/27</v>
          </cell>
          <cell r="R1215">
            <v>820</v>
          </cell>
        </row>
        <row r="1216">
          <cell r="E1216" t="str">
            <v>AC183</v>
          </cell>
          <cell r="F1216" t="str">
            <v/>
          </cell>
          <cell r="G1216" t="str">
            <v>10.186.21.3</v>
          </cell>
          <cell r="H1216" t="str">
            <v>10.186.21.1</v>
          </cell>
          <cell r="I1216" t="str">
            <v>/27</v>
          </cell>
          <cell r="J1216">
            <v>800</v>
          </cell>
          <cell r="K1216" t="str">
            <v>10.186.21.163</v>
          </cell>
          <cell r="L1216" t="str">
            <v>10.186.21.161</v>
          </cell>
          <cell r="M1216" t="str">
            <v>/27</v>
          </cell>
          <cell r="N1216">
            <v>810</v>
          </cell>
          <cell r="O1216" t="str">
            <v>10.186.22.67</v>
          </cell>
          <cell r="P1216" t="str">
            <v>10.186.22.65</v>
          </cell>
          <cell r="Q1216" t="str">
            <v>/27</v>
          </cell>
          <cell r="R1216">
            <v>820</v>
          </cell>
        </row>
        <row r="1217">
          <cell r="E1217" t="str">
            <v>AC183</v>
          </cell>
          <cell r="F1217" t="str">
            <v>AC515</v>
          </cell>
          <cell r="G1217" t="str">
            <v>10.186.21.4</v>
          </cell>
          <cell r="H1217" t="str">
            <v>10.186.21.1</v>
          </cell>
          <cell r="I1217" t="str">
            <v>/27</v>
          </cell>
          <cell r="J1217">
            <v>800</v>
          </cell>
          <cell r="K1217" t="str">
            <v>10.186.21.164</v>
          </cell>
          <cell r="L1217" t="str">
            <v>10.186.21.161</v>
          </cell>
          <cell r="M1217" t="str">
            <v>/27</v>
          </cell>
          <cell r="N1217">
            <v>810</v>
          </cell>
          <cell r="O1217" t="str">
            <v>10.186.22.68</v>
          </cell>
          <cell r="P1217" t="str">
            <v>10.186.22.65</v>
          </cell>
          <cell r="Q1217" t="str">
            <v>/27</v>
          </cell>
          <cell r="R1217">
            <v>820</v>
          </cell>
        </row>
        <row r="1218">
          <cell r="E1218" t="str">
            <v>AC183</v>
          </cell>
          <cell r="G1218" t="str">
            <v>10.186.21.5</v>
          </cell>
          <cell r="H1218" t="str">
            <v>10.186.21.1</v>
          </cell>
          <cell r="I1218" t="str">
            <v>/27</v>
          </cell>
          <cell r="J1218">
            <v>800</v>
          </cell>
          <cell r="K1218" t="str">
            <v>10.186.21.165</v>
          </cell>
          <cell r="L1218" t="str">
            <v>10.186.21.161</v>
          </cell>
          <cell r="M1218" t="str">
            <v>/27</v>
          </cell>
          <cell r="N1218">
            <v>810</v>
          </cell>
          <cell r="O1218" t="str">
            <v>10.186.22.69</v>
          </cell>
          <cell r="P1218" t="str">
            <v>10.186.22.65</v>
          </cell>
          <cell r="Q1218" t="str">
            <v>/27</v>
          </cell>
          <cell r="R1218">
            <v>820</v>
          </cell>
        </row>
        <row r="1219">
          <cell r="E1219" t="str">
            <v>AC183</v>
          </cell>
          <cell r="F1219" t="str">
            <v>AC565</v>
          </cell>
          <cell r="G1219" t="str">
            <v>10.186.21.6</v>
          </cell>
          <cell r="H1219" t="str">
            <v>10.186.21.1</v>
          </cell>
          <cell r="I1219" t="str">
            <v>/27</v>
          </cell>
          <cell r="J1219">
            <v>800</v>
          </cell>
          <cell r="K1219" t="str">
            <v>10.186.21.166</v>
          </cell>
          <cell r="L1219" t="str">
            <v>10.186.21.161</v>
          </cell>
          <cell r="M1219" t="str">
            <v>/27</v>
          </cell>
          <cell r="N1219">
            <v>810</v>
          </cell>
          <cell r="O1219" t="str">
            <v>10.186.22.70</v>
          </cell>
          <cell r="P1219" t="str">
            <v>10.186.22.65</v>
          </cell>
          <cell r="Q1219" t="str">
            <v>/27</v>
          </cell>
          <cell r="R1219">
            <v>820</v>
          </cell>
        </row>
        <row r="1220">
          <cell r="E1220" t="str">
            <v>AC183</v>
          </cell>
          <cell r="F1220" t="str">
            <v>AC565</v>
          </cell>
          <cell r="G1220" t="str">
            <v>10.186.21.7</v>
          </cell>
          <cell r="H1220" t="str">
            <v>10.186.21.1</v>
          </cell>
          <cell r="I1220" t="str">
            <v>/27</v>
          </cell>
          <cell r="J1220">
            <v>800</v>
          </cell>
          <cell r="K1220" t="str">
            <v>10.186.21.167</v>
          </cell>
          <cell r="L1220" t="str">
            <v>10.186.21.161</v>
          </cell>
          <cell r="M1220" t="str">
            <v>/27</v>
          </cell>
          <cell r="N1220">
            <v>810</v>
          </cell>
          <cell r="O1220" t="str">
            <v>10.186.22.71</v>
          </cell>
          <cell r="P1220" t="str">
            <v>10.186.22.65</v>
          </cell>
          <cell r="Q1220" t="str">
            <v>/27</v>
          </cell>
          <cell r="R1220">
            <v>820</v>
          </cell>
        </row>
        <row r="1221">
          <cell r="E1221" t="str">
            <v>AC183</v>
          </cell>
          <cell r="F1221" t="str">
            <v/>
          </cell>
          <cell r="G1221" t="str">
            <v>10.186.21.8</v>
          </cell>
          <cell r="H1221" t="str">
            <v>10.186.21.1</v>
          </cell>
          <cell r="I1221" t="str">
            <v>/27</v>
          </cell>
          <cell r="J1221">
            <v>800</v>
          </cell>
          <cell r="K1221" t="str">
            <v>10.186.21.168</v>
          </cell>
          <cell r="L1221" t="str">
            <v>10.186.21.161</v>
          </cell>
          <cell r="M1221" t="str">
            <v>/27</v>
          </cell>
          <cell r="N1221">
            <v>810</v>
          </cell>
          <cell r="O1221" t="str">
            <v>10.186.22.72</v>
          </cell>
          <cell r="P1221" t="str">
            <v>10.186.22.65</v>
          </cell>
          <cell r="Q1221" t="str">
            <v>/27</v>
          </cell>
          <cell r="R1221">
            <v>820</v>
          </cell>
        </row>
        <row r="1222">
          <cell r="E1222" t="str">
            <v>AC183</v>
          </cell>
          <cell r="F1222" t="str">
            <v/>
          </cell>
          <cell r="G1222" t="str">
            <v>10.186.21.9</v>
          </cell>
          <cell r="H1222" t="str">
            <v>10.186.21.1</v>
          </cell>
          <cell r="I1222" t="str">
            <v>/27</v>
          </cell>
          <cell r="J1222">
            <v>800</v>
          </cell>
          <cell r="K1222" t="str">
            <v>10.186.21.169</v>
          </cell>
          <cell r="L1222" t="str">
            <v>10.186.21.161</v>
          </cell>
          <cell r="M1222" t="str">
            <v>/27</v>
          </cell>
          <cell r="N1222">
            <v>810</v>
          </cell>
          <cell r="O1222" t="str">
            <v>10.186.22.73</v>
          </cell>
          <cell r="P1222" t="str">
            <v>10.186.22.65</v>
          </cell>
          <cell r="Q1222" t="str">
            <v>/27</v>
          </cell>
          <cell r="R1222">
            <v>820</v>
          </cell>
        </row>
        <row r="1223">
          <cell r="E1223" t="str">
            <v>AC183</v>
          </cell>
          <cell r="F1223" t="str">
            <v/>
          </cell>
          <cell r="G1223" t="str">
            <v>10.186.21.10</v>
          </cell>
          <cell r="H1223" t="str">
            <v>10.186.21.1</v>
          </cell>
          <cell r="I1223" t="str">
            <v>/27</v>
          </cell>
          <cell r="J1223">
            <v>800</v>
          </cell>
          <cell r="K1223" t="str">
            <v>10.186.21.170</v>
          </cell>
          <cell r="L1223" t="str">
            <v>10.186.21.161</v>
          </cell>
          <cell r="M1223" t="str">
            <v>/27</v>
          </cell>
          <cell r="N1223">
            <v>810</v>
          </cell>
          <cell r="O1223" t="str">
            <v>10.186.22.74</v>
          </cell>
          <cell r="P1223" t="str">
            <v>10.186.22.65</v>
          </cell>
          <cell r="Q1223" t="str">
            <v>/27</v>
          </cell>
          <cell r="R1223">
            <v>820</v>
          </cell>
        </row>
        <row r="1224">
          <cell r="E1224" t="str">
            <v>AC183</v>
          </cell>
          <cell r="F1224" t="str">
            <v>ET806</v>
          </cell>
          <cell r="G1224" t="str">
            <v>10.186.21.11</v>
          </cell>
          <cell r="H1224" t="str">
            <v>10.186.21.1</v>
          </cell>
          <cell r="I1224" t="str">
            <v>/27</v>
          </cell>
          <cell r="J1224">
            <v>800</v>
          </cell>
          <cell r="K1224" t="str">
            <v>10.186.21.171</v>
          </cell>
          <cell r="L1224" t="str">
            <v>10.186.21.161</v>
          </cell>
          <cell r="M1224" t="str">
            <v>/27</v>
          </cell>
          <cell r="N1224">
            <v>810</v>
          </cell>
          <cell r="O1224" t="str">
            <v>10.186.22.75</v>
          </cell>
          <cell r="P1224" t="str">
            <v>10.186.22.65</v>
          </cell>
          <cell r="Q1224" t="str">
            <v>/27</v>
          </cell>
          <cell r="R1224">
            <v>820</v>
          </cell>
        </row>
        <row r="1225">
          <cell r="E1225" t="str">
            <v>AC183</v>
          </cell>
          <cell r="G1225" t="str">
            <v>10.186.21.12</v>
          </cell>
          <cell r="H1225" t="str">
            <v>10.186.21.1</v>
          </cell>
          <cell r="I1225" t="str">
            <v>/27</v>
          </cell>
          <cell r="J1225">
            <v>800</v>
          </cell>
          <cell r="K1225" t="str">
            <v>10.186.21.172</v>
          </cell>
          <cell r="L1225" t="str">
            <v>10.186.21.161</v>
          </cell>
          <cell r="M1225" t="str">
            <v>/27</v>
          </cell>
          <cell r="N1225">
            <v>810</v>
          </cell>
          <cell r="O1225" t="str">
            <v>10.186.22.76</v>
          </cell>
          <cell r="P1225" t="str">
            <v>10.186.22.65</v>
          </cell>
          <cell r="Q1225" t="str">
            <v>/27</v>
          </cell>
          <cell r="R1225">
            <v>820</v>
          </cell>
        </row>
        <row r="1226">
          <cell r="E1226" t="str">
            <v>AC183</v>
          </cell>
          <cell r="F1226" t="str">
            <v>AC764</v>
          </cell>
          <cell r="G1226" t="str">
            <v>10.186.21.13</v>
          </cell>
          <cell r="H1226" t="str">
            <v>10.186.21.1</v>
          </cell>
          <cell r="I1226" t="str">
            <v>/27</v>
          </cell>
          <cell r="J1226">
            <v>800</v>
          </cell>
          <cell r="K1226" t="str">
            <v>10.186.21.173</v>
          </cell>
          <cell r="L1226" t="str">
            <v>10.186.21.161</v>
          </cell>
          <cell r="M1226" t="str">
            <v>/27</v>
          </cell>
          <cell r="N1226">
            <v>810</v>
          </cell>
          <cell r="O1226" t="str">
            <v>10.186.22.77</v>
          </cell>
          <cell r="P1226" t="str">
            <v>10.186.22.65</v>
          </cell>
          <cell r="Q1226" t="str">
            <v>/27</v>
          </cell>
          <cell r="R1226">
            <v>820</v>
          </cell>
        </row>
        <row r="1227">
          <cell r="E1227" t="str">
            <v>AC183</v>
          </cell>
          <cell r="G1227" t="str">
            <v>10.186.21.14</v>
          </cell>
          <cell r="H1227" t="str">
            <v>10.186.21.1</v>
          </cell>
          <cell r="I1227" t="str">
            <v>/27</v>
          </cell>
          <cell r="J1227">
            <v>800</v>
          </cell>
          <cell r="K1227" t="str">
            <v>10.186.21.174</v>
          </cell>
          <cell r="L1227" t="str">
            <v>10.186.21.161</v>
          </cell>
          <cell r="M1227" t="str">
            <v>/27</v>
          </cell>
          <cell r="N1227">
            <v>810</v>
          </cell>
          <cell r="O1227" t="str">
            <v>10.186.22.78</v>
          </cell>
          <cell r="P1227" t="str">
            <v>10.186.22.65</v>
          </cell>
          <cell r="Q1227" t="str">
            <v>/27</v>
          </cell>
          <cell r="R1227">
            <v>820</v>
          </cell>
        </row>
        <row r="1228">
          <cell r="E1228" t="str">
            <v>AC183</v>
          </cell>
          <cell r="F1228" t="str">
            <v>ET848</v>
          </cell>
          <cell r="G1228" t="str">
            <v>10.186.21.15</v>
          </cell>
          <cell r="H1228" t="str">
            <v>10.186.21.1</v>
          </cell>
          <cell r="I1228" t="str">
            <v>/27</v>
          </cell>
          <cell r="J1228">
            <v>800</v>
          </cell>
          <cell r="K1228" t="str">
            <v>10.186.21.175</v>
          </cell>
          <cell r="L1228" t="str">
            <v>10.186.21.161</v>
          </cell>
          <cell r="M1228" t="str">
            <v>/27</v>
          </cell>
          <cell r="N1228">
            <v>810</v>
          </cell>
          <cell r="O1228" t="str">
            <v>10.186.22.79</v>
          </cell>
          <cell r="P1228" t="str">
            <v>10.186.22.65</v>
          </cell>
          <cell r="Q1228" t="str">
            <v>/27</v>
          </cell>
          <cell r="R1228">
            <v>820</v>
          </cell>
        </row>
        <row r="1229">
          <cell r="E1229" t="str">
            <v>AC183</v>
          </cell>
          <cell r="F1229" t="str">
            <v>ET557</v>
          </cell>
          <cell r="G1229" t="str">
            <v>10.186.21.16</v>
          </cell>
          <cell r="H1229" t="str">
            <v>10.186.21.1</v>
          </cell>
          <cell r="I1229" t="str">
            <v>/27</v>
          </cell>
          <cell r="J1229">
            <v>800</v>
          </cell>
          <cell r="K1229" t="str">
            <v>10.186.21.176</v>
          </cell>
          <cell r="L1229" t="str">
            <v>10.186.21.161</v>
          </cell>
          <cell r="M1229" t="str">
            <v>/27</v>
          </cell>
          <cell r="N1229">
            <v>810</v>
          </cell>
          <cell r="O1229" t="str">
            <v>10.186.22.80</v>
          </cell>
          <cell r="P1229" t="str">
            <v>10.186.22.65</v>
          </cell>
          <cell r="Q1229" t="str">
            <v>/27</v>
          </cell>
          <cell r="R1229">
            <v>820</v>
          </cell>
        </row>
        <row r="1230">
          <cell r="E1230" t="str">
            <v>AC183</v>
          </cell>
          <cell r="F1230" t="str">
            <v>ET557</v>
          </cell>
          <cell r="G1230" t="str">
            <v>10.186.21.17</v>
          </cell>
          <cell r="H1230" t="str">
            <v>10.186.21.1</v>
          </cell>
          <cell r="I1230" t="str">
            <v>/27</v>
          </cell>
          <cell r="J1230">
            <v>800</v>
          </cell>
          <cell r="K1230" t="str">
            <v>10.186.21.177</v>
          </cell>
          <cell r="L1230" t="str">
            <v>10.186.21.161</v>
          </cell>
          <cell r="M1230" t="str">
            <v>/27</v>
          </cell>
          <cell r="N1230">
            <v>810</v>
          </cell>
          <cell r="O1230" t="str">
            <v>10.186.22.81</v>
          </cell>
          <cell r="P1230" t="str">
            <v>10.186.22.65</v>
          </cell>
          <cell r="Q1230" t="str">
            <v>/27</v>
          </cell>
          <cell r="R1230">
            <v>820</v>
          </cell>
        </row>
        <row r="1231">
          <cell r="E1231" t="str">
            <v>AC183</v>
          </cell>
          <cell r="F1231" t="str">
            <v/>
          </cell>
          <cell r="G1231" t="str">
            <v>10.186.21.18</v>
          </cell>
          <cell r="H1231" t="str">
            <v>10.186.21.1</v>
          </cell>
          <cell r="I1231" t="str">
            <v>/27</v>
          </cell>
          <cell r="J1231">
            <v>800</v>
          </cell>
          <cell r="K1231" t="str">
            <v>10.186.21.178</v>
          </cell>
          <cell r="L1231" t="str">
            <v>10.186.21.161</v>
          </cell>
          <cell r="M1231" t="str">
            <v>/27</v>
          </cell>
          <cell r="N1231">
            <v>810</v>
          </cell>
          <cell r="O1231" t="str">
            <v>10.186.22.82</v>
          </cell>
          <cell r="P1231" t="str">
            <v>10.186.22.65</v>
          </cell>
          <cell r="Q1231" t="str">
            <v>/27</v>
          </cell>
          <cell r="R1231">
            <v>820</v>
          </cell>
        </row>
        <row r="1232">
          <cell r="E1232" t="str">
            <v>AC183</v>
          </cell>
          <cell r="F1232" t="str">
            <v/>
          </cell>
          <cell r="G1232" t="str">
            <v>10.186.21.19</v>
          </cell>
          <cell r="H1232" t="str">
            <v>10.186.21.1</v>
          </cell>
          <cell r="I1232" t="str">
            <v>/27</v>
          </cell>
          <cell r="J1232">
            <v>800</v>
          </cell>
          <cell r="K1232" t="str">
            <v>10.186.21.179</v>
          </cell>
          <cell r="L1232" t="str">
            <v>10.186.21.161</v>
          </cell>
          <cell r="M1232" t="str">
            <v>/27</v>
          </cell>
          <cell r="N1232">
            <v>810</v>
          </cell>
          <cell r="O1232" t="str">
            <v>10.186.22.83</v>
          </cell>
          <cell r="P1232" t="str">
            <v>10.186.22.65</v>
          </cell>
          <cell r="Q1232" t="str">
            <v>/27</v>
          </cell>
          <cell r="R1232">
            <v>820</v>
          </cell>
        </row>
        <row r="1233">
          <cell r="E1233" t="str">
            <v>AC183</v>
          </cell>
          <cell r="F1233" t="str">
            <v>ET812</v>
          </cell>
          <cell r="G1233" t="str">
            <v>10.186.21.20</v>
          </cell>
          <cell r="H1233" t="str">
            <v>10.186.21.1</v>
          </cell>
          <cell r="I1233" t="str">
            <v>/27</v>
          </cell>
          <cell r="J1233">
            <v>800</v>
          </cell>
          <cell r="K1233" t="str">
            <v>10.186.21.180</v>
          </cell>
          <cell r="L1233" t="str">
            <v>10.186.21.161</v>
          </cell>
          <cell r="M1233" t="str">
            <v>/27</v>
          </cell>
          <cell r="N1233">
            <v>810</v>
          </cell>
          <cell r="O1233" t="str">
            <v>10.186.22.84</v>
          </cell>
          <cell r="P1233" t="str">
            <v>10.186.22.65</v>
          </cell>
          <cell r="Q1233" t="str">
            <v>/27</v>
          </cell>
          <cell r="R1233">
            <v>820</v>
          </cell>
        </row>
        <row r="1234">
          <cell r="E1234" t="str">
            <v>AC183</v>
          </cell>
          <cell r="F1234" t="str">
            <v>AC730</v>
          </cell>
          <cell r="G1234" t="str">
            <v>10.186.21.21</v>
          </cell>
          <cell r="H1234" t="str">
            <v>10.186.21.1</v>
          </cell>
          <cell r="I1234" t="str">
            <v>/27</v>
          </cell>
          <cell r="J1234">
            <v>800</v>
          </cell>
          <cell r="K1234" t="str">
            <v>10.186.21.181</v>
          </cell>
          <cell r="L1234" t="str">
            <v>10.186.21.161</v>
          </cell>
          <cell r="M1234" t="str">
            <v>/27</v>
          </cell>
          <cell r="N1234">
            <v>810</v>
          </cell>
          <cell r="O1234" t="str">
            <v>10.186.22.85</v>
          </cell>
          <cell r="P1234" t="str">
            <v>10.186.22.65</v>
          </cell>
          <cell r="Q1234" t="str">
            <v>/27</v>
          </cell>
          <cell r="R1234">
            <v>820</v>
          </cell>
        </row>
        <row r="1235">
          <cell r="E1235" t="str">
            <v>AC183</v>
          </cell>
          <cell r="F1235" t="str">
            <v>ET395</v>
          </cell>
          <cell r="G1235" t="str">
            <v>10.186.21.22</v>
          </cell>
          <cell r="H1235" t="str">
            <v>10.186.21.1</v>
          </cell>
          <cell r="I1235" t="str">
            <v>/27</v>
          </cell>
          <cell r="J1235">
            <v>800</v>
          </cell>
          <cell r="K1235" t="str">
            <v>10.186.21.182</v>
          </cell>
          <cell r="L1235" t="str">
            <v>10.186.21.161</v>
          </cell>
          <cell r="M1235" t="str">
            <v>/27</v>
          </cell>
          <cell r="N1235">
            <v>810</v>
          </cell>
          <cell r="O1235" t="str">
            <v>10.186.22.86</v>
          </cell>
          <cell r="P1235" t="str">
            <v>10.186.22.65</v>
          </cell>
          <cell r="Q1235" t="str">
            <v>/27</v>
          </cell>
          <cell r="R1235">
            <v>820</v>
          </cell>
        </row>
        <row r="1236">
          <cell r="E1236" t="str">
            <v>AC183</v>
          </cell>
          <cell r="F1236" t="str">
            <v>ET812</v>
          </cell>
          <cell r="G1236" t="str">
            <v>10.186.21.23</v>
          </cell>
          <cell r="H1236" t="str">
            <v>10.186.21.1</v>
          </cell>
          <cell r="I1236" t="str">
            <v>/27</v>
          </cell>
          <cell r="J1236">
            <v>800</v>
          </cell>
          <cell r="K1236" t="str">
            <v>10.186.21.183</v>
          </cell>
          <cell r="L1236" t="str">
            <v>10.186.21.161</v>
          </cell>
          <cell r="M1236" t="str">
            <v>/27</v>
          </cell>
          <cell r="N1236">
            <v>810</v>
          </cell>
          <cell r="O1236" t="str">
            <v>10.186.22.87</v>
          </cell>
          <cell r="P1236" t="str">
            <v>10.186.22.65</v>
          </cell>
          <cell r="Q1236" t="str">
            <v>/27</v>
          </cell>
          <cell r="R1236">
            <v>820</v>
          </cell>
        </row>
        <row r="1237">
          <cell r="E1237" t="str">
            <v>AC183</v>
          </cell>
          <cell r="F1237" t="str">
            <v>ET349</v>
          </cell>
          <cell r="G1237" t="str">
            <v>10.186.21.24</v>
          </cell>
          <cell r="H1237" t="str">
            <v>10.186.21.1</v>
          </cell>
          <cell r="I1237" t="str">
            <v>/27</v>
          </cell>
          <cell r="J1237">
            <v>800</v>
          </cell>
          <cell r="K1237" t="str">
            <v>10.186.21.184</v>
          </cell>
          <cell r="L1237" t="str">
            <v>10.186.21.161</v>
          </cell>
          <cell r="M1237" t="str">
            <v>/27</v>
          </cell>
          <cell r="N1237">
            <v>810</v>
          </cell>
          <cell r="O1237" t="str">
            <v>10.186.22.88</v>
          </cell>
          <cell r="P1237" t="str">
            <v>10.186.22.65</v>
          </cell>
          <cell r="Q1237" t="str">
            <v>/27</v>
          </cell>
          <cell r="R1237">
            <v>820</v>
          </cell>
        </row>
        <row r="1238">
          <cell r="E1238" t="str">
            <v>AC183</v>
          </cell>
          <cell r="F1238" t="str">
            <v>ET395</v>
          </cell>
          <cell r="G1238" t="str">
            <v>10.186.21.25</v>
          </cell>
          <cell r="H1238" t="str">
            <v>10.186.21.1</v>
          </cell>
          <cell r="I1238" t="str">
            <v>/27</v>
          </cell>
          <cell r="J1238">
            <v>800</v>
          </cell>
          <cell r="K1238" t="str">
            <v>10.186.21.185</v>
          </cell>
          <cell r="L1238" t="str">
            <v>10.186.21.161</v>
          </cell>
          <cell r="M1238" t="str">
            <v>/27</v>
          </cell>
          <cell r="N1238">
            <v>810</v>
          </cell>
          <cell r="O1238" t="str">
            <v>10.186.22.89</v>
          </cell>
          <cell r="P1238" t="str">
            <v>10.186.22.65</v>
          </cell>
          <cell r="Q1238" t="str">
            <v>/27</v>
          </cell>
          <cell r="R1238">
            <v>820</v>
          </cell>
        </row>
        <row r="1239">
          <cell r="E1239" t="str">
            <v>AC183</v>
          </cell>
          <cell r="F1239" t="str">
            <v>AC730</v>
          </cell>
          <cell r="G1239" t="str">
            <v>10.186.21.26</v>
          </cell>
          <cell r="H1239" t="str">
            <v>10.186.21.1</v>
          </cell>
          <cell r="I1239" t="str">
            <v>/27</v>
          </cell>
          <cell r="J1239">
            <v>800</v>
          </cell>
          <cell r="K1239" t="str">
            <v>10.186.21.186</v>
          </cell>
          <cell r="L1239" t="str">
            <v>10.186.21.161</v>
          </cell>
          <cell r="M1239" t="str">
            <v>/27</v>
          </cell>
          <cell r="N1239">
            <v>810</v>
          </cell>
          <cell r="O1239" t="str">
            <v>10.186.22.90</v>
          </cell>
          <cell r="P1239" t="str">
            <v>10.186.22.65</v>
          </cell>
          <cell r="Q1239" t="str">
            <v>/27</v>
          </cell>
          <cell r="R1239">
            <v>820</v>
          </cell>
        </row>
        <row r="1240">
          <cell r="E1240" t="str">
            <v>AC183</v>
          </cell>
          <cell r="F1240" t="str">
            <v>AC746</v>
          </cell>
          <cell r="G1240" t="str">
            <v>10.186.21.27</v>
          </cell>
          <cell r="H1240" t="str">
            <v>10.186.21.1</v>
          </cell>
          <cell r="I1240" t="str">
            <v>/27</v>
          </cell>
          <cell r="J1240">
            <v>800</v>
          </cell>
          <cell r="K1240" t="str">
            <v>10.186.21.187</v>
          </cell>
          <cell r="L1240" t="str">
            <v>10.186.21.161</v>
          </cell>
          <cell r="M1240" t="str">
            <v>/27</v>
          </cell>
          <cell r="N1240">
            <v>810</v>
          </cell>
          <cell r="O1240" t="str">
            <v>10.186.22.91</v>
          </cell>
          <cell r="P1240" t="str">
            <v>10.186.22.65</v>
          </cell>
          <cell r="Q1240" t="str">
            <v>/27</v>
          </cell>
          <cell r="R1240">
            <v>820</v>
          </cell>
        </row>
        <row r="1241">
          <cell r="E1241" t="str">
            <v>AC183</v>
          </cell>
          <cell r="F1241" t="str">
            <v>AC746</v>
          </cell>
          <cell r="G1241" t="str">
            <v>10.186.21.28</v>
          </cell>
          <cell r="H1241" t="str">
            <v>10.186.21.1</v>
          </cell>
          <cell r="I1241" t="str">
            <v>/27</v>
          </cell>
          <cell r="J1241">
            <v>800</v>
          </cell>
          <cell r="K1241" t="str">
            <v>10.186.21.188</v>
          </cell>
          <cell r="L1241" t="str">
            <v>10.186.21.161</v>
          </cell>
          <cell r="M1241" t="str">
            <v>/27</v>
          </cell>
          <cell r="N1241">
            <v>810</v>
          </cell>
          <cell r="O1241" t="str">
            <v>10.186.22.92</v>
          </cell>
          <cell r="P1241" t="str">
            <v>10.186.22.65</v>
          </cell>
          <cell r="Q1241" t="str">
            <v>/27</v>
          </cell>
          <cell r="R1241">
            <v>820</v>
          </cell>
        </row>
        <row r="1242">
          <cell r="E1242" t="str">
            <v>AC183</v>
          </cell>
          <cell r="G1242" t="str">
            <v>10.186.21.29</v>
          </cell>
          <cell r="H1242" t="str">
            <v>10.186.21.1</v>
          </cell>
          <cell r="I1242" t="str">
            <v>/27</v>
          </cell>
          <cell r="J1242">
            <v>800</v>
          </cell>
          <cell r="K1242" t="str">
            <v>10.186.21.189</v>
          </cell>
          <cell r="L1242" t="str">
            <v>10.186.21.161</v>
          </cell>
          <cell r="M1242" t="str">
            <v>/27</v>
          </cell>
          <cell r="N1242">
            <v>810</v>
          </cell>
          <cell r="O1242" t="str">
            <v>10.186.22.93</v>
          </cell>
          <cell r="P1242" t="str">
            <v>10.186.22.65</v>
          </cell>
          <cell r="Q1242" t="str">
            <v>/27</v>
          </cell>
          <cell r="R1242">
            <v>820</v>
          </cell>
        </row>
        <row r="1243">
          <cell r="E1243" t="str">
            <v>AC183</v>
          </cell>
          <cell r="F1243" t="str">
            <v/>
          </cell>
          <cell r="G1243" t="str">
            <v>10.186.21.30</v>
          </cell>
          <cell r="H1243" t="str">
            <v>10.186.21.1</v>
          </cell>
          <cell r="I1243" t="str">
            <v>/27</v>
          </cell>
          <cell r="J1243">
            <v>800</v>
          </cell>
          <cell r="K1243" t="str">
            <v>10.186.21.190</v>
          </cell>
          <cell r="L1243" t="str">
            <v>10.186.21.161</v>
          </cell>
          <cell r="M1243" t="str">
            <v>/27</v>
          </cell>
          <cell r="N1243">
            <v>810</v>
          </cell>
          <cell r="O1243" t="str">
            <v>10.186.22.94</v>
          </cell>
          <cell r="P1243" t="str">
            <v>10.186.22.65</v>
          </cell>
          <cell r="Q1243" t="str">
            <v>/27</v>
          </cell>
          <cell r="R1243">
            <v>820</v>
          </cell>
        </row>
        <row r="1244">
          <cell r="E1244" t="str">
            <v>AC183</v>
          </cell>
          <cell r="G1244" t="str">
            <v>10.186.21.31</v>
          </cell>
          <cell r="H1244" t="str">
            <v>10.186.21.1</v>
          </cell>
          <cell r="I1244" t="str">
            <v>/27</v>
          </cell>
          <cell r="J1244">
            <v>800</v>
          </cell>
          <cell r="K1244" t="str">
            <v>10.186.21.191</v>
          </cell>
          <cell r="L1244" t="str">
            <v>10.186.21.161</v>
          </cell>
          <cell r="M1244" t="str">
            <v>/27</v>
          </cell>
          <cell r="N1244">
            <v>810</v>
          </cell>
          <cell r="O1244" t="str">
            <v>10.186.22.95</v>
          </cell>
          <cell r="P1244" t="str">
            <v>10.186.22.65</v>
          </cell>
          <cell r="Q1244" t="str">
            <v>/27</v>
          </cell>
          <cell r="R1244">
            <v>820</v>
          </cell>
        </row>
        <row r="1245">
          <cell r="E1245" t="str">
            <v>AC183</v>
          </cell>
          <cell r="G1245" t="str">
            <v>10.117.193.32</v>
          </cell>
          <cell r="H1245" t="str">
            <v>10.117.193.33</v>
          </cell>
          <cell r="I1245" t="str">
            <v>/27</v>
          </cell>
          <cell r="J1245">
            <v>807</v>
          </cell>
          <cell r="K1245" t="str">
            <v>10.117.196.32</v>
          </cell>
          <cell r="L1245" t="str">
            <v>10.117.196.33</v>
          </cell>
          <cell r="M1245" t="str">
            <v>/27</v>
          </cell>
          <cell r="N1245">
            <v>817</v>
          </cell>
          <cell r="O1245" t="str">
            <v>10.117.199.32</v>
          </cell>
          <cell r="P1245" t="str">
            <v>10.117.199.33</v>
          </cell>
          <cell r="Q1245" t="str">
            <v>/27</v>
          </cell>
          <cell r="R1245">
            <v>827</v>
          </cell>
        </row>
        <row r="1246">
          <cell r="E1246" t="str">
            <v>AC183</v>
          </cell>
          <cell r="G1246" t="str">
            <v>10.117.193.33</v>
          </cell>
          <cell r="H1246" t="str">
            <v>10.117.193.33</v>
          </cell>
          <cell r="I1246" t="str">
            <v>/27</v>
          </cell>
          <cell r="J1246">
            <v>807</v>
          </cell>
          <cell r="K1246" t="str">
            <v>10.117.196.33</v>
          </cell>
          <cell r="L1246" t="str">
            <v>10.117.196.33</v>
          </cell>
          <cell r="M1246" t="str">
            <v>/27</v>
          </cell>
          <cell r="N1246">
            <v>817</v>
          </cell>
          <cell r="O1246" t="str">
            <v>10.117.199.33</v>
          </cell>
          <cell r="P1246" t="str">
            <v>10.117.199.33</v>
          </cell>
          <cell r="Q1246" t="str">
            <v>/27</v>
          </cell>
          <cell r="R1246">
            <v>827</v>
          </cell>
        </row>
        <row r="1247">
          <cell r="E1247" t="str">
            <v>AC183</v>
          </cell>
          <cell r="F1247" t="str">
            <v/>
          </cell>
          <cell r="G1247" t="str">
            <v>10.117.193.34</v>
          </cell>
          <cell r="H1247" t="str">
            <v>10.117.193.33</v>
          </cell>
          <cell r="I1247" t="str">
            <v>/27</v>
          </cell>
          <cell r="J1247">
            <v>807</v>
          </cell>
          <cell r="K1247" t="str">
            <v>10.117.196.34</v>
          </cell>
          <cell r="L1247" t="str">
            <v>10.117.196.33</v>
          </cell>
          <cell r="M1247" t="str">
            <v>/27</v>
          </cell>
          <cell r="N1247">
            <v>817</v>
          </cell>
          <cell r="O1247" t="str">
            <v>10.117.199.34</v>
          </cell>
          <cell r="P1247" t="str">
            <v>10.117.199.33</v>
          </cell>
          <cell r="Q1247" t="str">
            <v>/27</v>
          </cell>
          <cell r="R1247">
            <v>827</v>
          </cell>
        </row>
        <row r="1248">
          <cell r="E1248" t="str">
            <v>AC183</v>
          </cell>
          <cell r="F1248" t="str">
            <v/>
          </cell>
          <cell r="G1248" t="str">
            <v>10.117.193.35</v>
          </cell>
          <cell r="H1248" t="str">
            <v>10.117.193.33</v>
          </cell>
          <cell r="I1248" t="str">
            <v>/27</v>
          </cell>
          <cell r="J1248">
            <v>807</v>
          </cell>
          <cell r="K1248" t="str">
            <v>10.117.196.35</v>
          </cell>
          <cell r="L1248" t="str">
            <v>10.117.196.33</v>
          </cell>
          <cell r="M1248" t="str">
            <v>/27</v>
          </cell>
          <cell r="N1248">
            <v>817</v>
          </cell>
          <cell r="O1248" t="str">
            <v>10.117.199.35</v>
          </cell>
          <cell r="P1248" t="str">
            <v>10.117.199.33</v>
          </cell>
          <cell r="Q1248" t="str">
            <v>/27</v>
          </cell>
          <cell r="R1248">
            <v>827</v>
          </cell>
        </row>
        <row r="1249">
          <cell r="E1249" t="str">
            <v>AC183</v>
          </cell>
          <cell r="F1249" t="str">
            <v>AC183</v>
          </cell>
          <cell r="G1249" t="str">
            <v>10.117.193.36</v>
          </cell>
          <cell r="H1249" t="str">
            <v>10.117.193.33</v>
          </cell>
          <cell r="I1249" t="str">
            <v>/27</v>
          </cell>
          <cell r="J1249">
            <v>807</v>
          </cell>
          <cell r="K1249" t="str">
            <v>10.117.196.36</v>
          </cell>
          <cell r="L1249" t="str">
            <v>10.117.196.33</v>
          </cell>
          <cell r="M1249" t="str">
            <v>/27</v>
          </cell>
          <cell r="N1249">
            <v>817</v>
          </cell>
          <cell r="O1249" t="str">
            <v>10.117.199.36</v>
          </cell>
          <cell r="P1249" t="str">
            <v>10.117.199.33</v>
          </cell>
          <cell r="Q1249" t="str">
            <v>/27</v>
          </cell>
          <cell r="R1249">
            <v>827</v>
          </cell>
        </row>
        <row r="1250">
          <cell r="E1250" t="str">
            <v>AC183</v>
          </cell>
          <cell r="G1250" t="str">
            <v>10.117.193.37</v>
          </cell>
          <cell r="H1250" t="str">
            <v>10.117.193.33</v>
          </cell>
          <cell r="I1250" t="str">
            <v>/27</v>
          </cell>
          <cell r="J1250">
            <v>807</v>
          </cell>
          <cell r="K1250" t="str">
            <v>10.117.196.37</v>
          </cell>
          <cell r="L1250" t="str">
            <v>10.117.196.33</v>
          </cell>
          <cell r="M1250" t="str">
            <v>/27</v>
          </cell>
          <cell r="N1250">
            <v>817</v>
          </cell>
          <cell r="O1250" t="str">
            <v>10.117.199.37</v>
          </cell>
          <cell r="P1250" t="str">
            <v>10.117.199.33</v>
          </cell>
          <cell r="Q1250" t="str">
            <v>/27</v>
          </cell>
          <cell r="R1250">
            <v>827</v>
          </cell>
        </row>
        <row r="1251">
          <cell r="E1251" t="str">
            <v>AC183</v>
          </cell>
          <cell r="F1251" t="str">
            <v>AC182</v>
          </cell>
          <cell r="G1251" t="str">
            <v>10.117.193.38</v>
          </cell>
          <cell r="H1251" t="str">
            <v>10.117.193.33</v>
          </cell>
          <cell r="I1251" t="str">
            <v>/27</v>
          </cell>
          <cell r="J1251">
            <v>807</v>
          </cell>
          <cell r="K1251" t="str">
            <v>10.117.196.38</v>
          </cell>
          <cell r="L1251" t="str">
            <v>10.117.196.33</v>
          </cell>
          <cell r="M1251" t="str">
            <v>/27</v>
          </cell>
          <cell r="N1251">
            <v>817</v>
          </cell>
          <cell r="O1251" t="str">
            <v>10.117.199.38</v>
          </cell>
          <cell r="P1251" t="str">
            <v>10.117.199.33</v>
          </cell>
          <cell r="Q1251" t="str">
            <v>/27</v>
          </cell>
          <cell r="R1251">
            <v>827</v>
          </cell>
        </row>
        <row r="1252">
          <cell r="E1252" t="str">
            <v>AC183</v>
          </cell>
          <cell r="G1252" t="str">
            <v>10.117.193.39</v>
          </cell>
          <cell r="H1252" t="str">
            <v>10.117.193.33</v>
          </cell>
          <cell r="I1252" t="str">
            <v>/27</v>
          </cell>
          <cell r="J1252">
            <v>807</v>
          </cell>
          <cell r="K1252" t="str">
            <v>10.117.196.39</v>
          </cell>
          <cell r="L1252" t="str">
            <v>10.117.196.33</v>
          </cell>
          <cell r="M1252" t="str">
            <v>/27</v>
          </cell>
          <cell r="N1252">
            <v>817</v>
          </cell>
          <cell r="O1252" t="str">
            <v>10.117.199.39</v>
          </cell>
          <cell r="P1252" t="str">
            <v>10.117.199.33</v>
          </cell>
          <cell r="Q1252" t="str">
            <v>/27</v>
          </cell>
          <cell r="R1252">
            <v>827</v>
          </cell>
        </row>
        <row r="1253">
          <cell r="E1253" t="str">
            <v>AC183</v>
          </cell>
          <cell r="F1253" t="str">
            <v>AC731</v>
          </cell>
          <cell r="G1253" t="str">
            <v>10.117.193.40</v>
          </cell>
          <cell r="H1253" t="str">
            <v>10.117.193.33</v>
          </cell>
          <cell r="I1253" t="str">
            <v>/27</v>
          </cell>
          <cell r="J1253">
            <v>807</v>
          </cell>
          <cell r="K1253" t="str">
            <v>10.117.196.40</v>
          </cell>
          <cell r="L1253" t="str">
            <v>10.117.196.33</v>
          </cell>
          <cell r="M1253" t="str">
            <v>/27</v>
          </cell>
          <cell r="N1253">
            <v>817</v>
          </cell>
          <cell r="O1253" t="str">
            <v>10.117.199.40</v>
          </cell>
          <cell r="P1253" t="str">
            <v>10.117.199.33</v>
          </cell>
          <cell r="Q1253" t="str">
            <v>/27</v>
          </cell>
          <cell r="R1253">
            <v>827</v>
          </cell>
        </row>
        <row r="1254">
          <cell r="E1254" t="str">
            <v>AC183</v>
          </cell>
          <cell r="F1254" t="str">
            <v>AC731</v>
          </cell>
          <cell r="G1254" t="str">
            <v>10.117.193.41</v>
          </cell>
          <cell r="H1254" t="str">
            <v>10.117.193.33</v>
          </cell>
          <cell r="I1254" t="str">
            <v>/27</v>
          </cell>
          <cell r="J1254">
            <v>807</v>
          </cell>
          <cell r="K1254" t="str">
            <v>10.117.196.41</v>
          </cell>
          <cell r="L1254" t="str">
            <v>10.117.196.33</v>
          </cell>
          <cell r="M1254" t="str">
            <v>/27</v>
          </cell>
          <cell r="N1254">
            <v>817</v>
          </cell>
          <cell r="O1254" t="str">
            <v>10.117.199.41</v>
          </cell>
          <cell r="P1254" t="str">
            <v>10.117.199.33</v>
          </cell>
          <cell r="Q1254" t="str">
            <v>/27</v>
          </cell>
          <cell r="R1254">
            <v>827</v>
          </cell>
        </row>
        <row r="1255">
          <cell r="E1255" t="str">
            <v>AC183</v>
          </cell>
          <cell r="F1255" t="str">
            <v>ET419</v>
          </cell>
          <cell r="G1255" t="str">
            <v>10.117.193.42</v>
          </cell>
          <cell r="H1255" t="str">
            <v>10.117.193.33</v>
          </cell>
          <cell r="I1255" t="str">
            <v>/27</v>
          </cell>
          <cell r="J1255">
            <v>807</v>
          </cell>
          <cell r="K1255" t="str">
            <v>10.117.196.42</v>
          </cell>
          <cell r="L1255" t="str">
            <v>10.117.196.33</v>
          </cell>
          <cell r="M1255" t="str">
            <v>/27</v>
          </cell>
          <cell r="N1255">
            <v>817</v>
          </cell>
          <cell r="O1255" t="str">
            <v>10.117.199.42</v>
          </cell>
          <cell r="P1255" t="str">
            <v>10.117.199.33</v>
          </cell>
          <cell r="Q1255" t="str">
            <v>/27</v>
          </cell>
          <cell r="R1255">
            <v>827</v>
          </cell>
        </row>
        <row r="1256">
          <cell r="E1256" t="str">
            <v>AC183</v>
          </cell>
          <cell r="F1256" t="str">
            <v>ET419</v>
          </cell>
          <cell r="G1256" t="str">
            <v>10.117.193.43</v>
          </cell>
          <cell r="H1256" t="str">
            <v>10.117.193.33</v>
          </cell>
          <cell r="I1256" t="str">
            <v>/27</v>
          </cell>
          <cell r="J1256">
            <v>807</v>
          </cell>
          <cell r="K1256" t="str">
            <v>10.117.196.43</v>
          </cell>
          <cell r="L1256" t="str">
            <v>10.117.196.33</v>
          </cell>
          <cell r="M1256" t="str">
            <v>/27</v>
          </cell>
          <cell r="N1256">
            <v>817</v>
          </cell>
          <cell r="O1256" t="str">
            <v>10.117.199.43</v>
          </cell>
          <cell r="P1256" t="str">
            <v>10.117.199.33</v>
          </cell>
          <cell r="Q1256" t="str">
            <v>/27</v>
          </cell>
          <cell r="R1256">
            <v>827</v>
          </cell>
        </row>
        <row r="1257">
          <cell r="E1257" t="str">
            <v>AC183</v>
          </cell>
          <cell r="F1257" t="str">
            <v>ET094</v>
          </cell>
          <cell r="G1257" t="str">
            <v>10.117.193.44</v>
          </cell>
          <cell r="H1257" t="str">
            <v>10.117.193.33</v>
          </cell>
          <cell r="I1257" t="str">
            <v>/27</v>
          </cell>
          <cell r="J1257">
            <v>807</v>
          </cell>
          <cell r="K1257" t="str">
            <v>10.117.196.44</v>
          </cell>
          <cell r="L1257" t="str">
            <v>10.117.196.33</v>
          </cell>
          <cell r="M1257" t="str">
            <v>/27</v>
          </cell>
          <cell r="N1257">
            <v>817</v>
          </cell>
          <cell r="O1257" t="str">
            <v>10.117.199.44</v>
          </cell>
          <cell r="P1257" t="str">
            <v>10.117.199.33</v>
          </cell>
          <cell r="Q1257" t="str">
            <v>/27</v>
          </cell>
          <cell r="R1257">
            <v>827</v>
          </cell>
        </row>
        <row r="1258">
          <cell r="E1258" t="str">
            <v>AC183</v>
          </cell>
          <cell r="F1258" t="str">
            <v>ET094</v>
          </cell>
          <cell r="G1258" t="str">
            <v>10.117.193.45</v>
          </cell>
          <cell r="H1258" t="str">
            <v>10.117.193.33</v>
          </cell>
          <cell r="I1258" t="str">
            <v>/27</v>
          </cell>
          <cell r="J1258">
            <v>807</v>
          </cell>
          <cell r="K1258" t="str">
            <v>10.117.196.45</v>
          </cell>
          <cell r="L1258" t="str">
            <v>10.117.196.33</v>
          </cell>
          <cell r="M1258" t="str">
            <v>/27</v>
          </cell>
          <cell r="N1258">
            <v>817</v>
          </cell>
          <cell r="O1258" t="str">
            <v>10.117.199.45</v>
          </cell>
          <cell r="P1258" t="str">
            <v>10.117.199.33</v>
          </cell>
          <cell r="Q1258" t="str">
            <v>/27</v>
          </cell>
          <cell r="R1258">
            <v>827</v>
          </cell>
        </row>
        <row r="1259">
          <cell r="E1259" t="str">
            <v>AC183</v>
          </cell>
          <cell r="G1259" t="str">
            <v>10.117.193.46</v>
          </cell>
          <cell r="H1259" t="str">
            <v>10.117.193.33</v>
          </cell>
          <cell r="I1259" t="str">
            <v>/27</v>
          </cell>
          <cell r="J1259">
            <v>807</v>
          </cell>
          <cell r="K1259" t="str">
            <v>10.117.196.46</v>
          </cell>
          <cell r="L1259" t="str">
            <v>10.117.196.33</v>
          </cell>
          <cell r="M1259" t="str">
            <v>/27</v>
          </cell>
          <cell r="N1259">
            <v>817</v>
          </cell>
          <cell r="O1259" t="str">
            <v>10.117.199.46</v>
          </cell>
          <cell r="P1259" t="str">
            <v>10.117.199.33</v>
          </cell>
          <cell r="Q1259" t="str">
            <v>/27</v>
          </cell>
          <cell r="R1259">
            <v>827</v>
          </cell>
        </row>
        <row r="1260">
          <cell r="E1260" t="str">
            <v>AC183</v>
          </cell>
          <cell r="G1260" t="str">
            <v>10.117.193.47</v>
          </cell>
          <cell r="H1260" t="str">
            <v>10.117.193.33</v>
          </cell>
          <cell r="I1260" t="str">
            <v>/27</v>
          </cell>
          <cell r="J1260">
            <v>807</v>
          </cell>
          <cell r="K1260" t="str">
            <v>10.117.196.47</v>
          </cell>
          <cell r="L1260" t="str">
            <v>10.117.196.33</v>
          </cell>
          <cell r="M1260" t="str">
            <v>/27</v>
          </cell>
          <cell r="N1260">
            <v>817</v>
          </cell>
          <cell r="O1260" t="str">
            <v>10.117.199.47</v>
          </cell>
          <cell r="P1260" t="str">
            <v>10.117.199.33</v>
          </cell>
          <cell r="Q1260" t="str">
            <v>/27</v>
          </cell>
          <cell r="R1260">
            <v>827</v>
          </cell>
        </row>
        <row r="1261">
          <cell r="E1261" t="str">
            <v>AC183</v>
          </cell>
          <cell r="F1261" t="str">
            <v>ET349</v>
          </cell>
          <cell r="G1261" t="str">
            <v>10.117.193.48</v>
          </cell>
          <cell r="H1261" t="str">
            <v>10.117.193.33</v>
          </cell>
          <cell r="I1261" t="str">
            <v>/27</v>
          </cell>
          <cell r="J1261">
            <v>807</v>
          </cell>
          <cell r="K1261" t="str">
            <v>10.117.196.48</v>
          </cell>
          <cell r="L1261" t="str">
            <v>10.117.196.33</v>
          </cell>
          <cell r="M1261" t="str">
            <v>/27</v>
          </cell>
          <cell r="N1261">
            <v>817</v>
          </cell>
          <cell r="O1261" t="str">
            <v>10.117.199.48</v>
          </cell>
          <cell r="P1261" t="str">
            <v>10.117.199.33</v>
          </cell>
          <cell r="Q1261" t="str">
            <v>/27</v>
          </cell>
          <cell r="R1261">
            <v>827</v>
          </cell>
        </row>
        <row r="1262">
          <cell r="E1262" t="str">
            <v>AC183</v>
          </cell>
          <cell r="F1262" t="str">
            <v/>
          </cell>
          <cell r="G1262" t="str">
            <v>10.117.193.49</v>
          </cell>
          <cell r="H1262" t="str">
            <v>10.117.193.33</v>
          </cell>
          <cell r="I1262" t="str">
            <v>/27</v>
          </cell>
          <cell r="J1262">
            <v>807</v>
          </cell>
          <cell r="K1262" t="str">
            <v>10.117.196.49</v>
          </cell>
          <cell r="L1262" t="str">
            <v>10.117.196.33</v>
          </cell>
          <cell r="M1262" t="str">
            <v>/27</v>
          </cell>
          <cell r="N1262">
            <v>817</v>
          </cell>
          <cell r="O1262" t="str">
            <v>10.117.199.49</v>
          </cell>
          <cell r="P1262" t="str">
            <v>10.117.199.33</v>
          </cell>
          <cell r="Q1262" t="str">
            <v>/27</v>
          </cell>
          <cell r="R1262">
            <v>827</v>
          </cell>
        </row>
        <row r="1263">
          <cell r="E1263" t="str">
            <v>AC183</v>
          </cell>
          <cell r="F1263" t="str">
            <v/>
          </cell>
          <cell r="G1263" t="str">
            <v>10.117.193.50</v>
          </cell>
          <cell r="H1263" t="str">
            <v>10.117.193.33</v>
          </cell>
          <cell r="I1263" t="str">
            <v>/27</v>
          </cell>
          <cell r="J1263">
            <v>807</v>
          </cell>
          <cell r="K1263" t="str">
            <v>10.117.196.50</v>
          </cell>
          <cell r="L1263" t="str">
            <v>10.117.196.33</v>
          </cell>
          <cell r="M1263" t="str">
            <v>/27</v>
          </cell>
          <cell r="N1263">
            <v>817</v>
          </cell>
          <cell r="O1263" t="str">
            <v>10.117.199.50</v>
          </cell>
          <cell r="P1263" t="str">
            <v>10.117.199.33</v>
          </cell>
          <cell r="Q1263" t="str">
            <v>/27</v>
          </cell>
          <cell r="R1263">
            <v>827</v>
          </cell>
        </row>
        <row r="1264">
          <cell r="E1264" t="str">
            <v>AC183</v>
          </cell>
          <cell r="G1264" t="str">
            <v>10.117.193.51</v>
          </cell>
          <cell r="H1264" t="str">
            <v>10.117.193.33</v>
          </cell>
          <cell r="I1264" t="str">
            <v>/27</v>
          </cell>
          <cell r="J1264">
            <v>807</v>
          </cell>
          <cell r="K1264" t="str">
            <v>10.117.196.51</v>
          </cell>
          <cell r="L1264" t="str">
            <v>10.117.196.33</v>
          </cell>
          <cell r="M1264" t="str">
            <v>/27</v>
          </cell>
          <cell r="N1264">
            <v>817</v>
          </cell>
          <cell r="O1264" t="str">
            <v>10.117.199.51</v>
          </cell>
          <cell r="P1264" t="str">
            <v>10.117.199.33</v>
          </cell>
          <cell r="Q1264" t="str">
            <v>/27</v>
          </cell>
          <cell r="R1264">
            <v>827</v>
          </cell>
        </row>
        <row r="1265">
          <cell r="E1265" t="str">
            <v>AC183</v>
          </cell>
          <cell r="F1265" t="str">
            <v/>
          </cell>
          <cell r="G1265" t="str">
            <v>10.117.193.52</v>
          </cell>
          <cell r="H1265" t="str">
            <v>10.117.193.33</v>
          </cell>
          <cell r="I1265" t="str">
            <v>/27</v>
          </cell>
          <cell r="J1265">
            <v>807</v>
          </cell>
          <cell r="K1265" t="str">
            <v>10.117.196.52</v>
          </cell>
          <cell r="L1265" t="str">
            <v>10.117.196.33</v>
          </cell>
          <cell r="M1265" t="str">
            <v>/27</v>
          </cell>
          <cell r="N1265">
            <v>817</v>
          </cell>
          <cell r="O1265" t="str">
            <v>10.117.199.52</v>
          </cell>
          <cell r="P1265" t="str">
            <v>10.117.199.33</v>
          </cell>
          <cell r="Q1265" t="str">
            <v>/27</v>
          </cell>
          <cell r="R1265">
            <v>827</v>
          </cell>
        </row>
        <row r="1266">
          <cell r="E1266" t="str">
            <v>AC183</v>
          </cell>
          <cell r="F1266" t="str">
            <v/>
          </cell>
          <cell r="G1266" t="str">
            <v>10.117.193.53</v>
          </cell>
          <cell r="H1266" t="str">
            <v>10.117.193.33</v>
          </cell>
          <cell r="I1266" t="str">
            <v>/27</v>
          </cell>
          <cell r="J1266">
            <v>807</v>
          </cell>
          <cell r="K1266" t="str">
            <v>10.117.196.53</v>
          </cell>
          <cell r="L1266" t="str">
            <v>10.117.196.33</v>
          </cell>
          <cell r="M1266" t="str">
            <v>/27</v>
          </cell>
          <cell r="N1266">
            <v>817</v>
          </cell>
          <cell r="O1266" t="str">
            <v>10.117.199.53</v>
          </cell>
          <cell r="P1266" t="str">
            <v>10.117.199.33</v>
          </cell>
          <cell r="Q1266" t="str">
            <v>/27</v>
          </cell>
          <cell r="R1266">
            <v>827</v>
          </cell>
        </row>
        <row r="1267">
          <cell r="E1267" t="str">
            <v>AC183</v>
          </cell>
          <cell r="G1267" t="str">
            <v>10.117.193.54</v>
          </cell>
          <cell r="H1267" t="str">
            <v>10.117.193.33</v>
          </cell>
          <cell r="I1267" t="str">
            <v>/27</v>
          </cell>
          <cell r="J1267">
            <v>807</v>
          </cell>
          <cell r="K1267" t="str">
            <v>10.117.196.54</v>
          </cell>
          <cell r="L1267" t="str">
            <v>10.117.196.33</v>
          </cell>
          <cell r="M1267" t="str">
            <v>/27</v>
          </cell>
          <cell r="N1267">
            <v>817</v>
          </cell>
          <cell r="O1267" t="str">
            <v>10.117.199.54</v>
          </cell>
          <cell r="P1267" t="str">
            <v>10.117.199.33</v>
          </cell>
          <cell r="Q1267" t="str">
            <v>/27</v>
          </cell>
          <cell r="R1267">
            <v>827</v>
          </cell>
        </row>
        <row r="1268">
          <cell r="E1268" t="str">
            <v>AC183</v>
          </cell>
          <cell r="G1268" t="str">
            <v>10.117.193.55</v>
          </cell>
          <cell r="H1268" t="str">
            <v>10.117.193.33</v>
          </cell>
          <cell r="I1268" t="str">
            <v>/27</v>
          </cell>
          <cell r="J1268">
            <v>807</v>
          </cell>
          <cell r="K1268" t="str">
            <v>10.117.196.55</v>
          </cell>
          <cell r="L1268" t="str">
            <v>10.117.196.33</v>
          </cell>
          <cell r="M1268" t="str">
            <v>/27</v>
          </cell>
          <cell r="N1268">
            <v>817</v>
          </cell>
          <cell r="O1268" t="str">
            <v>10.117.199.55</v>
          </cell>
          <cell r="P1268" t="str">
            <v>10.117.199.33</v>
          </cell>
          <cell r="Q1268" t="str">
            <v>/27</v>
          </cell>
          <cell r="R1268">
            <v>827</v>
          </cell>
        </row>
        <row r="1269">
          <cell r="E1269" t="str">
            <v>AC183</v>
          </cell>
          <cell r="F1269" t="str">
            <v/>
          </cell>
          <cell r="G1269" t="str">
            <v>10.117.193.56</v>
          </cell>
          <cell r="H1269" t="str">
            <v>10.117.193.33</v>
          </cell>
          <cell r="I1269" t="str">
            <v>/27</v>
          </cell>
          <cell r="J1269">
            <v>807</v>
          </cell>
          <cell r="K1269" t="str">
            <v>10.117.196.56</v>
          </cell>
          <cell r="L1269" t="str">
            <v>10.117.196.33</v>
          </cell>
          <cell r="M1269" t="str">
            <v>/27</v>
          </cell>
          <cell r="N1269">
            <v>817</v>
          </cell>
          <cell r="O1269" t="str">
            <v>10.117.199.56</v>
          </cell>
          <cell r="P1269" t="str">
            <v>10.117.199.33</v>
          </cell>
          <cell r="Q1269" t="str">
            <v>/27</v>
          </cell>
          <cell r="R1269">
            <v>827</v>
          </cell>
        </row>
        <row r="1270">
          <cell r="E1270" t="str">
            <v>AC183</v>
          </cell>
          <cell r="F1270" t="str">
            <v/>
          </cell>
          <cell r="G1270" t="str">
            <v>10.117.193.57</v>
          </cell>
          <cell r="H1270" t="str">
            <v>10.117.193.33</v>
          </cell>
          <cell r="I1270" t="str">
            <v>/27</v>
          </cell>
          <cell r="J1270">
            <v>807</v>
          </cell>
          <cell r="K1270" t="str">
            <v>10.117.196.57</v>
          </cell>
          <cell r="L1270" t="str">
            <v>10.117.196.33</v>
          </cell>
          <cell r="M1270" t="str">
            <v>/27</v>
          </cell>
          <cell r="N1270">
            <v>817</v>
          </cell>
          <cell r="O1270" t="str">
            <v>10.117.199.57</v>
          </cell>
          <cell r="P1270" t="str">
            <v>10.117.199.33</v>
          </cell>
          <cell r="Q1270" t="str">
            <v>/27</v>
          </cell>
          <cell r="R1270">
            <v>827</v>
          </cell>
        </row>
        <row r="1271">
          <cell r="E1271" t="str">
            <v>AC183</v>
          </cell>
          <cell r="F1271" t="str">
            <v/>
          </cell>
          <cell r="G1271" t="str">
            <v>10.117.193.58</v>
          </cell>
          <cell r="H1271" t="str">
            <v>10.117.193.33</v>
          </cell>
          <cell r="I1271" t="str">
            <v>/27</v>
          </cell>
          <cell r="J1271">
            <v>807</v>
          </cell>
          <cell r="K1271" t="str">
            <v>10.117.196.58</v>
          </cell>
          <cell r="L1271" t="str">
            <v>10.117.196.33</v>
          </cell>
          <cell r="M1271" t="str">
            <v>/27</v>
          </cell>
          <cell r="N1271">
            <v>817</v>
          </cell>
          <cell r="O1271" t="str">
            <v>10.117.199.58</v>
          </cell>
          <cell r="P1271" t="str">
            <v>10.117.199.33</v>
          </cell>
          <cell r="Q1271" t="str">
            <v>/27</v>
          </cell>
          <cell r="R1271">
            <v>827</v>
          </cell>
        </row>
        <row r="1272">
          <cell r="E1272" t="str">
            <v>AC183</v>
          </cell>
          <cell r="F1272" t="str">
            <v/>
          </cell>
          <cell r="G1272" t="str">
            <v>10.117.193.59</v>
          </cell>
          <cell r="H1272" t="str">
            <v>10.117.193.33</v>
          </cell>
          <cell r="I1272" t="str">
            <v>/27</v>
          </cell>
          <cell r="J1272">
            <v>807</v>
          </cell>
          <cell r="K1272" t="str">
            <v>10.117.196.59</v>
          </cell>
          <cell r="L1272" t="str">
            <v>10.117.196.33</v>
          </cell>
          <cell r="M1272" t="str">
            <v>/27</v>
          </cell>
          <cell r="N1272">
            <v>817</v>
          </cell>
          <cell r="O1272" t="str">
            <v>10.117.199.59</v>
          </cell>
          <cell r="P1272" t="str">
            <v>10.117.199.33</v>
          </cell>
          <cell r="Q1272" t="str">
            <v>/27</v>
          </cell>
          <cell r="R1272">
            <v>827</v>
          </cell>
        </row>
        <row r="1273">
          <cell r="E1273" t="str">
            <v>AC183</v>
          </cell>
          <cell r="F1273" t="str">
            <v/>
          </cell>
          <cell r="G1273" t="str">
            <v>10.117.193.60</v>
          </cell>
          <cell r="H1273" t="str">
            <v>10.117.193.33</v>
          </cell>
          <cell r="I1273" t="str">
            <v>/27</v>
          </cell>
          <cell r="J1273">
            <v>807</v>
          </cell>
          <cell r="K1273" t="str">
            <v>10.117.196.60</v>
          </cell>
          <cell r="L1273" t="str">
            <v>10.117.196.33</v>
          </cell>
          <cell r="M1273" t="str">
            <v>/27</v>
          </cell>
          <cell r="N1273">
            <v>817</v>
          </cell>
          <cell r="O1273" t="str">
            <v>10.117.199.60</v>
          </cell>
          <cell r="P1273" t="str">
            <v>10.117.199.33</v>
          </cell>
          <cell r="Q1273" t="str">
            <v>/27</v>
          </cell>
          <cell r="R1273">
            <v>827</v>
          </cell>
        </row>
        <row r="1274">
          <cell r="E1274" t="str">
            <v>AC183</v>
          </cell>
          <cell r="F1274" t="str">
            <v/>
          </cell>
          <cell r="G1274" t="str">
            <v>10.117.193.61</v>
          </cell>
          <cell r="H1274" t="str">
            <v>10.117.193.33</v>
          </cell>
          <cell r="I1274" t="str">
            <v>/27</v>
          </cell>
          <cell r="J1274">
            <v>807</v>
          </cell>
          <cell r="K1274" t="str">
            <v>10.117.196.61</v>
          </cell>
          <cell r="L1274" t="str">
            <v>10.117.196.33</v>
          </cell>
          <cell r="M1274" t="str">
            <v>/27</v>
          </cell>
          <cell r="N1274">
            <v>817</v>
          </cell>
          <cell r="O1274" t="str">
            <v>10.117.199.61</v>
          </cell>
          <cell r="P1274" t="str">
            <v>10.117.199.33</v>
          </cell>
          <cell r="Q1274" t="str">
            <v>/27</v>
          </cell>
          <cell r="R1274">
            <v>827</v>
          </cell>
        </row>
        <row r="1275">
          <cell r="E1275" t="str">
            <v>AC183</v>
          </cell>
          <cell r="F1275" t="str">
            <v>ET806</v>
          </cell>
          <cell r="G1275" t="str">
            <v>10.117.193.62</v>
          </cell>
          <cell r="H1275" t="str">
            <v>10.117.193.33</v>
          </cell>
          <cell r="I1275" t="str">
            <v>/27</v>
          </cell>
          <cell r="J1275">
            <v>807</v>
          </cell>
          <cell r="K1275" t="str">
            <v>10.117.196.62</v>
          </cell>
          <cell r="L1275" t="str">
            <v>10.117.196.33</v>
          </cell>
          <cell r="M1275" t="str">
            <v>/27</v>
          </cell>
          <cell r="N1275">
            <v>817</v>
          </cell>
          <cell r="O1275" t="str">
            <v>10.117.199.62</v>
          </cell>
          <cell r="P1275" t="str">
            <v>10.117.199.33</v>
          </cell>
          <cell r="Q1275" t="str">
            <v>/27</v>
          </cell>
          <cell r="R1275">
            <v>827</v>
          </cell>
        </row>
        <row r="1276">
          <cell r="E1276" t="str">
            <v>AC183</v>
          </cell>
          <cell r="G1276" t="str">
            <v>10.117.193.63</v>
          </cell>
          <cell r="H1276" t="str">
            <v>10.117.193.33</v>
          </cell>
          <cell r="I1276" t="str">
            <v>/27</v>
          </cell>
          <cell r="J1276">
            <v>807</v>
          </cell>
          <cell r="K1276" t="str">
            <v>10.117.196.63</v>
          </cell>
          <cell r="L1276" t="str">
            <v>10.117.196.33</v>
          </cell>
          <cell r="M1276" t="str">
            <v>/27</v>
          </cell>
          <cell r="N1276">
            <v>817</v>
          </cell>
          <cell r="O1276" t="str">
            <v>10.117.199.63</v>
          </cell>
          <cell r="P1276" t="str">
            <v>10.117.199.33</v>
          </cell>
          <cell r="Q1276" t="str">
            <v>/27</v>
          </cell>
          <cell r="R1276">
            <v>827</v>
          </cell>
        </row>
        <row r="1277">
          <cell r="E1277" t="str">
            <v>AC183</v>
          </cell>
          <cell r="G1277" t="str">
            <v>10.187.212.0</v>
          </cell>
          <cell r="H1277" t="str">
            <v>10.187.212.1</v>
          </cell>
          <cell r="I1277" t="str">
            <v>/27</v>
          </cell>
          <cell r="J1277">
            <v>806</v>
          </cell>
          <cell r="K1277" t="str">
            <v>10.187.213.0</v>
          </cell>
          <cell r="L1277" t="str">
            <v>10.187.213.1</v>
          </cell>
          <cell r="M1277" t="str">
            <v>/27</v>
          </cell>
          <cell r="N1277">
            <v>816</v>
          </cell>
          <cell r="O1277" t="str">
            <v>10.187.214.0</v>
          </cell>
          <cell r="P1277" t="str">
            <v>10.187.214.1</v>
          </cell>
          <cell r="Q1277" t="str">
            <v>/27</v>
          </cell>
          <cell r="R1277">
            <v>826</v>
          </cell>
        </row>
        <row r="1278">
          <cell r="E1278" t="str">
            <v>AC183</v>
          </cell>
          <cell r="G1278" t="str">
            <v>10.187.212.1</v>
          </cell>
          <cell r="H1278" t="str">
            <v>10.187.212.1</v>
          </cell>
          <cell r="I1278" t="str">
            <v>/27</v>
          </cell>
          <cell r="J1278">
            <v>806</v>
          </cell>
          <cell r="K1278" t="str">
            <v>10.187.213.1</v>
          </cell>
          <cell r="L1278" t="str">
            <v>10.187.213.1</v>
          </cell>
          <cell r="M1278" t="str">
            <v>/27</v>
          </cell>
          <cell r="N1278">
            <v>816</v>
          </cell>
          <cell r="O1278" t="str">
            <v>10.187.214.1</v>
          </cell>
          <cell r="P1278" t="str">
            <v>10.187.214.1</v>
          </cell>
          <cell r="Q1278" t="str">
            <v>/27</v>
          </cell>
          <cell r="R1278">
            <v>826</v>
          </cell>
        </row>
        <row r="1279">
          <cell r="E1279" t="str">
            <v>AC183</v>
          </cell>
          <cell r="G1279" t="str">
            <v>10.187.212.2</v>
          </cell>
          <cell r="H1279" t="str">
            <v>10.187.212.1</v>
          </cell>
          <cell r="I1279" t="str">
            <v>/27</v>
          </cell>
          <cell r="J1279">
            <v>806</v>
          </cell>
          <cell r="K1279" t="str">
            <v>10.187.213.2</v>
          </cell>
          <cell r="L1279" t="str">
            <v>10.187.213.1</v>
          </cell>
          <cell r="M1279" t="str">
            <v>/27</v>
          </cell>
          <cell r="N1279">
            <v>816</v>
          </cell>
          <cell r="O1279" t="str">
            <v>10.187.214.2</v>
          </cell>
          <cell r="P1279" t="str">
            <v>10.187.214.1</v>
          </cell>
          <cell r="Q1279" t="str">
            <v>/27</v>
          </cell>
          <cell r="R1279">
            <v>826</v>
          </cell>
        </row>
        <row r="1280">
          <cell r="E1280" t="str">
            <v>AC183</v>
          </cell>
          <cell r="F1280" t="str">
            <v>IM070</v>
          </cell>
          <cell r="G1280" t="str">
            <v>10.187.212.3</v>
          </cell>
          <cell r="H1280" t="str">
            <v>10.187.212.1</v>
          </cell>
          <cell r="I1280" t="str">
            <v>/27</v>
          </cell>
          <cell r="J1280">
            <v>806</v>
          </cell>
          <cell r="K1280" t="str">
            <v>10.187.213.3</v>
          </cell>
          <cell r="L1280" t="str">
            <v>10.187.213.1</v>
          </cell>
          <cell r="M1280" t="str">
            <v>/27</v>
          </cell>
          <cell r="N1280">
            <v>816</v>
          </cell>
          <cell r="O1280" t="str">
            <v>10.187.214.3</v>
          </cell>
          <cell r="P1280" t="str">
            <v>10.187.214.1</v>
          </cell>
          <cell r="Q1280" t="str">
            <v>/27</v>
          </cell>
          <cell r="R1280">
            <v>826</v>
          </cell>
        </row>
        <row r="1281">
          <cell r="E1281" t="str">
            <v>AC183</v>
          </cell>
          <cell r="F1281" t="str">
            <v>IM070</v>
          </cell>
          <cell r="G1281" t="str">
            <v>10.187.212.4</v>
          </cell>
          <cell r="H1281" t="str">
            <v>10.187.212.1</v>
          </cell>
          <cell r="I1281" t="str">
            <v>/27</v>
          </cell>
          <cell r="J1281">
            <v>806</v>
          </cell>
          <cell r="K1281" t="str">
            <v>10.187.213.4</v>
          </cell>
          <cell r="L1281" t="str">
            <v>10.187.213.1</v>
          </cell>
          <cell r="M1281" t="str">
            <v>/27</v>
          </cell>
          <cell r="N1281">
            <v>816</v>
          </cell>
          <cell r="O1281" t="str">
            <v>10.187.214.4</v>
          </cell>
          <cell r="P1281" t="str">
            <v>10.187.214.1</v>
          </cell>
          <cell r="Q1281" t="str">
            <v>/27</v>
          </cell>
          <cell r="R1281">
            <v>826</v>
          </cell>
        </row>
        <row r="1282">
          <cell r="E1282" t="str">
            <v>AC183</v>
          </cell>
          <cell r="F1282" t="str">
            <v/>
          </cell>
          <cell r="G1282" t="str">
            <v>10.187.212.5</v>
          </cell>
          <cell r="H1282" t="str">
            <v>10.187.212.1</v>
          </cell>
          <cell r="I1282" t="str">
            <v>/27</v>
          </cell>
          <cell r="J1282">
            <v>806</v>
          </cell>
          <cell r="K1282" t="str">
            <v>10.187.213.5</v>
          </cell>
          <cell r="L1282" t="str">
            <v>10.187.213.1</v>
          </cell>
          <cell r="M1282" t="str">
            <v>/27</v>
          </cell>
          <cell r="N1282">
            <v>816</v>
          </cell>
          <cell r="O1282" t="str">
            <v>10.187.214.5</v>
          </cell>
          <cell r="P1282" t="str">
            <v>10.187.214.1</v>
          </cell>
          <cell r="Q1282" t="str">
            <v>/27</v>
          </cell>
          <cell r="R1282">
            <v>826</v>
          </cell>
        </row>
        <row r="1283">
          <cell r="E1283" t="str">
            <v>AC183</v>
          </cell>
          <cell r="F1283" t="str">
            <v/>
          </cell>
          <cell r="G1283" t="str">
            <v>10.187.212.6</v>
          </cell>
          <cell r="H1283" t="str">
            <v>10.187.212.1</v>
          </cell>
          <cell r="I1283" t="str">
            <v>/27</v>
          </cell>
          <cell r="J1283">
            <v>806</v>
          </cell>
          <cell r="K1283" t="str">
            <v>10.187.213.6</v>
          </cell>
          <cell r="L1283" t="str">
            <v>10.187.213.1</v>
          </cell>
          <cell r="M1283" t="str">
            <v>/27</v>
          </cell>
          <cell r="N1283">
            <v>816</v>
          </cell>
          <cell r="O1283" t="str">
            <v>10.187.214.6</v>
          </cell>
          <cell r="P1283" t="str">
            <v>10.187.214.1</v>
          </cell>
          <cell r="Q1283" t="str">
            <v>/27</v>
          </cell>
          <cell r="R1283">
            <v>826</v>
          </cell>
        </row>
        <row r="1284">
          <cell r="E1284" t="str">
            <v>AC183</v>
          </cell>
          <cell r="F1284" t="str">
            <v/>
          </cell>
          <cell r="G1284" t="str">
            <v>10.187.212.7</v>
          </cell>
          <cell r="H1284" t="str">
            <v>10.187.212.1</v>
          </cell>
          <cell r="I1284" t="str">
            <v>/27</v>
          </cell>
          <cell r="J1284">
            <v>806</v>
          </cell>
          <cell r="K1284" t="str">
            <v>10.187.213.7</v>
          </cell>
          <cell r="L1284" t="str">
            <v>10.187.213.1</v>
          </cell>
          <cell r="M1284" t="str">
            <v>/27</v>
          </cell>
          <cell r="N1284">
            <v>816</v>
          </cell>
          <cell r="O1284" t="str">
            <v>10.187.214.7</v>
          </cell>
          <cell r="P1284" t="str">
            <v>10.187.214.1</v>
          </cell>
          <cell r="Q1284" t="str">
            <v>/27</v>
          </cell>
          <cell r="R1284">
            <v>826</v>
          </cell>
        </row>
        <row r="1285">
          <cell r="E1285" t="str">
            <v>AC183</v>
          </cell>
          <cell r="F1285" t="str">
            <v>IM364</v>
          </cell>
          <cell r="G1285" t="str">
            <v>10.187.212.8</v>
          </cell>
          <cell r="H1285" t="str">
            <v>10.187.212.1</v>
          </cell>
          <cell r="I1285" t="str">
            <v>/27</v>
          </cell>
          <cell r="J1285">
            <v>806</v>
          </cell>
          <cell r="K1285" t="str">
            <v>10.187.213.8</v>
          </cell>
          <cell r="L1285" t="str">
            <v>10.187.213.1</v>
          </cell>
          <cell r="M1285" t="str">
            <v>/27</v>
          </cell>
          <cell r="N1285">
            <v>816</v>
          </cell>
          <cell r="O1285" t="str">
            <v>10.187.214.8</v>
          </cell>
          <cell r="P1285" t="str">
            <v>10.187.214.1</v>
          </cell>
          <cell r="Q1285" t="str">
            <v>/27</v>
          </cell>
          <cell r="R1285">
            <v>826</v>
          </cell>
        </row>
        <row r="1286">
          <cell r="E1286" t="str">
            <v>AC183</v>
          </cell>
          <cell r="F1286" t="str">
            <v/>
          </cell>
          <cell r="G1286" t="str">
            <v>10.187.212.9</v>
          </cell>
          <cell r="H1286" t="str">
            <v>10.187.212.1</v>
          </cell>
          <cell r="I1286" t="str">
            <v>/27</v>
          </cell>
          <cell r="J1286">
            <v>806</v>
          </cell>
          <cell r="K1286" t="str">
            <v>10.187.213.9</v>
          </cell>
          <cell r="L1286" t="str">
            <v>10.187.213.1</v>
          </cell>
          <cell r="M1286" t="str">
            <v>/27</v>
          </cell>
          <cell r="N1286">
            <v>816</v>
          </cell>
          <cell r="O1286" t="str">
            <v>10.187.214.9</v>
          </cell>
          <cell r="P1286" t="str">
            <v>10.187.214.1</v>
          </cell>
          <cell r="Q1286" t="str">
            <v>/27</v>
          </cell>
          <cell r="R1286">
            <v>826</v>
          </cell>
        </row>
        <row r="1287">
          <cell r="E1287" t="str">
            <v>AC183</v>
          </cell>
          <cell r="F1287" t="str">
            <v>IM247</v>
          </cell>
          <cell r="G1287" t="str">
            <v>10.187.212.10</v>
          </cell>
          <cell r="H1287" t="str">
            <v>10.187.212.1</v>
          </cell>
          <cell r="I1287" t="str">
            <v>/27</v>
          </cell>
          <cell r="J1287">
            <v>806</v>
          </cell>
          <cell r="K1287" t="str">
            <v>10.187.213.10</v>
          </cell>
          <cell r="L1287" t="str">
            <v>10.187.213.1</v>
          </cell>
          <cell r="M1287" t="str">
            <v>/27</v>
          </cell>
          <cell r="N1287">
            <v>816</v>
          </cell>
          <cell r="O1287" t="str">
            <v>10.187.214.10</v>
          </cell>
          <cell r="P1287" t="str">
            <v>10.187.214.1</v>
          </cell>
          <cell r="Q1287" t="str">
            <v>/27</v>
          </cell>
          <cell r="R1287">
            <v>826</v>
          </cell>
        </row>
        <row r="1288">
          <cell r="E1288" t="str">
            <v>AC183</v>
          </cell>
          <cell r="F1288" t="str">
            <v>IM247</v>
          </cell>
          <cell r="G1288" t="str">
            <v>10.187.212.11</v>
          </cell>
          <cell r="H1288" t="str">
            <v>10.187.212.1</v>
          </cell>
          <cell r="I1288" t="str">
            <v>/27</v>
          </cell>
          <cell r="J1288">
            <v>806</v>
          </cell>
          <cell r="K1288" t="str">
            <v>10.187.213.11</v>
          </cell>
          <cell r="L1288" t="str">
            <v>10.187.213.1</v>
          </cell>
          <cell r="M1288" t="str">
            <v>/27</v>
          </cell>
          <cell r="N1288">
            <v>816</v>
          </cell>
          <cell r="O1288" t="str">
            <v>10.187.214.11</v>
          </cell>
          <cell r="P1288" t="str">
            <v>10.187.214.1</v>
          </cell>
          <cell r="Q1288" t="str">
            <v>/27</v>
          </cell>
          <cell r="R1288">
            <v>826</v>
          </cell>
        </row>
        <row r="1289">
          <cell r="E1289" t="str">
            <v>AC183</v>
          </cell>
          <cell r="F1289" t="str">
            <v/>
          </cell>
          <cell r="G1289" t="str">
            <v>10.187.212.12</v>
          </cell>
          <cell r="H1289" t="str">
            <v>10.187.212.1</v>
          </cell>
          <cell r="I1289" t="str">
            <v>/27</v>
          </cell>
          <cell r="J1289">
            <v>806</v>
          </cell>
          <cell r="K1289" t="str">
            <v>10.187.213.12</v>
          </cell>
          <cell r="L1289" t="str">
            <v>10.187.213.1</v>
          </cell>
          <cell r="M1289" t="str">
            <v>/27</v>
          </cell>
          <cell r="N1289">
            <v>816</v>
          </cell>
          <cell r="O1289" t="str">
            <v>10.187.214.12</v>
          </cell>
          <cell r="P1289" t="str">
            <v>10.187.214.1</v>
          </cell>
          <cell r="Q1289" t="str">
            <v>/27</v>
          </cell>
          <cell r="R1289">
            <v>826</v>
          </cell>
        </row>
        <row r="1290">
          <cell r="E1290" t="str">
            <v>AC183</v>
          </cell>
          <cell r="F1290" t="str">
            <v/>
          </cell>
          <cell r="G1290" t="str">
            <v>10.187.212.13</v>
          </cell>
          <cell r="H1290" t="str">
            <v>10.187.212.1</v>
          </cell>
          <cell r="I1290" t="str">
            <v>/27</v>
          </cell>
          <cell r="J1290">
            <v>806</v>
          </cell>
          <cell r="K1290" t="str">
            <v>10.187.213.13</v>
          </cell>
          <cell r="L1290" t="str">
            <v>10.187.213.1</v>
          </cell>
          <cell r="M1290" t="str">
            <v>/27</v>
          </cell>
          <cell r="N1290">
            <v>816</v>
          </cell>
          <cell r="O1290" t="str">
            <v>10.187.214.13</v>
          </cell>
          <cell r="P1290" t="str">
            <v>10.187.214.1</v>
          </cell>
          <cell r="Q1290" t="str">
            <v>/27</v>
          </cell>
          <cell r="R1290">
            <v>826</v>
          </cell>
        </row>
        <row r="1291">
          <cell r="E1291" t="str">
            <v>AC183</v>
          </cell>
          <cell r="F1291" t="str">
            <v/>
          </cell>
          <cell r="G1291" t="str">
            <v>10.187.212.14</v>
          </cell>
          <cell r="H1291" t="str">
            <v>10.187.212.1</v>
          </cell>
          <cell r="I1291" t="str">
            <v>/27</v>
          </cell>
          <cell r="J1291">
            <v>806</v>
          </cell>
          <cell r="K1291" t="str">
            <v>10.187.213.14</v>
          </cell>
          <cell r="L1291" t="str">
            <v>10.187.213.1</v>
          </cell>
          <cell r="M1291" t="str">
            <v>/27</v>
          </cell>
          <cell r="N1291">
            <v>816</v>
          </cell>
          <cell r="O1291" t="str">
            <v>10.187.214.14</v>
          </cell>
          <cell r="P1291" t="str">
            <v>10.187.214.1</v>
          </cell>
          <cell r="Q1291" t="str">
            <v>/27</v>
          </cell>
          <cell r="R1291">
            <v>826</v>
          </cell>
        </row>
        <row r="1292">
          <cell r="E1292" t="str">
            <v>AC183</v>
          </cell>
          <cell r="F1292" t="str">
            <v>IM180</v>
          </cell>
          <cell r="G1292" t="str">
            <v>10.187.212.15</v>
          </cell>
          <cell r="H1292" t="str">
            <v>10.187.212.1</v>
          </cell>
          <cell r="I1292" t="str">
            <v>/27</v>
          </cell>
          <cell r="J1292">
            <v>806</v>
          </cell>
          <cell r="K1292" t="str">
            <v>10.187.213.15</v>
          </cell>
          <cell r="L1292" t="str">
            <v>10.187.213.1</v>
          </cell>
          <cell r="M1292" t="str">
            <v>/27</v>
          </cell>
          <cell r="N1292">
            <v>816</v>
          </cell>
          <cell r="O1292" t="str">
            <v>10.187.214.15</v>
          </cell>
          <cell r="P1292" t="str">
            <v>10.187.214.1</v>
          </cell>
          <cell r="Q1292" t="str">
            <v>/27</v>
          </cell>
          <cell r="R1292">
            <v>826</v>
          </cell>
        </row>
        <row r="1293">
          <cell r="E1293" t="str">
            <v>AC183</v>
          </cell>
          <cell r="F1293" t="str">
            <v>ET219</v>
          </cell>
          <cell r="G1293" t="str">
            <v>10.187.212.16</v>
          </cell>
          <cell r="H1293" t="str">
            <v>10.187.212.1</v>
          </cell>
          <cell r="I1293" t="str">
            <v>/27</v>
          </cell>
          <cell r="J1293">
            <v>806</v>
          </cell>
          <cell r="K1293" t="str">
            <v>10.187.213.16</v>
          </cell>
          <cell r="L1293" t="str">
            <v>10.187.213.1</v>
          </cell>
          <cell r="M1293" t="str">
            <v>/27</v>
          </cell>
          <cell r="N1293">
            <v>816</v>
          </cell>
          <cell r="O1293" t="str">
            <v>10.187.214.16</v>
          </cell>
          <cell r="P1293" t="str">
            <v>10.187.214.1</v>
          </cell>
          <cell r="Q1293" t="str">
            <v>/27</v>
          </cell>
          <cell r="R1293">
            <v>826</v>
          </cell>
        </row>
        <row r="1294">
          <cell r="E1294" t="str">
            <v>AC183</v>
          </cell>
          <cell r="G1294" t="str">
            <v>10.187.212.17</v>
          </cell>
          <cell r="H1294" t="str">
            <v>10.187.212.1</v>
          </cell>
          <cell r="I1294" t="str">
            <v>/27</v>
          </cell>
          <cell r="J1294">
            <v>806</v>
          </cell>
          <cell r="K1294" t="str">
            <v>10.187.213.17</v>
          </cell>
          <cell r="L1294" t="str">
            <v>10.187.213.1</v>
          </cell>
          <cell r="M1294" t="str">
            <v>/27</v>
          </cell>
          <cell r="N1294">
            <v>816</v>
          </cell>
          <cell r="O1294" t="str">
            <v>10.187.214.17</v>
          </cell>
          <cell r="P1294" t="str">
            <v>10.187.214.1</v>
          </cell>
          <cell r="Q1294" t="str">
            <v>/27</v>
          </cell>
          <cell r="R1294">
            <v>826</v>
          </cell>
        </row>
        <row r="1295">
          <cell r="E1295" t="str">
            <v>AC183</v>
          </cell>
          <cell r="G1295" t="str">
            <v>10.187.212.18</v>
          </cell>
          <cell r="H1295" t="str">
            <v>10.187.212.1</v>
          </cell>
          <cell r="I1295" t="str">
            <v>/27</v>
          </cell>
          <cell r="J1295">
            <v>806</v>
          </cell>
          <cell r="K1295" t="str">
            <v>10.187.213.18</v>
          </cell>
          <cell r="L1295" t="str">
            <v>10.187.213.1</v>
          </cell>
          <cell r="M1295" t="str">
            <v>/27</v>
          </cell>
          <cell r="N1295">
            <v>816</v>
          </cell>
          <cell r="O1295" t="str">
            <v>10.187.214.18</v>
          </cell>
          <cell r="P1295" t="str">
            <v>10.187.214.1</v>
          </cell>
          <cell r="Q1295" t="str">
            <v>/27</v>
          </cell>
          <cell r="R1295">
            <v>826</v>
          </cell>
        </row>
        <row r="1296">
          <cell r="E1296" t="str">
            <v>AC183</v>
          </cell>
          <cell r="G1296" t="str">
            <v>10.187.212.19</v>
          </cell>
          <cell r="H1296" t="str">
            <v>10.187.212.1</v>
          </cell>
          <cell r="I1296" t="str">
            <v>/27</v>
          </cell>
          <cell r="J1296">
            <v>806</v>
          </cell>
          <cell r="K1296" t="str">
            <v>10.187.213.19</v>
          </cell>
          <cell r="L1296" t="str">
            <v>10.187.213.1</v>
          </cell>
          <cell r="M1296" t="str">
            <v>/27</v>
          </cell>
          <cell r="N1296">
            <v>816</v>
          </cell>
          <cell r="O1296" t="str">
            <v>10.187.214.19</v>
          </cell>
          <cell r="P1296" t="str">
            <v>10.187.214.1</v>
          </cell>
          <cell r="Q1296" t="str">
            <v>/27</v>
          </cell>
          <cell r="R1296">
            <v>826</v>
          </cell>
        </row>
        <row r="1297">
          <cell r="E1297" t="str">
            <v>AC183</v>
          </cell>
          <cell r="G1297" t="str">
            <v>10.187.212.20</v>
          </cell>
          <cell r="H1297" t="str">
            <v>10.187.212.1</v>
          </cell>
          <cell r="I1297" t="str">
            <v>/27</v>
          </cell>
          <cell r="J1297">
            <v>806</v>
          </cell>
          <cell r="K1297" t="str">
            <v>10.187.213.20</v>
          </cell>
          <cell r="L1297" t="str">
            <v>10.187.213.1</v>
          </cell>
          <cell r="M1297" t="str">
            <v>/27</v>
          </cell>
          <cell r="N1297">
            <v>816</v>
          </cell>
          <cell r="O1297" t="str">
            <v>10.187.214.20</v>
          </cell>
          <cell r="P1297" t="str">
            <v>10.187.214.1</v>
          </cell>
          <cell r="Q1297" t="str">
            <v>/27</v>
          </cell>
          <cell r="R1297">
            <v>826</v>
          </cell>
        </row>
        <row r="1298">
          <cell r="E1298" t="str">
            <v>AC183</v>
          </cell>
          <cell r="G1298" t="str">
            <v>10.187.212.21</v>
          </cell>
          <cell r="H1298" t="str">
            <v>10.187.212.1</v>
          </cell>
          <cell r="I1298" t="str">
            <v>/27</v>
          </cell>
          <cell r="J1298">
            <v>806</v>
          </cell>
          <cell r="K1298" t="str">
            <v>10.187.213.21</v>
          </cell>
          <cell r="L1298" t="str">
            <v>10.187.213.1</v>
          </cell>
          <cell r="M1298" t="str">
            <v>/27</v>
          </cell>
          <cell r="N1298">
            <v>816</v>
          </cell>
          <cell r="O1298" t="str">
            <v>10.187.214.21</v>
          </cell>
          <cell r="P1298" t="str">
            <v>10.187.214.1</v>
          </cell>
          <cell r="Q1298" t="str">
            <v>/27</v>
          </cell>
          <cell r="R1298">
            <v>826</v>
          </cell>
        </row>
        <row r="1299">
          <cell r="E1299" t="str">
            <v>AC183</v>
          </cell>
          <cell r="G1299" t="str">
            <v>10.187.212.22</v>
          </cell>
          <cell r="H1299" t="str">
            <v>10.187.212.1</v>
          </cell>
          <cell r="I1299" t="str">
            <v>/27</v>
          </cell>
          <cell r="J1299">
            <v>806</v>
          </cell>
          <cell r="K1299" t="str">
            <v>10.187.213.22</v>
          </cell>
          <cell r="L1299" t="str">
            <v>10.187.213.1</v>
          </cell>
          <cell r="M1299" t="str">
            <v>/27</v>
          </cell>
          <cell r="N1299">
            <v>816</v>
          </cell>
          <cell r="O1299" t="str">
            <v>10.187.214.22</v>
          </cell>
          <cell r="P1299" t="str">
            <v>10.187.214.1</v>
          </cell>
          <cell r="Q1299" t="str">
            <v>/27</v>
          </cell>
          <cell r="R1299">
            <v>826</v>
          </cell>
        </row>
        <row r="1300">
          <cell r="E1300" t="str">
            <v>AC183</v>
          </cell>
          <cell r="G1300" t="str">
            <v>10.187.212.23</v>
          </cell>
          <cell r="H1300" t="str">
            <v>10.187.212.1</v>
          </cell>
          <cell r="I1300" t="str">
            <v>/27</v>
          </cell>
          <cell r="J1300">
            <v>806</v>
          </cell>
          <cell r="K1300" t="str">
            <v>10.187.213.23</v>
          </cell>
          <cell r="L1300" t="str">
            <v>10.187.213.1</v>
          </cell>
          <cell r="M1300" t="str">
            <v>/27</v>
          </cell>
          <cell r="N1300">
            <v>816</v>
          </cell>
          <cell r="O1300" t="str">
            <v>10.187.214.23</v>
          </cell>
          <cell r="P1300" t="str">
            <v>10.187.214.1</v>
          </cell>
          <cell r="Q1300" t="str">
            <v>/27</v>
          </cell>
          <cell r="R1300">
            <v>826</v>
          </cell>
        </row>
        <row r="1301">
          <cell r="E1301" t="str">
            <v>AC183</v>
          </cell>
          <cell r="G1301" t="str">
            <v>10.187.212.24</v>
          </cell>
          <cell r="H1301" t="str">
            <v>10.187.212.1</v>
          </cell>
          <cell r="I1301" t="str">
            <v>/27</v>
          </cell>
          <cell r="J1301">
            <v>806</v>
          </cell>
          <cell r="K1301" t="str">
            <v>10.187.213.24</v>
          </cell>
          <cell r="L1301" t="str">
            <v>10.187.213.1</v>
          </cell>
          <cell r="M1301" t="str">
            <v>/27</v>
          </cell>
          <cell r="N1301">
            <v>816</v>
          </cell>
          <cell r="O1301" t="str">
            <v>10.187.214.24</v>
          </cell>
          <cell r="P1301" t="str">
            <v>10.187.214.1</v>
          </cell>
          <cell r="Q1301" t="str">
            <v>/27</v>
          </cell>
          <cell r="R1301">
            <v>826</v>
          </cell>
        </row>
        <row r="1302">
          <cell r="E1302" t="str">
            <v>AC183</v>
          </cell>
          <cell r="G1302" t="str">
            <v>10.187.212.25</v>
          </cell>
          <cell r="H1302" t="str">
            <v>10.187.212.1</v>
          </cell>
          <cell r="I1302" t="str">
            <v>/27</v>
          </cell>
          <cell r="J1302">
            <v>806</v>
          </cell>
          <cell r="K1302" t="str">
            <v>10.187.213.25</v>
          </cell>
          <cell r="L1302" t="str">
            <v>10.187.213.1</v>
          </cell>
          <cell r="M1302" t="str">
            <v>/27</v>
          </cell>
          <cell r="N1302">
            <v>816</v>
          </cell>
          <cell r="O1302" t="str">
            <v>10.187.214.25</v>
          </cell>
          <cell r="P1302" t="str">
            <v>10.187.214.1</v>
          </cell>
          <cell r="Q1302" t="str">
            <v>/27</v>
          </cell>
          <cell r="R1302">
            <v>826</v>
          </cell>
        </row>
        <row r="1303">
          <cell r="E1303" t="str">
            <v>AC183</v>
          </cell>
          <cell r="G1303" t="str">
            <v>10.187.212.26</v>
          </cell>
          <cell r="H1303" t="str">
            <v>10.187.212.1</v>
          </cell>
          <cell r="I1303" t="str">
            <v>/27</v>
          </cell>
          <cell r="J1303">
            <v>806</v>
          </cell>
          <cell r="K1303" t="str">
            <v>10.187.213.26</v>
          </cell>
          <cell r="L1303" t="str">
            <v>10.187.213.1</v>
          </cell>
          <cell r="M1303" t="str">
            <v>/27</v>
          </cell>
          <cell r="N1303">
            <v>816</v>
          </cell>
          <cell r="O1303" t="str">
            <v>10.187.214.26</v>
          </cell>
          <cell r="P1303" t="str">
            <v>10.187.214.1</v>
          </cell>
          <cell r="Q1303" t="str">
            <v>/27</v>
          </cell>
          <cell r="R1303">
            <v>826</v>
          </cell>
        </row>
        <row r="1304">
          <cell r="E1304" t="str">
            <v>AC183</v>
          </cell>
          <cell r="G1304" t="str">
            <v>10.187.212.27</v>
          </cell>
          <cell r="H1304" t="str">
            <v>10.187.212.1</v>
          </cell>
          <cell r="I1304" t="str">
            <v>/27</v>
          </cell>
          <cell r="J1304">
            <v>806</v>
          </cell>
          <cell r="K1304" t="str">
            <v>10.187.213.27</v>
          </cell>
          <cell r="L1304" t="str">
            <v>10.187.213.1</v>
          </cell>
          <cell r="M1304" t="str">
            <v>/27</v>
          </cell>
          <cell r="N1304">
            <v>816</v>
          </cell>
          <cell r="O1304" t="str">
            <v>10.187.214.27</v>
          </cell>
          <cell r="P1304" t="str">
            <v>10.187.214.1</v>
          </cell>
          <cell r="Q1304" t="str">
            <v>/27</v>
          </cell>
          <cell r="R1304">
            <v>826</v>
          </cell>
        </row>
        <row r="1305">
          <cell r="E1305" t="str">
            <v>AC183</v>
          </cell>
          <cell r="G1305" t="str">
            <v>10.187.212.28</v>
          </cell>
          <cell r="H1305" t="str">
            <v>10.187.212.1</v>
          </cell>
          <cell r="I1305" t="str">
            <v>/27</v>
          </cell>
          <cell r="J1305">
            <v>806</v>
          </cell>
          <cell r="K1305" t="str">
            <v>10.187.213.28</v>
          </cell>
          <cell r="L1305" t="str">
            <v>10.187.213.1</v>
          </cell>
          <cell r="M1305" t="str">
            <v>/27</v>
          </cell>
          <cell r="N1305">
            <v>816</v>
          </cell>
          <cell r="O1305" t="str">
            <v>10.187.214.28</v>
          </cell>
          <cell r="P1305" t="str">
            <v>10.187.214.1</v>
          </cell>
          <cell r="Q1305" t="str">
            <v>/27</v>
          </cell>
          <cell r="R1305">
            <v>826</v>
          </cell>
        </row>
        <row r="1306">
          <cell r="E1306" t="str">
            <v>AC183</v>
          </cell>
          <cell r="G1306" t="str">
            <v>10.187.212.29</v>
          </cell>
          <cell r="H1306" t="str">
            <v>10.187.212.1</v>
          </cell>
          <cell r="I1306" t="str">
            <v>/27</v>
          </cell>
          <cell r="J1306">
            <v>806</v>
          </cell>
          <cell r="K1306" t="str">
            <v>10.187.213.29</v>
          </cell>
          <cell r="L1306" t="str">
            <v>10.187.213.1</v>
          </cell>
          <cell r="M1306" t="str">
            <v>/27</v>
          </cell>
          <cell r="N1306">
            <v>816</v>
          </cell>
          <cell r="O1306" t="str">
            <v>10.187.214.29</v>
          </cell>
          <cell r="P1306" t="str">
            <v>10.187.214.1</v>
          </cell>
          <cell r="Q1306" t="str">
            <v>/27</v>
          </cell>
          <cell r="R1306">
            <v>826</v>
          </cell>
        </row>
        <row r="1307">
          <cell r="E1307" t="str">
            <v>AC183</v>
          </cell>
          <cell r="G1307" t="str">
            <v>10.187.212.30</v>
          </cell>
          <cell r="H1307" t="str">
            <v>10.187.212.1</v>
          </cell>
          <cell r="I1307" t="str">
            <v>/27</v>
          </cell>
          <cell r="J1307">
            <v>806</v>
          </cell>
          <cell r="K1307" t="str">
            <v>10.187.213.30</v>
          </cell>
          <cell r="L1307" t="str">
            <v>10.187.213.1</v>
          </cell>
          <cell r="M1307" t="str">
            <v>/27</v>
          </cell>
          <cell r="N1307">
            <v>816</v>
          </cell>
          <cell r="O1307" t="str">
            <v>10.187.214.30</v>
          </cell>
          <cell r="P1307" t="str">
            <v>10.187.214.1</v>
          </cell>
          <cell r="Q1307" t="str">
            <v>/27</v>
          </cell>
          <cell r="R1307">
            <v>826</v>
          </cell>
        </row>
        <row r="1308">
          <cell r="E1308" t="str">
            <v>AC183</v>
          </cell>
          <cell r="G1308" t="str">
            <v>10.187.212.31</v>
          </cell>
          <cell r="H1308" t="str">
            <v>10.187.212.1</v>
          </cell>
          <cell r="I1308" t="str">
            <v>/27</v>
          </cell>
          <cell r="J1308">
            <v>806</v>
          </cell>
          <cell r="K1308" t="str">
            <v>10.187.213.31</v>
          </cell>
          <cell r="L1308" t="str">
            <v>10.187.213.1</v>
          </cell>
          <cell r="M1308" t="str">
            <v>/27</v>
          </cell>
          <cell r="N1308">
            <v>816</v>
          </cell>
          <cell r="O1308" t="str">
            <v>10.187.214.31</v>
          </cell>
          <cell r="P1308" t="str">
            <v>10.187.214.1</v>
          </cell>
          <cell r="Q1308" t="str">
            <v>/27</v>
          </cell>
          <cell r="R1308">
            <v>826</v>
          </cell>
        </row>
        <row r="1309">
          <cell r="E1309" t="str">
            <v>AC183</v>
          </cell>
          <cell r="G1309" t="str">
            <v>10.189.93.16</v>
          </cell>
          <cell r="H1309" t="str">
            <v>10.189.93.17</v>
          </cell>
          <cell r="I1309" t="str">
            <v>/28</v>
          </cell>
          <cell r="J1309">
            <v>2654</v>
          </cell>
          <cell r="K1309" t="str">
            <v>10.189.113.16</v>
          </cell>
          <cell r="L1309" t="str">
            <v>10.189.113.17</v>
          </cell>
          <cell r="M1309" t="str">
            <v>/28</v>
          </cell>
          <cell r="N1309">
            <v>2954</v>
          </cell>
          <cell r="O1309" t="str">
            <v>10.189.133.16</v>
          </cell>
          <cell r="P1309" t="str">
            <v>10.189.133.17</v>
          </cell>
          <cell r="Q1309" t="str">
            <v>/28</v>
          </cell>
          <cell r="R1309">
            <v>3454</v>
          </cell>
        </row>
        <row r="1310">
          <cell r="E1310" t="str">
            <v>AC183</v>
          </cell>
          <cell r="G1310" t="str">
            <v>10.189.93.17</v>
          </cell>
          <cell r="H1310" t="str">
            <v>10.189.93.17</v>
          </cell>
          <cell r="I1310" t="str">
            <v>/28</v>
          </cell>
          <cell r="J1310">
            <v>2654</v>
          </cell>
          <cell r="K1310" t="str">
            <v>10.189.113.17</v>
          </cell>
          <cell r="L1310" t="str">
            <v>10.189.113.17</v>
          </cell>
          <cell r="M1310" t="str">
            <v>/28</v>
          </cell>
          <cell r="N1310">
            <v>2954</v>
          </cell>
          <cell r="O1310" t="str">
            <v>10.189.133.17</v>
          </cell>
          <cell r="P1310" t="str">
            <v>10.189.133.17</v>
          </cell>
          <cell r="Q1310" t="str">
            <v>/28</v>
          </cell>
          <cell r="R1310">
            <v>3454</v>
          </cell>
        </row>
        <row r="1311">
          <cell r="E1311" t="str">
            <v>AC183</v>
          </cell>
          <cell r="G1311" t="str">
            <v>10.189.93.18</v>
          </cell>
          <cell r="H1311" t="str">
            <v>10.189.93.17</v>
          </cell>
          <cell r="I1311" t="str">
            <v>/28</v>
          </cell>
          <cell r="J1311">
            <v>2654</v>
          </cell>
          <cell r="K1311" t="str">
            <v>10.189.113.18</v>
          </cell>
          <cell r="L1311" t="str">
            <v>10.189.113.17</v>
          </cell>
          <cell r="M1311" t="str">
            <v>/28</v>
          </cell>
          <cell r="N1311">
            <v>2954</v>
          </cell>
          <cell r="O1311" t="str">
            <v>10.189.133.18</v>
          </cell>
          <cell r="P1311" t="str">
            <v>10.189.133.17</v>
          </cell>
          <cell r="Q1311" t="str">
            <v>/28</v>
          </cell>
          <cell r="R1311">
            <v>3454</v>
          </cell>
        </row>
        <row r="1312">
          <cell r="E1312" t="str">
            <v>AC183</v>
          </cell>
          <cell r="G1312" t="str">
            <v>10.189.93.19</v>
          </cell>
          <cell r="H1312" t="str">
            <v>10.189.93.17</v>
          </cell>
          <cell r="I1312" t="str">
            <v>/28</v>
          </cell>
          <cell r="J1312">
            <v>2654</v>
          </cell>
          <cell r="K1312" t="str">
            <v>10.189.113.19</v>
          </cell>
          <cell r="L1312" t="str">
            <v>10.189.113.17</v>
          </cell>
          <cell r="M1312" t="str">
            <v>/28</v>
          </cell>
          <cell r="N1312">
            <v>2954</v>
          </cell>
          <cell r="O1312" t="str">
            <v>10.189.133.19</v>
          </cell>
          <cell r="P1312" t="str">
            <v>10.189.133.17</v>
          </cell>
          <cell r="Q1312" t="str">
            <v>/28</v>
          </cell>
          <cell r="R1312">
            <v>3454</v>
          </cell>
        </row>
        <row r="1313">
          <cell r="E1313" t="str">
            <v>AC183</v>
          </cell>
          <cell r="G1313" t="str">
            <v>10.189.93.20</v>
          </cell>
          <cell r="H1313" t="str">
            <v>10.189.93.17</v>
          </cell>
          <cell r="I1313" t="str">
            <v>/28</v>
          </cell>
          <cell r="J1313">
            <v>2654</v>
          </cell>
          <cell r="K1313" t="str">
            <v>10.189.113.20</v>
          </cell>
          <cell r="L1313" t="str">
            <v>10.189.113.17</v>
          </cell>
          <cell r="M1313" t="str">
            <v>/28</v>
          </cell>
          <cell r="N1313">
            <v>2954</v>
          </cell>
          <cell r="O1313" t="str">
            <v>10.189.133.20</v>
          </cell>
          <cell r="P1313" t="str">
            <v>10.189.133.17</v>
          </cell>
          <cell r="Q1313" t="str">
            <v>/28</v>
          </cell>
          <cell r="R1313">
            <v>3454</v>
          </cell>
        </row>
        <row r="1314">
          <cell r="E1314" t="str">
            <v>AC183</v>
          </cell>
          <cell r="G1314" t="str">
            <v>10.189.93.21</v>
          </cell>
          <cell r="H1314" t="str">
            <v>10.189.93.17</v>
          </cell>
          <cell r="I1314" t="str">
            <v>/28</v>
          </cell>
          <cell r="J1314">
            <v>2654</v>
          </cell>
          <cell r="K1314" t="str">
            <v>10.189.113.21</v>
          </cell>
          <cell r="L1314" t="str">
            <v>10.189.113.17</v>
          </cell>
          <cell r="M1314" t="str">
            <v>/28</v>
          </cell>
          <cell r="N1314">
            <v>2954</v>
          </cell>
          <cell r="O1314" t="str">
            <v>10.189.133.21</v>
          </cell>
          <cell r="P1314" t="str">
            <v>10.189.133.17</v>
          </cell>
          <cell r="Q1314" t="str">
            <v>/28</v>
          </cell>
          <cell r="R1314">
            <v>3454</v>
          </cell>
        </row>
        <row r="1315">
          <cell r="E1315" t="str">
            <v>AC183</v>
          </cell>
          <cell r="G1315" t="str">
            <v>10.189.93.22</v>
          </cell>
          <cell r="H1315" t="str">
            <v>10.189.93.17</v>
          </cell>
          <cell r="I1315" t="str">
            <v>/28</v>
          </cell>
          <cell r="J1315">
            <v>2654</v>
          </cell>
          <cell r="K1315" t="str">
            <v>10.189.113.22</v>
          </cell>
          <cell r="L1315" t="str">
            <v>10.189.113.17</v>
          </cell>
          <cell r="M1315" t="str">
            <v>/28</v>
          </cell>
          <cell r="N1315">
            <v>2954</v>
          </cell>
          <cell r="O1315" t="str">
            <v>10.189.133.22</v>
          </cell>
          <cell r="P1315" t="str">
            <v>10.189.133.17</v>
          </cell>
          <cell r="Q1315" t="str">
            <v>/28</v>
          </cell>
          <cell r="R1315">
            <v>3454</v>
          </cell>
        </row>
        <row r="1316">
          <cell r="E1316" t="str">
            <v>AC183</v>
          </cell>
          <cell r="G1316" t="str">
            <v>10.189.93.23</v>
          </cell>
          <cell r="H1316" t="str">
            <v>10.189.93.17</v>
          </cell>
          <cell r="I1316" t="str">
            <v>/28</v>
          </cell>
          <cell r="J1316">
            <v>2654</v>
          </cell>
          <cell r="K1316" t="str">
            <v>10.189.113.23</v>
          </cell>
          <cell r="L1316" t="str">
            <v>10.189.113.17</v>
          </cell>
          <cell r="M1316" t="str">
            <v>/28</v>
          </cell>
          <cell r="N1316">
            <v>2954</v>
          </cell>
          <cell r="O1316" t="str">
            <v>10.189.133.23</v>
          </cell>
          <cell r="P1316" t="str">
            <v>10.189.133.17</v>
          </cell>
          <cell r="Q1316" t="str">
            <v>/28</v>
          </cell>
          <cell r="R1316">
            <v>3454</v>
          </cell>
        </row>
        <row r="1317">
          <cell r="E1317" t="str">
            <v>AC183</v>
          </cell>
          <cell r="G1317" t="str">
            <v>10.189.93.24</v>
          </cell>
          <cell r="H1317" t="str">
            <v>10.189.93.17</v>
          </cell>
          <cell r="I1317" t="str">
            <v>/28</v>
          </cell>
          <cell r="J1317">
            <v>2654</v>
          </cell>
          <cell r="K1317" t="str">
            <v>10.189.113.24</v>
          </cell>
          <cell r="L1317" t="str">
            <v>10.189.113.17</v>
          </cell>
          <cell r="M1317" t="str">
            <v>/28</v>
          </cell>
          <cell r="N1317">
            <v>2954</v>
          </cell>
          <cell r="O1317" t="str">
            <v>10.189.133.24</v>
          </cell>
          <cell r="P1317" t="str">
            <v>10.189.133.17</v>
          </cell>
          <cell r="Q1317" t="str">
            <v>/28</v>
          </cell>
          <cell r="R1317">
            <v>3454</v>
          </cell>
        </row>
        <row r="1318">
          <cell r="E1318" t="str">
            <v>AC183</v>
          </cell>
          <cell r="G1318" t="str">
            <v>10.189.93.25</v>
          </cell>
          <cell r="H1318" t="str">
            <v>10.189.93.17</v>
          </cell>
          <cell r="I1318" t="str">
            <v>/28</v>
          </cell>
          <cell r="J1318">
            <v>2654</v>
          </cell>
          <cell r="K1318" t="str">
            <v>10.189.113.25</v>
          </cell>
          <cell r="L1318" t="str">
            <v>10.189.113.17</v>
          </cell>
          <cell r="M1318" t="str">
            <v>/28</v>
          </cell>
          <cell r="N1318">
            <v>2954</v>
          </cell>
          <cell r="O1318" t="str">
            <v>10.189.133.25</v>
          </cell>
          <cell r="P1318" t="str">
            <v>10.189.133.17</v>
          </cell>
          <cell r="Q1318" t="str">
            <v>/28</v>
          </cell>
          <cell r="R1318">
            <v>3454</v>
          </cell>
        </row>
        <row r="1319">
          <cell r="E1319" t="str">
            <v>AC183</v>
          </cell>
          <cell r="G1319" t="str">
            <v>10.189.93.26</v>
          </cell>
          <cell r="H1319" t="str">
            <v>10.189.93.17</v>
          </cell>
          <cell r="I1319" t="str">
            <v>/28</v>
          </cell>
          <cell r="J1319">
            <v>2654</v>
          </cell>
          <cell r="K1319" t="str">
            <v>10.189.113.26</v>
          </cell>
          <cell r="L1319" t="str">
            <v>10.189.113.17</v>
          </cell>
          <cell r="M1319" t="str">
            <v>/28</v>
          </cell>
          <cell r="N1319">
            <v>2954</v>
          </cell>
          <cell r="O1319" t="str">
            <v>10.189.133.26</v>
          </cell>
          <cell r="P1319" t="str">
            <v>10.189.133.17</v>
          </cell>
          <cell r="Q1319" t="str">
            <v>/28</v>
          </cell>
          <cell r="R1319">
            <v>3454</v>
          </cell>
        </row>
        <row r="1320">
          <cell r="E1320" t="str">
            <v>AC183</v>
          </cell>
          <cell r="G1320" t="str">
            <v>10.189.93.27</v>
          </cell>
          <cell r="H1320" t="str">
            <v>10.189.93.17</v>
          </cell>
          <cell r="I1320" t="str">
            <v>/28</v>
          </cell>
          <cell r="J1320">
            <v>2654</v>
          </cell>
          <cell r="K1320" t="str">
            <v>10.189.113.27</v>
          </cell>
          <cell r="L1320" t="str">
            <v>10.189.113.17</v>
          </cell>
          <cell r="M1320" t="str">
            <v>/28</v>
          </cell>
          <cell r="N1320">
            <v>2954</v>
          </cell>
          <cell r="O1320" t="str">
            <v>10.189.133.27</v>
          </cell>
          <cell r="P1320" t="str">
            <v>10.189.133.17</v>
          </cell>
          <cell r="Q1320" t="str">
            <v>/28</v>
          </cell>
          <cell r="R1320">
            <v>3454</v>
          </cell>
        </row>
        <row r="1321">
          <cell r="E1321" t="str">
            <v>AC183</v>
          </cell>
          <cell r="G1321" t="str">
            <v>10.189.93.28</v>
          </cell>
          <cell r="H1321" t="str">
            <v>10.189.93.17</v>
          </cell>
          <cell r="I1321" t="str">
            <v>/28</v>
          </cell>
          <cell r="J1321">
            <v>2654</v>
          </cell>
          <cell r="K1321" t="str">
            <v>10.189.113.28</v>
          </cell>
          <cell r="L1321" t="str">
            <v>10.189.113.17</v>
          </cell>
          <cell r="M1321" t="str">
            <v>/28</v>
          </cell>
          <cell r="N1321">
            <v>2954</v>
          </cell>
          <cell r="O1321" t="str">
            <v>10.189.133.28</v>
          </cell>
          <cell r="P1321" t="str">
            <v>10.189.133.17</v>
          </cell>
          <cell r="Q1321" t="str">
            <v>/28</v>
          </cell>
          <cell r="R1321">
            <v>3454</v>
          </cell>
        </row>
        <row r="1322">
          <cell r="E1322" t="str">
            <v>AC183</v>
          </cell>
          <cell r="G1322" t="str">
            <v>10.189.93.29</v>
          </cell>
          <cell r="H1322" t="str">
            <v>10.189.93.17</v>
          </cell>
          <cell r="I1322" t="str">
            <v>/28</v>
          </cell>
          <cell r="J1322">
            <v>2654</v>
          </cell>
          <cell r="K1322" t="str">
            <v>10.189.113.29</v>
          </cell>
          <cell r="L1322" t="str">
            <v>10.189.113.17</v>
          </cell>
          <cell r="M1322" t="str">
            <v>/28</v>
          </cell>
          <cell r="N1322">
            <v>2954</v>
          </cell>
          <cell r="O1322" t="str">
            <v>10.189.133.29</v>
          </cell>
          <cell r="P1322" t="str">
            <v>10.189.133.17</v>
          </cell>
          <cell r="Q1322" t="str">
            <v>/28</v>
          </cell>
          <cell r="R1322">
            <v>3454</v>
          </cell>
        </row>
        <row r="1323">
          <cell r="E1323" t="str">
            <v>AC183</v>
          </cell>
          <cell r="G1323" t="str">
            <v>10.189.93.30</v>
          </cell>
          <cell r="H1323" t="str">
            <v>10.189.93.17</v>
          </cell>
          <cell r="I1323" t="str">
            <v>/28</v>
          </cell>
          <cell r="J1323">
            <v>2654</v>
          </cell>
          <cell r="K1323" t="str">
            <v>10.189.113.30</v>
          </cell>
          <cell r="L1323" t="str">
            <v>10.189.113.17</v>
          </cell>
          <cell r="M1323" t="str">
            <v>/28</v>
          </cell>
          <cell r="N1323">
            <v>2954</v>
          </cell>
          <cell r="O1323" t="str">
            <v>10.189.133.30</v>
          </cell>
          <cell r="P1323" t="str">
            <v>10.189.133.17</v>
          </cell>
          <cell r="Q1323" t="str">
            <v>/28</v>
          </cell>
          <cell r="R1323">
            <v>3454</v>
          </cell>
        </row>
        <row r="1324">
          <cell r="E1324" t="str">
            <v>AC183</v>
          </cell>
          <cell r="G1324" t="str">
            <v>10.189.93.31</v>
          </cell>
          <cell r="H1324" t="str">
            <v>10.189.93.17</v>
          </cell>
          <cell r="I1324" t="str">
            <v>/28</v>
          </cell>
          <cell r="J1324">
            <v>2654</v>
          </cell>
          <cell r="K1324" t="str">
            <v>10.189.113.31</v>
          </cell>
          <cell r="L1324" t="str">
            <v>10.189.113.17</v>
          </cell>
          <cell r="M1324" t="str">
            <v>/28</v>
          </cell>
          <cell r="N1324">
            <v>2954</v>
          </cell>
          <cell r="O1324" t="str">
            <v>10.189.133.31</v>
          </cell>
          <cell r="P1324" t="str">
            <v>10.189.133.17</v>
          </cell>
          <cell r="Q1324" t="str">
            <v>/28</v>
          </cell>
          <cell r="R1324">
            <v>3454</v>
          </cell>
        </row>
        <row r="1325">
          <cell r="E1325" t="str">
            <v>AC555</v>
          </cell>
          <cell r="G1325" t="str">
            <v>10.117.192.96</v>
          </cell>
          <cell r="H1325" t="str">
            <v>10.117.192.97</v>
          </cell>
          <cell r="I1325" t="str">
            <v>/27</v>
          </cell>
          <cell r="J1325">
            <v>803</v>
          </cell>
          <cell r="K1325" t="str">
            <v>10.117.195.96</v>
          </cell>
          <cell r="L1325" t="str">
            <v>10.117.195.97</v>
          </cell>
          <cell r="M1325" t="str">
            <v>/27</v>
          </cell>
          <cell r="N1325">
            <v>813</v>
          </cell>
          <cell r="O1325" t="str">
            <v>10.117.198.96</v>
          </cell>
          <cell r="P1325" t="str">
            <v>10.117.198.97</v>
          </cell>
          <cell r="Q1325" t="str">
            <v>/27</v>
          </cell>
          <cell r="R1325">
            <v>823</v>
          </cell>
        </row>
        <row r="1326">
          <cell r="E1326" t="str">
            <v>AC555</v>
          </cell>
          <cell r="G1326" t="str">
            <v>10.117.192.97</v>
          </cell>
          <cell r="H1326" t="str">
            <v>10.117.192.97</v>
          </cell>
          <cell r="I1326" t="str">
            <v>/27</v>
          </cell>
          <cell r="J1326">
            <v>803</v>
          </cell>
          <cell r="K1326" t="str">
            <v>10.117.195.97</v>
          </cell>
          <cell r="L1326" t="str">
            <v>10.117.195.97</v>
          </cell>
          <cell r="M1326" t="str">
            <v>/27</v>
          </cell>
          <cell r="N1326">
            <v>813</v>
          </cell>
          <cell r="O1326" t="str">
            <v>10.117.198.97</v>
          </cell>
          <cell r="P1326" t="str">
            <v>10.117.198.97</v>
          </cell>
          <cell r="Q1326" t="str">
            <v>/27</v>
          </cell>
          <cell r="R1326">
            <v>823</v>
          </cell>
        </row>
        <row r="1327">
          <cell r="E1327" t="str">
            <v>AC555</v>
          </cell>
          <cell r="G1327" t="str">
            <v>10.117.192.98</v>
          </cell>
          <cell r="H1327" t="str">
            <v>10.117.192.97</v>
          </cell>
          <cell r="I1327" t="str">
            <v>/27</v>
          </cell>
          <cell r="J1327">
            <v>803</v>
          </cell>
          <cell r="K1327" t="str">
            <v>10.117.195.98</v>
          </cell>
          <cell r="L1327" t="str">
            <v>10.117.195.97</v>
          </cell>
          <cell r="M1327" t="str">
            <v>/27</v>
          </cell>
          <cell r="N1327">
            <v>813</v>
          </cell>
          <cell r="O1327" t="str">
            <v>10.117.198.98</v>
          </cell>
          <cell r="P1327" t="str">
            <v>10.117.198.97</v>
          </cell>
          <cell r="Q1327" t="str">
            <v>/27</v>
          </cell>
          <cell r="R1327">
            <v>823</v>
          </cell>
        </row>
        <row r="1328">
          <cell r="E1328" t="str">
            <v>AC555</v>
          </cell>
          <cell r="G1328" t="str">
            <v>10.117.192.99</v>
          </cell>
          <cell r="H1328" t="str">
            <v>10.117.192.97</v>
          </cell>
          <cell r="I1328" t="str">
            <v>/27</v>
          </cell>
          <cell r="J1328">
            <v>803</v>
          </cell>
          <cell r="K1328" t="str">
            <v>10.117.195.99</v>
          </cell>
          <cell r="L1328" t="str">
            <v>10.117.195.97</v>
          </cell>
          <cell r="M1328" t="str">
            <v>/27</v>
          </cell>
          <cell r="N1328">
            <v>813</v>
          </cell>
          <cell r="O1328" t="str">
            <v>10.117.198.99</v>
          </cell>
          <cell r="P1328" t="str">
            <v>10.117.198.97</v>
          </cell>
          <cell r="Q1328" t="str">
            <v>/27</v>
          </cell>
          <cell r="R1328">
            <v>823</v>
          </cell>
        </row>
        <row r="1329">
          <cell r="E1329" t="str">
            <v>AC555</v>
          </cell>
          <cell r="F1329" t="str">
            <v>AC555</v>
          </cell>
          <cell r="G1329" t="str">
            <v>10.117.192.100</v>
          </cell>
          <cell r="H1329" t="str">
            <v>10.117.192.97</v>
          </cell>
          <cell r="I1329" t="str">
            <v>/27</v>
          </cell>
          <cell r="J1329">
            <v>803</v>
          </cell>
          <cell r="K1329" t="str">
            <v>10.117.195.100</v>
          </cell>
          <cell r="L1329" t="str">
            <v>10.117.195.97</v>
          </cell>
          <cell r="M1329" t="str">
            <v>/27</v>
          </cell>
          <cell r="N1329">
            <v>813</v>
          </cell>
          <cell r="O1329" t="str">
            <v>10.117.198.100</v>
          </cell>
          <cell r="P1329" t="str">
            <v>10.117.198.97</v>
          </cell>
          <cell r="Q1329" t="str">
            <v>/27</v>
          </cell>
          <cell r="R1329">
            <v>823</v>
          </cell>
        </row>
        <row r="1330">
          <cell r="E1330" t="str">
            <v>AC555</v>
          </cell>
          <cell r="F1330" t="str">
            <v>AC555</v>
          </cell>
          <cell r="G1330" t="str">
            <v>10.117.192.101</v>
          </cell>
          <cell r="H1330" t="str">
            <v>10.117.192.97</v>
          </cell>
          <cell r="I1330" t="str">
            <v>/27</v>
          </cell>
          <cell r="J1330">
            <v>803</v>
          </cell>
          <cell r="K1330" t="str">
            <v>10.117.195.101</v>
          </cell>
          <cell r="L1330" t="str">
            <v>10.117.195.97</v>
          </cell>
          <cell r="M1330" t="str">
            <v>/27</v>
          </cell>
          <cell r="N1330">
            <v>813</v>
          </cell>
          <cell r="O1330" t="str">
            <v>10.117.198.101</v>
          </cell>
          <cell r="P1330" t="str">
            <v>10.117.198.97</v>
          </cell>
          <cell r="Q1330" t="str">
            <v>/27</v>
          </cell>
          <cell r="R1330">
            <v>823</v>
          </cell>
        </row>
        <row r="1331">
          <cell r="E1331" t="str">
            <v>AC555</v>
          </cell>
          <cell r="G1331" t="str">
            <v>10.117.192.102</v>
          </cell>
          <cell r="H1331" t="str">
            <v>10.117.192.97</v>
          </cell>
          <cell r="I1331" t="str">
            <v>/27</v>
          </cell>
          <cell r="J1331">
            <v>803</v>
          </cell>
          <cell r="K1331" t="str">
            <v>10.117.195.102</v>
          </cell>
          <cell r="L1331" t="str">
            <v>10.117.195.97</v>
          </cell>
          <cell r="M1331" t="str">
            <v>/27</v>
          </cell>
          <cell r="N1331">
            <v>813</v>
          </cell>
          <cell r="O1331" t="str">
            <v>10.117.198.102</v>
          </cell>
          <cell r="P1331" t="str">
            <v>10.117.198.97</v>
          </cell>
          <cell r="Q1331" t="str">
            <v>/27</v>
          </cell>
          <cell r="R1331">
            <v>823</v>
          </cell>
        </row>
        <row r="1332">
          <cell r="E1332" t="str">
            <v>AC555</v>
          </cell>
          <cell r="G1332" t="str">
            <v>10.117.192.103</v>
          </cell>
          <cell r="H1332" t="str">
            <v>10.117.192.97</v>
          </cell>
          <cell r="I1332" t="str">
            <v>/27</v>
          </cell>
          <cell r="J1332">
            <v>803</v>
          </cell>
          <cell r="K1332" t="str">
            <v>10.117.195.103</v>
          </cell>
          <cell r="L1332" t="str">
            <v>10.117.195.97</v>
          </cell>
          <cell r="M1332" t="str">
            <v>/27</v>
          </cell>
          <cell r="N1332">
            <v>813</v>
          </cell>
          <cell r="O1332" t="str">
            <v>10.117.198.103</v>
          </cell>
          <cell r="P1332" t="str">
            <v>10.117.198.97</v>
          </cell>
          <cell r="Q1332" t="str">
            <v>/27</v>
          </cell>
          <cell r="R1332">
            <v>823</v>
          </cell>
        </row>
        <row r="1333">
          <cell r="E1333" t="str">
            <v>AC555</v>
          </cell>
          <cell r="F1333" t="str">
            <v>AC732</v>
          </cell>
          <cell r="G1333" t="str">
            <v>10.117.192.104</v>
          </cell>
          <cell r="H1333" t="str">
            <v>10.117.192.97</v>
          </cell>
          <cell r="I1333" t="str">
            <v>/27</v>
          </cell>
          <cell r="J1333">
            <v>803</v>
          </cell>
          <cell r="K1333" t="str">
            <v>10.117.195.104</v>
          </cell>
          <cell r="L1333" t="str">
            <v>10.117.195.97</v>
          </cell>
          <cell r="M1333" t="str">
            <v>/27</v>
          </cell>
          <cell r="N1333">
            <v>813</v>
          </cell>
          <cell r="O1333" t="str">
            <v>10.117.198.104</v>
          </cell>
          <cell r="P1333" t="str">
            <v>10.117.198.97</v>
          </cell>
          <cell r="Q1333" t="str">
            <v>/27</v>
          </cell>
          <cell r="R1333">
            <v>823</v>
          </cell>
        </row>
        <row r="1334">
          <cell r="E1334" t="str">
            <v>AC555</v>
          </cell>
          <cell r="G1334" t="str">
            <v>10.117.192.105</v>
          </cell>
          <cell r="H1334" t="str">
            <v>10.117.192.97</v>
          </cell>
          <cell r="I1334" t="str">
            <v>/27</v>
          </cell>
          <cell r="J1334">
            <v>803</v>
          </cell>
          <cell r="K1334" t="str">
            <v>10.117.195.105</v>
          </cell>
          <cell r="L1334" t="str">
            <v>10.117.195.97</v>
          </cell>
          <cell r="M1334" t="str">
            <v>/27</v>
          </cell>
          <cell r="N1334">
            <v>813</v>
          </cell>
          <cell r="O1334" t="str">
            <v>10.117.198.105</v>
          </cell>
          <cell r="P1334" t="str">
            <v>10.117.198.97</v>
          </cell>
          <cell r="Q1334" t="str">
            <v>/27</v>
          </cell>
          <cell r="R1334">
            <v>823</v>
          </cell>
        </row>
        <row r="1335">
          <cell r="E1335" t="str">
            <v>AC555</v>
          </cell>
          <cell r="G1335" t="str">
            <v>10.117.192.106</v>
          </cell>
          <cell r="H1335" t="str">
            <v>10.117.192.97</v>
          </cell>
          <cell r="I1335" t="str">
            <v>/27</v>
          </cell>
          <cell r="J1335">
            <v>803</v>
          </cell>
          <cell r="K1335" t="str">
            <v>10.117.195.106</v>
          </cell>
          <cell r="L1335" t="str">
            <v>10.117.195.97</v>
          </cell>
          <cell r="M1335" t="str">
            <v>/27</v>
          </cell>
          <cell r="N1335">
            <v>813</v>
          </cell>
          <cell r="O1335" t="str">
            <v>10.117.198.106</v>
          </cell>
          <cell r="P1335" t="str">
            <v>10.117.198.97</v>
          </cell>
          <cell r="Q1335" t="str">
            <v>/27</v>
          </cell>
          <cell r="R1335">
            <v>823</v>
          </cell>
        </row>
        <row r="1336">
          <cell r="E1336" t="str">
            <v>AC555</v>
          </cell>
          <cell r="G1336" t="str">
            <v>10.117.192.107</v>
          </cell>
          <cell r="H1336" t="str">
            <v>10.117.192.97</v>
          </cell>
          <cell r="I1336" t="str">
            <v>/27</v>
          </cell>
          <cell r="J1336">
            <v>803</v>
          </cell>
          <cell r="K1336" t="str">
            <v>10.117.195.107</v>
          </cell>
          <cell r="L1336" t="str">
            <v>10.117.195.97</v>
          </cell>
          <cell r="M1336" t="str">
            <v>/27</v>
          </cell>
          <cell r="N1336">
            <v>813</v>
          </cell>
          <cell r="O1336" t="str">
            <v>10.117.198.107</v>
          </cell>
          <cell r="P1336" t="str">
            <v>10.117.198.97</v>
          </cell>
          <cell r="Q1336" t="str">
            <v>/27</v>
          </cell>
          <cell r="R1336">
            <v>823</v>
          </cell>
        </row>
        <row r="1337">
          <cell r="E1337" t="str">
            <v>AC555</v>
          </cell>
          <cell r="G1337" t="str">
            <v>10.117.192.108</v>
          </cell>
          <cell r="H1337" t="str">
            <v>10.117.192.97</v>
          </cell>
          <cell r="I1337" t="str">
            <v>/27</v>
          </cell>
          <cell r="J1337">
            <v>803</v>
          </cell>
          <cell r="K1337" t="str">
            <v>10.117.195.108</v>
          </cell>
          <cell r="L1337" t="str">
            <v>10.117.195.97</v>
          </cell>
          <cell r="M1337" t="str">
            <v>/27</v>
          </cell>
          <cell r="N1337">
            <v>813</v>
          </cell>
          <cell r="O1337" t="str">
            <v>10.117.198.108</v>
          </cell>
          <cell r="P1337" t="str">
            <v>10.117.198.97</v>
          </cell>
          <cell r="Q1337" t="str">
            <v>/27</v>
          </cell>
          <cell r="R1337">
            <v>823</v>
          </cell>
        </row>
        <row r="1338">
          <cell r="E1338" t="str">
            <v>AC555</v>
          </cell>
          <cell r="G1338" t="str">
            <v>10.117.192.109</v>
          </cell>
          <cell r="H1338" t="str">
            <v>10.117.192.97</v>
          </cell>
          <cell r="I1338" t="str">
            <v>/27</v>
          </cell>
          <cell r="J1338">
            <v>803</v>
          </cell>
          <cell r="K1338" t="str">
            <v>10.117.195.109</v>
          </cell>
          <cell r="L1338" t="str">
            <v>10.117.195.97</v>
          </cell>
          <cell r="M1338" t="str">
            <v>/27</v>
          </cell>
          <cell r="N1338">
            <v>813</v>
          </cell>
          <cell r="O1338" t="str">
            <v>10.117.198.109</v>
          </cell>
          <cell r="P1338" t="str">
            <v>10.117.198.97</v>
          </cell>
          <cell r="Q1338" t="str">
            <v>/27</v>
          </cell>
          <cell r="R1338">
            <v>823</v>
          </cell>
        </row>
        <row r="1339">
          <cell r="E1339" t="str">
            <v>AC555</v>
          </cell>
          <cell r="G1339" t="str">
            <v>10.117.192.110</v>
          </cell>
          <cell r="H1339" t="str">
            <v>10.117.192.97</v>
          </cell>
          <cell r="I1339" t="str">
            <v>/27</v>
          </cell>
          <cell r="J1339">
            <v>803</v>
          </cell>
          <cell r="K1339" t="str">
            <v>10.117.195.110</v>
          </cell>
          <cell r="L1339" t="str">
            <v>10.117.195.97</v>
          </cell>
          <cell r="M1339" t="str">
            <v>/27</v>
          </cell>
          <cell r="N1339">
            <v>813</v>
          </cell>
          <cell r="O1339" t="str">
            <v>10.117.198.110</v>
          </cell>
          <cell r="P1339" t="str">
            <v>10.117.198.97</v>
          </cell>
          <cell r="Q1339" t="str">
            <v>/27</v>
          </cell>
          <cell r="R1339">
            <v>823</v>
          </cell>
        </row>
        <row r="1340">
          <cell r="E1340" t="str">
            <v>AC555</v>
          </cell>
          <cell r="G1340" t="str">
            <v>10.117.192.111</v>
          </cell>
          <cell r="H1340" t="str">
            <v>10.117.192.97</v>
          </cell>
          <cell r="I1340" t="str">
            <v>/27</v>
          </cell>
          <cell r="J1340">
            <v>803</v>
          </cell>
          <cell r="K1340" t="str">
            <v>10.117.195.111</v>
          </cell>
          <cell r="L1340" t="str">
            <v>10.117.195.97</v>
          </cell>
          <cell r="M1340" t="str">
            <v>/27</v>
          </cell>
          <cell r="N1340">
            <v>813</v>
          </cell>
          <cell r="O1340" t="str">
            <v>10.117.198.111</v>
          </cell>
          <cell r="P1340" t="str">
            <v>10.117.198.97</v>
          </cell>
          <cell r="Q1340" t="str">
            <v>/27</v>
          </cell>
          <cell r="R1340">
            <v>823</v>
          </cell>
        </row>
        <row r="1341">
          <cell r="E1341" t="str">
            <v>AC555</v>
          </cell>
          <cell r="G1341" t="str">
            <v>10.117.192.112</v>
          </cell>
          <cell r="H1341" t="str">
            <v>10.117.192.97</v>
          </cell>
          <cell r="I1341" t="str">
            <v>/27</v>
          </cell>
          <cell r="J1341">
            <v>803</v>
          </cell>
          <cell r="K1341" t="str">
            <v>10.117.195.112</v>
          </cell>
          <cell r="L1341" t="str">
            <v>10.117.195.97</v>
          </cell>
          <cell r="M1341" t="str">
            <v>/27</v>
          </cell>
          <cell r="N1341">
            <v>813</v>
          </cell>
          <cell r="O1341" t="str">
            <v>10.117.198.112</v>
          </cell>
          <cell r="P1341" t="str">
            <v>10.117.198.97</v>
          </cell>
          <cell r="Q1341" t="str">
            <v>/27</v>
          </cell>
          <cell r="R1341">
            <v>823</v>
          </cell>
        </row>
        <row r="1342">
          <cell r="E1342" t="str">
            <v>AC555</v>
          </cell>
          <cell r="G1342" t="str">
            <v>10.117.192.113</v>
          </cell>
          <cell r="H1342" t="str">
            <v>10.117.192.97</v>
          </cell>
          <cell r="I1342" t="str">
            <v>/27</v>
          </cell>
          <cell r="J1342">
            <v>803</v>
          </cell>
          <cell r="K1342" t="str">
            <v>10.117.195.113</v>
          </cell>
          <cell r="L1342" t="str">
            <v>10.117.195.97</v>
          </cell>
          <cell r="M1342" t="str">
            <v>/27</v>
          </cell>
          <cell r="N1342">
            <v>813</v>
          </cell>
          <cell r="O1342" t="str">
            <v>10.117.198.113</v>
          </cell>
          <cell r="P1342" t="str">
            <v>10.117.198.97</v>
          </cell>
          <cell r="Q1342" t="str">
            <v>/27</v>
          </cell>
          <cell r="R1342">
            <v>823</v>
          </cell>
        </row>
        <row r="1343">
          <cell r="E1343" t="str">
            <v>AC555</v>
          </cell>
          <cell r="G1343" t="str">
            <v>10.117.192.114</v>
          </cell>
          <cell r="H1343" t="str">
            <v>10.117.192.97</v>
          </cell>
          <cell r="I1343" t="str">
            <v>/27</v>
          </cell>
          <cell r="J1343">
            <v>803</v>
          </cell>
          <cell r="K1343" t="str">
            <v>10.117.195.114</v>
          </cell>
          <cell r="L1343" t="str">
            <v>10.117.195.97</v>
          </cell>
          <cell r="M1343" t="str">
            <v>/27</v>
          </cell>
          <cell r="N1343">
            <v>813</v>
          </cell>
          <cell r="O1343" t="str">
            <v>10.117.198.114</v>
          </cell>
          <cell r="P1343" t="str">
            <v>10.117.198.97</v>
          </cell>
          <cell r="Q1343" t="str">
            <v>/27</v>
          </cell>
          <cell r="R1343">
            <v>823</v>
          </cell>
        </row>
        <row r="1344">
          <cell r="E1344" t="str">
            <v>AC555</v>
          </cell>
          <cell r="G1344" t="str">
            <v>10.117.192.115</v>
          </cell>
          <cell r="H1344" t="str">
            <v>10.117.192.97</v>
          </cell>
          <cell r="I1344" t="str">
            <v>/27</v>
          </cell>
          <cell r="J1344">
            <v>803</v>
          </cell>
          <cell r="K1344" t="str">
            <v>10.117.195.115</v>
          </cell>
          <cell r="L1344" t="str">
            <v>10.117.195.97</v>
          </cell>
          <cell r="M1344" t="str">
            <v>/27</v>
          </cell>
          <cell r="N1344">
            <v>813</v>
          </cell>
          <cell r="O1344" t="str">
            <v>10.117.198.115</v>
          </cell>
          <cell r="P1344" t="str">
            <v>10.117.198.97</v>
          </cell>
          <cell r="Q1344" t="str">
            <v>/27</v>
          </cell>
          <cell r="R1344">
            <v>823</v>
          </cell>
        </row>
        <row r="1345">
          <cell r="E1345" t="str">
            <v>AC555</v>
          </cell>
          <cell r="G1345" t="str">
            <v>10.117.192.116</v>
          </cell>
          <cell r="H1345" t="str">
            <v>10.117.192.97</v>
          </cell>
          <cell r="I1345" t="str">
            <v>/27</v>
          </cell>
          <cell r="J1345">
            <v>803</v>
          </cell>
          <cell r="K1345" t="str">
            <v>10.117.195.116</v>
          </cell>
          <cell r="L1345" t="str">
            <v>10.117.195.97</v>
          </cell>
          <cell r="M1345" t="str">
            <v>/27</v>
          </cell>
          <cell r="N1345">
            <v>813</v>
          </cell>
          <cell r="O1345" t="str">
            <v>10.117.198.116</v>
          </cell>
          <cell r="P1345" t="str">
            <v>10.117.198.97</v>
          </cell>
          <cell r="Q1345" t="str">
            <v>/27</v>
          </cell>
          <cell r="R1345">
            <v>823</v>
          </cell>
        </row>
        <row r="1346">
          <cell r="E1346" t="str">
            <v>AC555</v>
          </cell>
          <cell r="G1346" t="str">
            <v>10.117.192.117</v>
          </cell>
          <cell r="H1346" t="str">
            <v>10.117.192.97</v>
          </cell>
          <cell r="I1346" t="str">
            <v>/27</v>
          </cell>
          <cell r="J1346">
            <v>803</v>
          </cell>
          <cell r="K1346" t="str">
            <v>10.117.195.117</v>
          </cell>
          <cell r="L1346" t="str">
            <v>10.117.195.97</v>
          </cell>
          <cell r="M1346" t="str">
            <v>/27</v>
          </cell>
          <cell r="N1346">
            <v>813</v>
          </cell>
          <cell r="O1346" t="str">
            <v>10.117.198.117</v>
          </cell>
          <cell r="P1346" t="str">
            <v>10.117.198.97</v>
          </cell>
          <cell r="Q1346" t="str">
            <v>/27</v>
          </cell>
          <cell r="R1346">
            <v>823</v>
          </cell>
        </row>
        <row r="1347">
          <cell r="E1347" t="str">
            <v>AC555</v>
          </cell>
          <cell r="G1347" t="str">
            <v>10.117.192.118</v>
          </cell>
          <cell r="H1347" t="str">
            <v>10.117.192.97</v>
          </cell>
          <cell r="I1347" t="str">
            <v>/27</v>
          </cell>
          <cell r="J1347">
            <v>803</v>
          </cell>
          <cell r="K1347" t="str">
            <v>10.117.195.118</v>
          </cell>
          <cell r="L1347" t="str">
            <v>10.117.195.97</v>
          </cell>
          <cell r="M1347" t="str">
            <v>/27</v>
          </cell>
          <cell r="N1347">
            <v>813</v>
          </cell>
          <cell r="O1347" t="str">
            <v>10.117.198.118</v>
          </cell>
          <cell r="P1347" t="str">
            <v>10.117.198.97</v>
          </cell>
          <cell r="Q1347" t="str">
            <v>/27</v>
          </cell>
          <cell r="R1347">
            <v>823</v>
          </cell>
        </row>
        <row r="1348">
          <cell r="E1348" t="str">
            <v>AC555</v>
          </cell>
          <cell r="G1348" t="str">
            <v>10.117.192.119</v>
          </cell>
          <cell r="H1348" t="str">
            <v>10.117.192.97</v>
          </cell>
          <cell r="I1348" t="str">
            <v>/27</v>
          </cell>
          <cell r="J1348">
            <v>803</v>
          </cell>
          <cell r="K1348" t="str">
            <v>10.117.195.119</v>
          </cell>
          <cell r="L1348" t="str">
            <v>10.117.195.97</v>
          </cell>
          <cell r="M1348" t="str">
            <v>/27</v>
          </cell>
          <cell r="N1348">
            <v>813</v>
          </cell>
          <cell r="O1348" t="str">
            <v>10.117.198.119</v>
          </cell>
          <cell r="P1348" t="str">
            <v>10.117.198.97</v>
          </cell>
          <cell r="Q1348" t="str">
            <v>/27</v>
          </cell>
          <cell r="R1348">
            <v>823</v>
          </cell>
        </row>
        <row r="1349">
          <cell r="E1349" t="str">
            <v>AC555</v>
          </cell>
          <cell r="G1349" t="str">
            <v>10.117.192.120</v>
          </cell>
          <cell r="H1349" t="str">
            <v>10.117.192.97</v>
          </cell>
          <cell r="I1349" t="str">
            <v>/27</v>
          </cell>
          <cell r="J1349">
            <v>803</v>
          </cell>
          <cell r="K1349" t="str">
            <v>10.117.195.120</v>
          </cell>
          <cell r="L1349" t="str">
            <v>10.117.195.97</v>
          </cell>
          <cell r="M1349" t="str">
            <v>/27</v>
          </cell>
          <cell r="N1349">
            <v>813</v>
          </cell>
          <cell r="O1349" t="str">
            <v>10.117.198.120</v>
          </cell>
          <cell r="P1349" t="str">
            <v>10.117.198.97</v>
          </cell>
          <cell r="Q1349" t="str">
            <v>/27</v>
          </cell>
          <cell r="R1349">
            <v>823</v>
          </cell>
        </row>
        <row r="1350">
          <cell r="E1350" t="str">
            <v>AC555</v>
          </cell>
          <cell r="G1350" t="str">
            <v>10.117.192.121</v>
          </cell>
          <cell r="H1350" t="str">
            <v>10.117.192.97</v>
          </cell>
          <cell r="I1350" t="str">
            <v>/27</v>
          </cell>
          <cell r="J1350">
            <v>803</v>
          </cell>
          <cell r="K1350" t="str">
            <v>10.117.195.121</v>
          </cell>
          <cell r="L1350" t="str">
            <v>10.117.195.97</v>
          </cell>
          <cell r="M1350" t="str">
            <v>/27</v>
          </cell>
          <cell r="N1350">
            <v>813</v>
          </cell>
          <cell r="O1350" t="str">
            <v>10.117.198.121</v>
          </cell>
          <cell r="P1350" t="str">
            <v>10.117.198.97</v>
          </cell>
          <cell r="Q1350" t="str">
            <v>/27</v>
          </cell>
          <cell r="R1350">
            <v>823</v>
          </cell>
        </row>
        <row r="1351">
          <cell r="E1351" t="str">
            <v>AC555</v>
          </cell>
          <cell r="G1351" t="str">
            <v>10.117.192.122</v>
          </cell>
          <cell r="H1351" t="str">
            <v>10.117.192.97</v>
          </cell>
          <cell r="I1351" t="str">
            <v>/27</v>
          </cell>
          <cell r="J1351">
            <v>803</v>
          </cell>
          <cell r="K1351" t="str">
            <v>10.117.195.122</v>
          </cell>
          <cell r="L1351" t="str">
            <v>10.117.195.97</v>
          </cell>
          <cell r="M1351" t="str">
            <v>/27</v>
          </cell>
          <cell r="N1351">
            <v>813</v>
          </cell>
          <cell r="O1351" t="str">
            <v>10.117.198.122</v>
          </cell>
          <cell r="P1351" t="str">
            <v>10.117.198.97</v>
          </cell>
          <cell r="Q1351" t="str">
            <v>/27</v>
          </cell>
          <cell r="R1351">
            <v>823</v>
          </cell>
        </row>
        <row r="1352">
          <cell r="E1352" t="str">
            <v>AC555</v>
          </cell>
          <cell r="G1352" t="str">
            <v>10.117.192.123</v>
          </cell>
          <cell r="H1352" t="str">
            <v>10.117.192.97</v>
          </cell>
          <cell r="I1352" t="str">
            <v>/27</v>
          </cell>
          <cell r="J1352">
            <v>803</v>
          </cell>
          <cell r="K1352" t="str">
            <v>10.117.195.123</v>
          </cell>
          <cell r="L1352" t="str">
            <v>10.117.195.97</v>
          </cell>
          <cell r="M1352" t="str">
            <v>/27</v>
          </cell>
          <cell r="N1352">
            <v>813</v>
          </cell>
          <cell r="O1352" t="str">
            <v>10.117.198.123</v>
          </cell>
          <cell r="P1352" t="str">
            <v>10.117.198.97</v>
          </cell>
          <cell r="Q1352" t="str">
            <v>/27</v>
          </cell>
          <cell r="R1352">
            <v>823</v>
          </cell>
        </row>
        <row r="1353">
          <cell r="E1353" t="str">
            <v>AC555</v>
          </cell>
          <cell r="G1353" t="str">
            <v>10.117.192.124</v>
          </cell>
          <cell r="H1353" t="str">
            <v>10.117.192.97</v>
          </cell>
          <cell r="I1353" t="str">
            <v>/27</v>
          </cell>
          <cell r="J1353">
            <v>803</v>
          </cell>
          <cell r="K1353" t="str">
            <v>10.117.195.124</v>
          </cell>
          <cell r="L1353" t="str">
            <v>10.117.195.97</v>
          </cell>
          <cell r="M1353" t="str">
            <v>/27</v>
          </cell>
          <cell r="N1353">
            <v>813</v>
          </cell>
          <cell r="O1353" t="str">
            <v>10.117.198.124</v>
          </cell>
          <cell r="P1353" t="str">
            <v>10.117.198.97</v>
          </cell>
          <cell r="Q1353" t="str">
            <v>/27</v>
          </cell>
          <cell r="R1353">
            <v>823</v>
          </cell>
        </row>
        <row r="1354">
          <cell r="E1354" t="str">
            <v>AC555</v>
          </cell>
          <cell r="G1354" t="str">
            <v>10.117.192.125</v>
          </cell>
          <cell r="H1354" t="str">
            <v>10.117.192.97</v>
          </cell>
          <cell r="I1354" t="str">
            <v>/27</v>
          </cell>
          <cell r="J1354">
            <v>803</v>
          </cell>
          <cell r="K1354" t="str">
            <v>10.117.195.125</v>
          </cell>
          <cell r="L1354" t="str">
            <v>10.117.195.97</v>
          </cell>
          <cell r="M1354" t="str">
            <v>/27</v>
          </cell>
          <cell r="N1354">
            <v>813</v>
          </cell>
          <cell r="O1354" t="str">
            <v>10.117.198.125</v>
          </cell>
          <cell r="P1354" t="str">
            <v>10.117.198.97</v>
          </cell>
          <cell r="Q1354" t="str">
            <v>/27</v>
          </cell>
          <cell r="R1354">
            <v>823</v>
          </cell>
        </row>
        <row r="1355">
          <cell r="E1355" t="str">
            <v>AC555</v>
          </cell>
          <cell r="G1355" t="str">
            <v>10.117.192.126</v>
          </cell>
          <cell r="H1355" t="str">
            <v>10.117.192.97</v>
          </cell>
          <cell r="I1355" t="str">
            <v>/27</v>
          </cell>
          <cell r="J1355">
            <v>803</v>
          </cell>
          <cell r="K1355" t="str">
            <v>10.117.195.126</v>
          </cell>
          <cell r="L1355" t="str">
            <v>10.117.195.97</v>
          </cell>
          <cell r="M1355" t="str">
            <v>/27</v>
          </cell>
          <cell r="N1355">
            <v>813</v>
          </cell>
          <cell r="O1355" t="str">
            <v>10.117.198.126</v>
          </cell>
          <cell r="P1355" t="str">
            <v>10.117.198.97</v>
          </cell>
          <cell r="Q1355" t="str">
            <v>/27</v>
          </cell>
          <cell r="R1355">
            <v>823</v>
          </cell>
        </row>
        <row r="1356">
          <cell r="E1356" t="str">
            <v>AC555</v>
          </cell>
          <cell r="G1356" t="str">
            <v>10.117.192.127</v>
          </cell>
          <cell r="H1356" t="str">
            <v>10.117.192.97</v>
          </cell>
          <cell r="I1356" t="str">
            <v>/27</v>
          </cell>
          <cell r="J1356">
            <v>803</v>
          </cell>
          <cell r="K1356" t="str">
            <v>10.117.195.127</v>
          </cell>
          <cell r="L1356" t="str">
            <v>10.117.195.97</v>
          </cell>
          <cell r="M1356" t="str">
            <v>/27</v>
          </cell>
          <cell r="N1356">
            <v>813</v>
          </cell>
          <cell r="O1356" t="str">
            <v>10.117.198.127</v>
          </cell>
          <cell r="P1356" t="str">
            <v>10.117.198.97</v>
          </cell>
          <cell r="Q1356" t="str">
            <v>/27</v>
          </cell>
          <cell r="R1356">
            <v>823</v>
          </cell>
        </row>
        <row r="1357">
          <cell r="E1357" t="str">
            <v>AC272</v>
          </cell>
          <cell r="G1357" t="str">
            <v>10.117.192.160</v>
          </cell>
          <cell r="H1357" t="str">
            <v>10.117.192.161</v>
          </cell>
          <cell r="I1357" t="str">
            <v>/27</v>
          </cell>
          <cell r="J1357">
            <v>801</v>
          </cell>
          <cell r="K1357" t="str">
            <v>10.117.195.160</v>
          </cell>
          <cell r="L1357" t="str">
            <v>10.117.195.161</v>
          </cell>
          <cell r="M1357" t="str">
            <v>/27</v>
          </cell>
          <cell r="N1357">
            <v>811</v>
          </cell>
          <cell r="O1357" t="str">
            <v>10.117.198.160</v>
          </cell>
          <cell r="P1357" t="str">
            <v>10.117.198.161</v>
          </cell>
          <cell r="Q1357" t="str">
            <v>/27</v>
          </cell>
          <cell r="R1357">
            <v>821</v>
          </cell>
        </row>
        <row r="1358">
          <cell r="E1358" t="str">
            <v>AC272</v>
          </cell>
          <cell r="G1358" t="str">
            <v>10.117.192.161</v>
          </cell>
          <cell r="H1358" t="str">
            <v>10.117.192.161</v>
          </cell>
          <cell r="I1358" t="str">
            <v>/27</v>
          </cell>
          <cell r="J1358">
            <v>801</v>
          </cell>
          <cell r="K1358" t="str">
            <v>10.117.195.161</v>
          </cell>
          <cell r="L1358" t="str">
            <v>10.117.195.161</v>
          </cell>
          <cell r="M1358" t="str">
            <v>/27</v>
          </cell>
          <cell r="N1358">
            <v>811</v>
          </cell>
          <cell r="O1358" t="str">
            <v>10.117.198.161</v>
          </cell>
          <cell r="P1358" t="str">
            <v>10.117.198.161</v>
          </cell>
          <cell r="Q1358" t="str">
            <v>/27</v>
          </cell>
          <cell r="R1358">
            <v>821</v>
          </cell>
        </row>
        <row r="1359">
          <cell r="E1359" t="str">
            <v>AC272</v>
          </cell>
          <cell r="G1359" t="str">
            <v>10.117.192.162</v>
          </cell>
          <cell r="H1359" t="str">
            <v>10.117.192.161</v>
          </cell>
          <cell r="I1359" t="str">
            <v>/27</v>
          </cell>
          <cell r="J1359">
            <v>801</v>
          </cell>
          <cell r="K1359" t="str">
            <v>10.117.195.162</v>
          </cell>
          <cell r="L1359" t="str">
            <v>10.117.195.161</v>
          </cell>
          <cell r="M1359" t="str">
            <v>/27</v>
          </cell>
          <cell r="N1359">
            <v>811</v>
          </cell>
          <cell r="O1359" t="str">
            <v>10.117.198.162</v>
          </cell>
          <cell r="P1359" t="str">
            <v>10.117.198.161</v>
          </cell>
          <cell r="Q1359" t="str">
            <v>/27</v>
          </cell>
          <cell r="R1359">
            <v>821</v>
          </cell>
        </row>
        <row r="1360">
          <cell r="E1360" t="str">
            <v>AC272</v>
          </cell>
          <cell r="G1360" t="str">
            <v>10.117.192.163</v>
          </cell>
          <cell r="H1360" t="str">
            <v>10.117.192.161</v>
          </cell>
          <cell r="I1360" t="str">
            <v>/27</v>
          </cell>
          <cell r="J1360">
            <v>801</v>
          </cell>
          <cell r="K1360" t="str">
            <v>10.117.195.163</v>
          </cell>
          <cell r="L1360" t="str">
            <v>10.117.195.161</v>
          </cell>
          <cell r="M1360" t="str">
            <v>/27</v>
          </cell>
          <cell r="N1360">
            <v>811</v>
          </cell>
          <cell r="O1360" t="str">
            <v>10.117.198.163</v>
          </cell>
          <cell r="P1360" t="str">
            <v>10.117.198.161</v>
          </cell>
          <cell r="Q1360" t="str">
            <v>/27</v>
          </cell>
          <cell r="R1360">
            <v>821</v>
          </cell>
        </row>
        <row r="1361">
          <cell r="E1361" t="str">
            <v>AC272</v>
          </cell>
          <cell r="F1361" t="str">
            <v>AC272</v>
          </cell>
          <cell r="G1361" t="str">
            <v>10.117.192.164</v>
          </cell>
          <cell r="H1361" t="str">
            <v>10.117.192.161</v>
          </cell>
          <cell r="I1361" t="str">
            <v>/27</v>
          </cell>
          <cell r="J1361">
            <v>801</v>
          </cell>
          <cell r="K1361" t="str">
            <v>10.117.195.164</v>
          </cell>
          <cell r="L1361" t="str">
            <v>10.117.195.161</v>
          </cell>
          <cell r="M1361" t="str">
            <v>/27</v>
          </cell>
          <cell r="N1361">
            <v>811</v>
          </cell>
          <cell r="O1361" t="str">
            <v>10.117.198.164</v>
          </cell>
          <cell r="P1361" t="str">
            <v>10.117.198.161</v>
          </cell>
          <cell r="Q1361" t="str">
            <v>/27</v>
          </cell>
          <cell r="R1361">
            <v>821</v>
          </cell>
        </row>
        <row r="1362">
          <cell r="E1362" t="str">
            <v>AC272</v>
          </cell>
          <cell r="F1362" t="str">
            <v>AC272</v>
          </cell>
          <cell r="G1362" t="str">
            <v>10.117.192.165</v>
          </cell>
          <cell r="H1362" t="str">
            <v>10.117.192.161</v>
          </cell>
          <cell r="I1362" t="str">
            <v>/27</v>
          </cell>
          <cell r="J1362">
            <v>801</v>
          </cell>
          <cell r="K1362" t="str">
            <v>10.117.195.165</v>
          </cell>
          <cell r="L1362" t="str">
            <v>10.117.195.161</v>
          </cell>
          <cell r="M1362" t="str">
            <v>/27</v>
          </cell>
          <cell r="N1362">
            <v>811</v>
          </cell>
          <cell r="O1362" t="str">
            <v>10.117.198.165</v>
          </cell>
          <cell r="P1362" t="str">
            <v>10.117.198.161</v>
          </cell>
          <cell r="Q1362" t="str">
            <v>/27</v>
          </cell>
          <cell r="R1362">
            <v>821</v>
          </cell>
        </row>
        <row r="1363">
          <cell r="E1363" t="str">
            <v>AC272</v>
          </cell>
          <cell r="G1363" t="str">
            <v>10.117.192.166</v>
          </cell>
          <cell r="H1363" t="str">
            <v>10.117.192.161</v>
          </cell>
          <cell r="I1363" t="str">
            <v>/27</v>
          </cell>
          <cell r="J1363">
            <v>801</v>
          </cell>
          <cell r="K1363" t="str">
            <v>10.117.195.166</v>
          </cell>
          <cell r="L1363" t="str">
            <v>10.117.195.161</v>
          </cell>
          <cell r="M1363" t="str">
            <v>/27</v>
          </cell>
          <cell r="N1363">
            <v>811</v>
          </cell>
          <cell r="O1363" t="str">
            <v>10.117.198.166</v>
          </cell>
          <cell r="P1363" t="str">
            <v>10.117.198.161</v>
          </cell>
          <cell r="Q1363" t="str">
            <v>/27</v>
          </cell>
          <cell r="R1363">
            <v>821</v>
          </cell>
        </row>
        <row r="1364">
          <cell r="E1364" t="str">
            <v>AC272</v>
          </cell>
          <cell r="F1364" t="str">
            <v>AC231</v>
          </cell>
          <cell r="G1364" t="str">
            <v>10.117.192.167</v>
          </cell>
          <cell r="H1364" t="str">
            <v>10.117.192.161</v>
          </cell>
          <cell r="I1364" t="str">
            <v>/27</v>
          </cell>
          <cell r="J1364">
            <v>801</v>
          </cell>
          <cell r="K1364" t="str">
            <v>10.117.195.167</v>
          </cell>
          <cell r="L1364" t="str">
            <v>10.117.195.161</v>
          </cell>
          <cell r="M1364" t="str">
            <v>/27</v>
          </cell>
          <cell r="N1364">
            <v>811</v>
          </cell>
          <cell r="O1364" t="str">
            <v>10.117.198.167</v>
          </cell>
          <cell r="P1364" t="str">
            <v>10.117.198.161</v>
          </cell>
          <cell r="Q1364" t="str">
            <v>/27</v>
          </cell>
          <cell r="R1364">
            <v>821</v>
          </cell>
        </row>
        <row r="1365">
          <cell r="E1365" t="str">
            <v>AC272</v>
          </cell>
          <cell r="F1365" t="str">
            <v>AC564</v>
          </cell>
          <cell r="G1365" t="str">
            <v>10.117.192.168</v>
          </cell>
          <cell r="H1365" t="str">
            <v>10.117.192.161</v>
          </cell>
          <cell r="I1365" t="str">
            <v>/27</v>
          </cell>
          <cell r="J1365">
            <v>801</v>
          </cell>
          <cell r="K1365" t="str">
            <v>10.117.195.168</v>
          </cell>
          <cell r="L1365" t="str">
            <v>10.117.195.161</v>
          </cell>
          <cell r="M1365" t="str">
            <v>/27</v>
          </cell>
          <cell r="N1365">
            <v>811</v>
          </cell>
          <cell r="O1365" t="str">
            <v>10.117.198.168</v>
          </cell>
          <cell r="P1365" t="str">
            <v>10.117.198.161</v>
          </cell>
          <cell r="Q1365" t="str">
            <v>/27</v>
          </cell>
          <cell r="R1365">
            <v>821</v>
          </cell>
        </row>
        <row r="1366">
          <cell r="E1366" t="str">
            <v>AC272</v>
          </cell>
          <cell r="G1366" t="str">
            <v>10.117.192.169</v>
          </cell>
          <cell r="H1366" t="str">
            <v>10.117.192.161</v>
          </cell>
          <cell r="I1366" t="str">
            <v>/27</v>
          </cell>
          <cell r="J1366">
            <v>801</v>
          </cell>
          <cell r="K1366" t="str">
            <v>10.117.195.169</v>
          </cell>
          <cell r="L1366" t="str">
            <v>10.117.195.161</v>
          </cell>
          <cell r="M1366" t="str">
            <v>/27</v>
          </cell>
          <cell r="N1366">
            <v>811</v>
          </cell>
          <cell r="O1366" t="str">
            <v>10.117.198.169</v>
          </cell>
          <cell r="P1366" t="str">
            <v>10.117.198.161</v>
          </cell>
          <cell r="Q1366" t="str">
            <v>/27</v>
          </cell>
          <cell r="R1366">
            <v>821</v>
          </cell>
        </row>
        <row r="1367">
          <cell r="E1367" t="str">
            <v>AC272</v>
          </cell>
          <cell r="G1367" t="str">
            <v>10.117.192.170</v>
          </cell>
          <cell r="H1367" t="str">
            <v>10.117.192.161</v>
          </cell>
          <cell r="I1367" t="str">
            <v>/27</v>
          </cell>
          <cell r="J1367">
            <v>801</v>
          </cell>
          <cell r="K1367" t="str">
            <v>10.117.195.170</v>
          </cell>
          <cell r="L1367" t="str">
            <v>10.117.195.161</v>
          </cell>
          <cell r="M1367" t="str">
            <v>/27</v>
          </cell>
          <cell r="N1367">
            <v>811</v>
          </cell>
          <cell r="O1367" t="str">
            <v>10.117.198.170</v>
          </cell>
          <cell r="P1367" t="str">
            <v>10.117.198.161</v>
          </cell>
          <cell r="Q1367" t="str">
            <v>/27</v>
          </cell>
          <cell r="R1367">
            <v>821</v>
          </cell>
        </row>
        <row r="1368">
          <cell r="E1368" t="str">
            <v>AC272</v>
          </cell>
          <cell r="G1368" t="str">
            <v>10.117.192.171</v>
          </cell>
          <cell r="H1368" t="str">
            <v>10.117.192.161</v>
          </cell>
          <cell r="I1368" t="str">
            <v>/27</v>
          </cell>
          <cell r="J1368">
            <v>801</v>
          </cell>
          <cell r="K1368" t="str">
            <v>10.117.195.171</v>
          </cell>
          <cell r="L1368" t="str">
            <v>10.117.195.161</v>
          </cell>
          <cell r="M1368" t="str">
            <v>/27</v>
          </cell>
          <cell r="N1368">
            <v>811</v>
          </cell>
          <cell r="O1368" t="str">
            <v>10.117.198.171</v>
          </cell>
          <cell r="P1368" t="str">
            <v>10.117.198.161</v>
          </cell>
          <cell r="Q1368" t="str">
            <v>/27</v>
          </cell>
          <cell r="R1368">
            <v>821</v>
          </cell>
        </row>
        <row r="1369">
          <cell r="E1369" t="str">
            <v>AC272</v>
          </cell>
          <cell r="G1369" t="str">
            <v>10.117.192.172</v>
          </cell>
          <cell r="H1369" t="str">
            <v>10.117.192.161</v>
          </cell>
          <cell r="I1369" t="str">
            <v>/27</v>
          </cell>
          <cell r="J1369">
            <v>801</v>
          </cell>
          <cell r="K1369" t="str">
            <v>10.117.195.172</v>
          </cell>
          <cell r="L1369" t="str">
            <v>10.117.195.161</v>
          </cell>
          <cell r="M1369" t="str">
            <v>/27</v>
          </cell>
          <cell r="N1369">
            <v>811</v>
          </cell>
          <cell r="O1369" t="str">
            <v>10.117.198.172</v>
          </cell>
          <cell r="P1369" t="str">
            <v>10.117.198.161</v>
          </cell>
          <cell r="Q1369" t="str">
            <v>/27</v>
          </cell>
          <cell r="R1369">
            <v>821</v>
          </cell>
        </row>
        <row r="1370">
          <cell r="E1370" t="str">
            <v>AC272</v>
          </cell>
          <cell r="G1370" t="str">
            <v>10.117.192.173</v>
          </cell>
          <cell r="H1370" t="str">
            <v>10.117.192.161</v>
          </cell>
          <cell r="I1370" t="str">
            <v>/27</v>
          </cell>
          <cell r="J1370">
            <v>801</v>
          </cell>
          <cell r="K1370" t="str">
            <v>10.117.195.173</v>
          </cell>
          <cell r="L1370" t="str">
            <v>10.117.195.161</v>
          </cell>
          <cell r="M1370" t="str">
            <v>/27</v>
          </cell>
          <cell r="N1370">
            <v>811</v>
          </cell>
          <cell r="O1370" t="str">
            <v>10.117.198.173</v>
          </cell>
          <cell r="P1370" t="str">
            <v>10.117.198.161</v>
          </cell>
          <cell r="Q1370" t="str">
            <v>/27</v>
          </cell>
          <cell r="R1370">
            <v>821</v>
          </cell>
        </row>
        <row r="1371">
          <cell r="E1371" t="str">
            <v>AC272</v>
          </cell>
          <cell r="G1371" t="str">
            <v>10.117.192.174</v>
          </cell>
          <cell r="H1371" t="str">
            <v>10.117.192.161</v>
          </cell>
          <cell r="I1371" t="str">
            <v>/27</v>
          </cell>
          <cell r="J1371">
            <v>801</v>
          </cell>
          <cell r="K1371" t="str">
            <v>10.117.195.174</v>
          </cell>
          <cell r="L1371" t="str">
            <v>10.117.195.161</v>
          </cell>
          <cell r="M1371" t="str">
            <v>/27</v>
          </cell>
          <cell r="N1371">
            <v>811</v>
          </cell>
          <cell r="O1371" t="str">
            <v>10.117.198.174</v>
          </cell>
          <cell r="P1371" t="str">
            <v>10.117.198.161</v>
          </cell>
          <cell r="Q1371" t="str">
            <v>/27</v>
          </cell>
          <cell r="R1371">
            <v>821</v>
          </cell>
        </row>
        <row r="1372">
          <cell r="E1372" t="str">
            <v>AC272</v>
          </cell>
          <cell r="G1372" t="str">
            <v>10.117.192.175</v>
          </cell>
          <cell r="H1372" t="str">
            <v>10.117.192.161</v>
          </cell>
          <cell r="I1372" t="str">
            <v>/27</v>
          </cell>
          <cell r="J1372">
            <v>801</v>
          </cell>
          <cell r="K1372" t="str">
            <v>10.117.195.175</v>
          </cell>
          <cell r="L1372" t="str">
            <v>10.117.195.161</v>
          </cell>
          <cell r="M1372" t="str">
            <v>/27</v>
          </cell>
          <cell r="N1372">
            <v>811</v>
          </cell>
          <cell r="O1372" t="str">
            <v>10.117.198.175</v>
          </cell>
          <cell r="P1372" t="str">
            <v>10.117.198.161</v>
          </cell>
          <cell r="Q1372" t="str">
            <v>/27</v>
          </cell>
          <cell r="R1372">
            <v>821</v>
          </cell>
        </row>
        <row r="1373">
          <cell r="E1373" t="str">
            <v>AC272</v>
          </cell>
          <cell r="G1373" t="str">
            <v>10.117.192.176</v>
          </cell>
          <cell r="H1373" t="str">
            <v>10.117.192.161</v>
          </cell>
          <cell r="I1373" t="str">
            <v>/27</v>
          </cell>
          <cell r="J1373">
            <v>801</v>
          </cell>
          <cell r="K1373" t="str">
            <v>10.117.195.176</v>
          </cell>
          <cell r="L1373" t="str">
            <v>10.117.195.161</v>
          </cell>
          <cell r="M1373" t="str">
            <v>/27</v>
          </cell>
          <cell r="N1373">
            <v>811</v>
          </cell>
          <cell r="O1373" t="str">
            <v>10.117.198.176</v>
          </cell>
          <cell r="P1373" t="str">
            <v>10.117.198.161</v>
          </cell>
          <cell r="Q1373" t="str">
            <v>/27</v>
          </cell>
          <cell r="R1373">
            <v>821</v>
          </cell>
        </row>
        <row r="1374">
          <cell r="E1374" t="str">
            <v>AC272</v>
          </cell>
          <cell r="G1374" t="str">
            <v>10.117.192.177</v>
          </cell>
          <cell r="H1374" t="str">
            <v>10.117.192.161</v>
          </cell>
          <cell r="I1374" t="str">
            <v>/27</v>
          </cell>
          <cell r="J1374">
            <v>801</v>
          </cell>
          <cell r="K1374" t="str">
            <v>10.117.195.177</v>
          </cell>
          <cell r="L1374" t="str">
            <v>10.117.195.161</v>
          </cell>
          <cell r="M1374" t="str">
            <v>/27</v>
          </cell>
          <cell r="N1374">
            <v>811</v>
          </cell>
          <cell r="O1374" t="str">
            <v>10.117.198.177</v>
          </cell>
          <cell r="P1374" t="str">
            <v>10.117.198.161</v>
          </cell>
          <cell r="Q1374" t="str">
            <v>/27</v>
          </cell>
          <cell r="R1374">
            <v>821</v>
          </cell>
        </row>
        <row r="1375">
          <cell r="E1375" t="str">
            <v>AC272</v>
          </cell>
          <cell r="G1375" t="str">
            <v>10.117.192.178</v>
          </cell>
          <cell r="H1375" t="str">
            <v>10.117.192.161</v>
          </cell>
          <cell r="I1375" t="str">
            <v>/27</v>
          </cell>
          <cell r="J1375">
            <v>801</v>
          </cell>
          <cell r="K1375" t="str">
            <v>10.117.195.178</v>
          </cell>
          <cell r="L1375" t="str">
            <v>10.117.195.161</v>
          </cell>
          <cell r="M1375" t="str">
            <v>/27</v>
          </cell>
          <cell r="N1375">
            <v>811</v>
          </cell>
          <cell r="O1375" t="str">
            <v>10.117.198.178</v>
          </cell>
          <cell r="P1375" t="str">
            <v>10.117.198.161</v>
          </cell>
          <cell r="Q1375" t="str">
            <v>/27</v>
          </cell>
          <cell r="R1375">
            <v>821</v>
          </cell>
        </row>
        <row r="1376">
          <cell r="E1376" t="str">
            <v>AC272</v>
          </cell>
          <cell r="G1376" t="str">
            <v>10.117.192.179</v>
          </cell>
          <cell r="H1376" t="str">
            <v>10.117.192.161</v>
          </cell>
          <cell r="I1376" t="str">
            <v>/27</v>
          </cell>
          <cell r="J1376">
            <v>801</v>
          </cell>
          <cell r="K1376" t="str">
            <v>10.117.195.179</v>
          </cell>
          <cell r="L1376" t="str">
            <v>10.117.195.161</v>
          </cell>
          <cell r="M1376" t="str">
            <v>/27</v>
          </cell>
          <cell r="N1376">
            <v>811</v>
          </cell>
          <cell r="O1376" t="str">
            <v>10.117.198.179</v>
          </cell>
          <cell r="P1376" t="str">
            <v>10.117.198.161</v>
          </cell>
          <cell r="Q1376" t="str">
            <v>/27</v>
          </cell>
          <cell r="R1376">
            <v>821</v>
          </cell>
        </row>
        <row r="1377">
          <cell r="E1377" t="str">
            <v>AC272</v>
          </cell>
          <cell r="G1377" t="str">
            <v>10.117.192.180</v>
          </cell>
          <cell r="H1377" t="str">
            <v>10.117.192.161</v>
          </cell>
          <cell r="I1377" t="str">
            <v>/27</v>
          </cell>
          <cell r="J1377">
            <v>801</v>
          </cell>
          <cell r="K1377" t="str">
            <v>10.117.195.180</v>
          </cell>
          <cell r="L1377" t="str">
            <v>10.117.195.161</v>
          </cell>
          <cell r="M1377" t="str">
            <v>/27</v>
          </cell>
          <cell r="N1377">
            <v>811</v>
          </cell>
          <cell r="O1377" t="str">
            <v>10.117.198.180</v>
          </cell>
          <cell r="P1377" t="str">
            <v>10.117.198.161</v>
          </cell>
          <cell r="Q1377" t="str">
            <v>/27</v>
          </cell>
          <cell r="R1377">
            <v>821</v>
          </cell>
        </row>
        <row r="1378">
          <cell r="E1378" t="str">
            <v>AC272</v>
          </cell>
          <cell r="G1378" t="str">
            <v>10.117.192.181</v>
          </cell>
          <cell r="H1378" t="str">
            <v>10.117.192.161</v>
          </cell>
          <cell r="I1378" t="str">
            <v>/27</v>
          </cell>
          <cell r="J1378">
            <v>801</v>
          </cell>
          <cell r="K1378" t="str">
            <v>10.117.195.181</v>
          </cell>
          <cell r="L1378" t="str">
            <v>10.117.195.161</v>
          </cell>
          <cell r="M1378" t="str">
            <v>/27</v>
          </cell>
          <cell r="N1378">
            <v>811</v>
          </cell>
          <cell r="O1378" t="str">
            <v>10.117.198.181</v>
          </cell>
          <cell r="P1378" t="str">
            <v>10.117.198.161</v>
          </cell>
          <cell r="Q1378" t="str">
            <v>/27</v>
          </cell>
          <cell r="R1378">
            <v>821</v>
          </cell>
        </row>
        <row r="1379">
          <cell r="E1379" t="str">
            <v>AC272</v>
          </cell>
          <cell r="G1379" t="str">
            <v>10.117.192.182</v>
          </cell>
          <cell r="H1379" t="str">
            <v>10.117.192.161</v>
          </cell>
          <cell r="I1379" t="str">
            <v>/27</v>
          </cell>
          <cell r="J1379">
            <v>801</v>
          </cell>
          <cell r="K1379" t="str">
            <v>10.117.195.182</v>
          </cell>
          <cell r="L1379" t="str">
            <v>10.117.195.161</v>
          </cell>
          <cell r="M1379" t="str">
            <v>/27</v>
          </cell>
          <cell r="N1379">
            <v>811</v>
          </cell>
          <cell r="O1379" t="str">
            <v>10.117.198.182</v>
          </cell>
          <cell r="P1379" t="str">
            <v>10.117.198.161</v>
          </cell>
          <cell r="Q1379" t="str">
            <v>/27</v>
          </cell>
          <cell r="R1379">
            <v>821</v>
          </cell>
        </row>
        <row r="1380">
          <cell r="E1380" t="str">
            <v>AC272</v>
          </cell>
          <cell r="G1380" t="str">
            <v>10.117.192.183</v>
          </cell>
          <cell r="H1380" t="str">
            <v>10.117.192.161</v>
          </cell>
          <cell r="I1380" t="str">
            <v>/27</v>
          </cell>
          <cell r="J1380">
            <v>801</v>
          </cell>
          <cell r="K1380" t="str">
            <v>10.117.195.183</v>
          </cell>
          <cell r="L1380" t="str">
            <v>10.117.195.161</v>
          </cell>
          <cell r="M1380" t="str">
            <v>/27</v>
          </cell>
          <cell r="N1380">
            <v>811</v>
          </cell>
          <cell r="O1380" t="str">
            <v>10.117.198.183</v>
          </cell>
          <cell r="P1380" t="str">
            <v>10.117.198.161</v>
          </cell>
          <cell r="Q1380" t="str">
            <v>/27</v>
          </cell>
          <cell r="R1380">
            <v>821</v>
          </cell>
        </row>
        <row r="1381">
          <cell r="E1381" t="str">
            <v>AC272</v>
          </cell>
          <cell r="G1381" t="str">
            <v>10.117.192.184</v>
          </cell>
          <cell r="H1381" t="str">
            <v>10.117.192.161</v>
          </cell>
          <cell r="I1381" t="str">
            <v>/27</v>
          </cell>
          <cell r="J1381">
            <v>801</v>
          </cell>
          <cell r="K1381" t="str">
            <v>10.117.195.184</v>
          </cell>
          <cell r="L1381" t="str">
            <v>10.117.195.161</v>
          </cell>
          <cell r="M1381" t="str">
            <v>/27</v>
          </cell>
          <cell r="N1381">
            <v>811</v>
          </cell>
          <cell r="O1381" t="str">
            <v>10.117.198.184</v>
          </cell>
          <cell r="P1381" t="str">
            <v>10.117.198.161</v>
          </cell>
          <cell r="Q1381" t="str">
            <v>/27</v>
          </cell>
          <cell r="R1381">
            <v>821</v>
          </cell>
        </row>
        <row r="1382">
          <cell r="E1382" t="str">
            <v>AC272</v>
          </cell>
          <cell r="G1382" t="str">
            <v>10.117.192.185</v>
          </cell>
          <cell r="H1382" t="str">
            <v>10.117.192.161</v>
          </cell>
          <cell r="I1382" t="str">
            <v>/27</v>
          </cell>
          <cell r="J1382">
            <v>801</v>
          </cell>
          <cell r="K1382" t="str">
            <v>10.117.195.185</v>
          </cell>
          <cell r="L1382" t="str">
            <v>10.117.195.161</v>
          </cell>
          <cell r="M1382" t="str">
            <v>/27</v>
          </cell>
          <cell r="N1382">
            <v>811</v>
          </cell>
          <cell r="O1382" t="str">
            <v>10.117.198.185</v>
          </cell>
          <cell r="P1382" t="str">
            <v>10.117.198.161</v>
          </cell>
          <cell r="Q1382" t="str">
            <v>/27</v>
          </cell>
          <cell r="R1382">
            <v>821</v>
          </cell>
        </row>
        <row r="1383">
          <cell r="E1383" t="str">
            <v>AC272</v>
          </cell>
          <cell r="G1383" t="str">
            <v>10.117.192.186</v>
          </cell>
          <cell r="H1383" t="str">
            <v>10.117.192.161</v>
          </cell>
          <cell r="I1383" t="str">
            <v>/27</v>
          </cell>
          <cell r="J1383">
            <v>801</v>
          </cell>
          <cell r="K1383" t="str">
            <v>10.117.195.186</v>
          </cell>
          <cell r="L1383" t="str">
            <v>10.117.195.161</v>
          </cell>
          <cell r="M1383" t="str">
            <v>/27</v>
          </cell>
          <cell r="N1383">
            <v>811</v>
          </cell>
          <cell r="O1383" t="str">
            <v>10.117.198.186</v>
          </cell>
          <cell r="P1383" t="str">
            <v>10.117.198.161</v>
          </cell>
          <cell r="Q1383" t="str">
            <v>/27</v>
          </cell>
          <cell r="R1383">
            <v>821</v>
          </cell>
        </row>
        <row r="1384">
          <cell r="E1384" t="str">
            <v>AC272</v>
          </cell>
          <cell r="G1384" t="str">
            <v>10.117.192.187</v>
          </cell>
          <cell r="H1384" t="str">
            <v>10.117.192.161</v>
          </cell>
          <cell r="I1384" t="str">
            <v>/27</v>
          </cell>
          <cell r="J1384">
            <v>801</v>
          </cell>
          <cell r="K1384" t="str">
            <v>10.117.195.187</v>
          </cell>
          <cell r="L1384" t="str">
            <v>10.117.195.161</v>
          </cell>
          <cell r="M1384" t="str">
            <v>/27</v>
          </cell>
          <cell r="N1384">
            <v>811</v>
          </cell>
          <cell r="O1384" t="str">
            <v>10.117.198.187</v>
          </cell>
          <cell r="P1384" t="str">
            <v>10.117.198.161</v>
          </cell>
          <cell r="Q1384" t="str">
            <v>/27</v>
          </cell>
          <cell r="R1384">
            <v>821</v>
          </cell>
        </row>
        <row r="1385">
          <cell r="E1385" t="str">
            <v>AC272</v>
          </cell>
          <cell r="G1385" t="str">
            <v>10.117.192.188</v>
          </cell>
          <cell r="H1385" t="str">
            <v>10.117.192.161</v>
          </cell>
          <cell r="I1385" t="str">
            <v>/27</v>
          </cell>
          <cell r="J1385">
            <v>801</v>
          </cell>
          <cell r="K1385" t="str">
            <v>10.117.195.188</v>
          </cell>
          <cell r="L1385" t="str">
            <v>10.117.195.161</v>
          </cell>
          <cell r="M1385" t="str">
            <v>/27</v>
          </cell>
          <cell r="N1385">
            <v>811</v>
          </cell>
          <cell r="O1385" t="str">
            <v>10.117.198.188</v>
          </cell>
          <cell r="P1385" t="str">
            <v>10.117.198.161</v>
          </cell>
          <cell r="Q1385" t="str">
            <v>/27</v>
          </cell>
          <cell r="R1385">
            <v>821</v>
          </cell>
        </row>
        <row r="1386">
          <cell r="E1386" t="str">
            <v>AC272</v>
          </cell>
          <cell r="G1386" t="str">
            <v>10.117.192.189</v>
          </cell>
          <cell r="H1386" t="str">
            <v>10.117.192.161</v>
          </cell>
          <cell r="I1386" t="str">
            <v>/27</v>
          </cell>
          <cell r="J1386">
            <v>801</v>
          </cell>
          <cell r="K1386" t="str">
            <v>10.117.195.189</v>
          </cell>
          <cell r="L1386" t="str">
            <v>10.117.195.161</v>
          </cell>
          <cell r="M1386" t="str">
            <v>/27</v>
          </cell>
          <cell r="N1386">
            <v>811</v>
          </cell>
          <cell r="O1386" t="str">
            <v>10.117.198.189</v>
          </cell>
          <cell r="P1386" t="str">
            <v>10.117.198.161</v>
          </cell>
          <cell r="Q1386" t="str">
            <v>/27</v>
          </cell>
          <cell r="R1386">
            <v>821</v>
          </cell>
        </row>
        <row r="1387">
          <cell r="E1387" t="str">
            <v>AC272</v>
          </cell>
          <cell r="G1387" t="str">
            <v>10.117.192.190</v>
          </cell>
          <cell r="H1387" t="str">
            <v>10.117.192.161</v>
          </cell>
          <cell r="I1387" t="str">
            <v>/27</v>
          </cell>
          <cell r="J1387">
            <v>801</v>
          </cell>
          <cell r="K1387" t="str">
            <v>10.117.195.190</v>
          </cell>
          <cell r="L1387" t="str">
            <v>10.117.195.161</v>
          </cell>
          <cell r="M1387" t="str">
            <v>/27</v>
          </cell>
          <cell r="N1387">
            <v>811</v>
          </cell>
          <cell r="O1387" t="str">
            <v>10.117.198.190</v>
          </cell>
          <cell r="P1387" t="str">
            <v>10.117.198.161</v>
          </cell>
          <cell r="Q1387" t="str">
            <v>/27</v>
          </cell>
          <cell r="R1387">
            <v>821</v>
          </cell>
        </row>
        <row r="1388">
          <cell r="E1388" t="str">
            <v>AC272</v>
          </cell>
          <cell r="G1388" t="str">
            <v>10.117.192.191</v>
          </cell>
          <cell r="H1388" t="str">
            <v>10.117.192.161</v>
          </cell>
          <cell r="I1388" t="str">
            <v>/27</v>
          </cell>
          <cell r="J1388">
            <v>801</v>
          </cell>
          <cell r="K1388" t="str">
            <v>10.117.195.191</v>
          </cell>
          <cell r="L1388" t="str">
            <v>10.117.195.161</v>
          </cell>
          <cell r="M1388" t="str">
            <v>/27</v>
          </cell>
          <cell r="N1388">
            <v>811</v>
          </cell>
          <cell r="O1388" t="str">
            <v>10.117.198.191</v>
          </cell>
          <cell r="P1388" t="str">
            <v>10.117.198.161</v>
          </cell>
          <cell r="Q1388" t="str">
            <v>/27</v>
          </cell>
          <cell r="R1388">
            <v>821</v>
          </cell>
        </row>
        <row r="1389">
          <cell r="E1389" t="str">
            <v>AC184</v>
          </cell>
          <cell r="G1389" t="str">
            <v>10.117.192.128</v>
          </cell>
          <cell r="H1389" t="str">
            <v>10.117.192.129</v>
          </cell>
          <cell r="I1389" t="str">
            <v>/27</v>
          </cell>
          <cell r="J1389">
            <v>800</v>
          </cell>
          <cell r="K1389" t="str">
            <v>10.117.195.128</v>
          </cell>
          <cell r="L1389" t="str">
            <v>10.117.195.129</v>
          </cell>
          <cell r="M1389" t="str">
            <v>/27</v>
          </cell>
          <cell r="N1389">
            <v>810</v>
          </cell>
          <cell r="O1389" t="str">
            <v>10.117.198.128</v>
          </cell>
          <cell r="P1389" t="str">
            <v>10.117.198.129</v>
          </cell>
          <cell r="Q1389" t="str">
            <v>/27</v>
          </cell>
          <cell r="R1389">
            <v>820</v>
          </cell>
        </row>
        <row r="1390">
          <cell r="E1390" t="str">
            <v>AC184</v>
          </cell>
          <cell r="G1390" t="str">
            <v>10.117.192.129</v>
          </cell>
          <cell r="H1390" t="str">
            <v>10.117.192.129</v>
          </cell>
          <cell r="I1390" t="str">
            <v>/27</v>
          </cell>
          <cell r="J1390">
            <v>800</v>
          </cell>
          <cell r="K1390" t="str">
            <v>10.117.195.129</v>
          </cell>
          <cell r="L1390" t="str">
            <v>10.117.195.129</v>
          </cell>
          <cell r="M1390" t="str">
            <v>/27</v>
          </cell>
          <cell r="N1390">
            <v>810</v>
          </cell>
          <cell r="O1390" t="str">
            <v>10.117.198.129</v>
          </cell>
          <cell r="P1390" t="str">
            <v>10.117.198.129</v>
          </cell>
          <cell r="Q1390" t="str">
            <v>/27</v>
          </cell>
          <cell r="R1390">
            <v>820</v>
          </cell>
        </row>
        <row r="1391">
          <cell r="E1391" t="str">
            <v>AC184</v>
          </cell>
          <cell r="G1391" t="str">
            <v>10.117.192.130</v>
          </cell>
          <cell r="H1391" t="str">
            <v>10.117.192.129</v>
          </cell>
          <cell r="I1391" t="str">
            <v>/27</v>
          </cell>
          <cell r="J1391">
            <v>800</v>
          </cell>
          <cell r="K1391" t="str">
            <v>10.117.195.130</v>
          </cell>
          <cell r="L1391" t="str">
            <v>10.117.195.129</v>
          </cell>
          <cell r="M1391" t="str">
            <v>/27</v>
          </cell>
          <cell r="N1391">
            <v>810</v>
          </cell>
          <cell r="O1391" t="str">
            <v>10.117.198.130</v>
          </cell>
          <cell r="P1391" t="str">
            <v>10.117.198.129</v>
          </cell>
          <cell r="Q1391" t="str">
            <v>/27</v>
          </cell>
          <cell r="R1391">
            <v>820</v>
          </cell>
        </row>
        <row r="1392">
          <cell r="E1392" t="str">
            <v>AC184</v>
          </cell>
          <cell r="G1392" t="str">
            <v>10.117.192.131</v>
          </cell>
          <cell r="H1392" t="str">
            <v>10.117.192.129</v>
          </cell>
          <cell r="I1392" t="str">
            <v>/27</v>
          </cell>
          <cell r="J1392">
            <v>800</v>
          </cell>
          <cell r="K1392" t="str">
            <v>10.117.195.131</v>
          </cell>
          <cell r="L1392" t="str">
            <v>10.117.195.129</v>
          </cell>
          <cell r="M1392" t="str">
            <v>/27</v>
          </cell>
          <cell r="N1392">
            <v>810</v>
          </cell>
          <cell r="O1392" t="str">
            <v>10.117.198.131</v>
          </cell>
          <cell r="P1392" t="str">
            <v>10.117.198.129</v>
          </cell>
          <cell r="Q1392" t="str">
            <v>/27</v>
          </cell>
          <cell r="R1392">
            <v>820</v>
          </cell>
        </row>
        <row r="1393">
          <cell r="E1393" t="str">
            <v>AC184</v>
          </cell>
          <cell r="G1393" t="str">
            <v>10.117.192.132</v>
          </cell>
          <cell r="H1393" t="str">
            <v>10.117.192.129</v>
          </cell>
          <cell r="I1393" t="str">
            <v>/27</v>
          </cell>
          <cell r="J1393">
            <v>800</v>
          </cell>
          <cell r="K1393" t="str">
            <v>10.117.195.132</v>
          </cell>
          <cell r="L1393" t="str">
            <v>10.117.195.129</v>
          </cell>
          <cell r="M1393" t="str">
            <v>/27</v>
          </cell>
          <cell r="N1393">
            <v>810</v>
          </cell>
          <cell r="O1393" t="str">
            <v>10.117.198.132</v>
          </cell>
          <cell r="P1393" t="str">
            <v>10.117.198.129</v>
          </cell>
          <cell r="Q1393" t="str">
            <v>/27</v>
          </cell>
          <cell r="R1393">
            <v>820</v>
          </cell>
        </row>
        <row r="1394">
          <cell r="E1394" t="str">
            <v>AC184</v>
          </cell>
          <cell r="F1394" t="str">
            <v>AC184</v>
          </cell>
          <cell r="G1394" t="str">
            <v>10.117.192.133</v>
          </cell>
          <cell r="H1394" t="str">
            <v>10.117.192.129</v>
          </cell>
          <cell r="I1394" t="str">
            <v>/27</v>
          </cell>
          <cell r="J1394">
            <v>800</v>
          </cell>
          <cell r="K1394" t="str">
            <v>10.117.195.133</v>
          </cell>
          <cell r="L1394" t="str">
            <v>10.117.195.129</v>
          </cell>
          <cell r="M1394" t="str">
            <v>/27</v>
          </cell>
          <cell r="N1394">
            <v>810</v>
          </cell>
          <cell r="O1394" t="str">
            <v>10.117.198.133</v>
          </cell>
          <cell r="P1394" t="str">
            <v>10.117.198.129</v>
          </cell>
          <cell r="Q1394" t="str">
            <v>/27</v>
          </cell>
          <cell r="R1394">
            <v>820</v>
          </cell>
        </row>
        <row r="1395">
          <cell r="E1395" t="str">
            <v>AC184</v>
          </cell>
          <cell r="G1395" t="str">
            <v>10.117.192.134</v>
          </cell>
          <cell r="H1395" t="str">
            <v>10.117.192.129</v>
          </cell>
          <cell r="I1395" t="str">
            <v>/27</v>
          </cell>
          <cell r="J1395">
            <v>800</v>
          </cell>
          <cell r="K1395" t="str">
            <v>10.117.195.134</v>
          </cell>
          <cell r="L1395" t="str">
            <v>10.117.195.129</v>
          </cell>
          <cell r="M1395" t="str">
            <v>/27</v>
          </cell>
          <cell r="N1395">
            <v>810</v>
          </cell>
          <cell r="O1395" t="str">
            <v>10.117.198.134</v>
          </cell>
          <cell r="P1395" t="str">
            <v>10.117.198.129</v>
          </cell>
          <cell r="Q1395" t="str">
            <v>/27</v>
          </cell>
          <cell r="R1395">
            <v>820</v>
          </cell>
        </row>
        <row r="1396">
          <cell r="E1396" t="str">
            <v>AC184</v>
          </cell>
          <cell r="G1396" t="str">
            <v>10.117.192.135</v>
          </cell>
          <cell r="H1396" t="str">
            <v>10.117.192.129</v>
          </cell>
          <cell r="I1396" t="str">
            <v>/27</v>
          </cell>
          <cell r="J1396">
            <v>800</v>
          </cell>
          <cell r="K1396" t="str">
            <v>10.117.195.135</v>
          </cell>
          <cell r="L1396" t="str">
            <v>10.117.195.129</v>
          </cell>
          <cell r="M1396" t="str">
            <v>/27</v>
          </cell>
          <cell r="N1396">
            <v>810</v>
          </cell>
          <cell r="O1396" t="str">
            <v>10.117.198.135</v>
          </cell>
          <cell r="P1396" t="str">
            <v>10.117.198.129</v>
          </cell>
          <cell r="Q1396" t="str">
            <v>/27</v>
          </cell>
          <cell r="R1396">
            <v>820</v>
          </cell>
        </row>
        <row r="1397">
          <cell r="E1397" t="str">
            <v>AC184</v>
          </cell>
          <cell r="G1397" t="str">
            <v>10.117.192.136</v>
          </cell>
          <cell r="H1397" t="str">
            <v>10.117.192.129</v>
          </cell>
          <cell r="I1397" t="str">
            <v>/27</v>
          </cell>
          <cell r="J1397">
            <v>800</v>
          </cell>
          <cell r="K1397" t="str">
            <v>10.117.195.136</v>
          </cell>
          <cell r="L1397" t="str">
            <v>10.117.195.129</v>
          </cell>
          <cell r="M1397" t="str">
            <v>/27</v>
          </cell>
          <cell r="N1397">
            <v>810</v>
          </cell>
          <cell r="O1397" t="str">
            <v>10.117.198.136</v>
          </cell>
          <cell r="P1397" t="str">
            <v>10.117.198.129</v>
          </cell>
          <cell r="Q1397" t="str">
            <v>/27</v>
          </cell>
          <cell r="R1397">
            <v>820</v>
          </cell>
        </row>
        <row r="1398">
          <cell r="E1398" t="str">
            <v>AC184</v>
          </cell>
          <cell r="F1398" t="str">
            <v>ET640</v>
          </cell>
          <cell r="G1398" t="str">
            <v>10.117.192.137</v>
          </cell>
          <cell r="H1398" t="str">
            <v>10.117.192.129</v>
          </cell>
          <cell r="I1398" t="str">
            <v>/27</v>
          </cell>
          <cell r="J1398">
            <v>800</v>
          </cell>
          <cell r="K1398" t="str">
            <v>10.117.195.137</v>
          </cell>
          <cell r="L1398" t="str">
            <v>10.117.195.129</v>
          </cell>
          <cell r="M1398" t="str">
            <v>/27</v>
          </cell>
          <cell r="N1398">
            <v>810</v>
          </cell>
          <cell r="O1398" t="str">
            <v>10.117.198.137</v>
          </cell>
          <cell r="P1398" t="str">
            <v>10.117.198.129</v>
          </cell>
          <cell r="Q1398" t="str">
            <v>/27</v>
          </cell>
          <cell r="R1398">
            <v>820</v>
          </cell>
        </row>
        <row r="1399">
          <cell r="E1399" t="str">
            <v>AC184</v>
          </cell>
          <cell r="G1399" t="str">
            <v>10.117.192.138</v>
          </cell>
          <cell r="H1399" t="str">
            <v>10.117.192.129</v>
          </cell>
          <cell r="I1399" t="str">
            <v>/27</v>
          </cell>
          <cell r="J1399">
            <v>800</v>
          </cell>
          <cell r="K1399" t="str">
            <v>10.117.195.138</v>
          </cell>
          <cell r="L1399" t="str">
            <v>10.117.195.129</v>
          </cell>
          <cell r="M1399" t="str">
            <v>/27</v>
          </cell>
          <cell r="N1399">
            <v>810</v>
          </cell>
          <cell r="O1399" t="str">
            <v>10.117.198.138</v>
          </cell>
          <cell r="P1399" t="str">
            <v>10.117.198.129</v>
          </cell>
          <cell r="Q1399" t="str">
            <v>/27</v>
          </cell>
          <cell r="R1399">
            <v>820</v>
          </cell>
        </row>
        <row r="1400">
          <cell r="E1400" t="str">
            <v>AC184</v>
          </cell>
          <cell r="G1400" t="str">
            <v>10.117.192.139</v>
          </cell>
          <cell r="H1400" t="str">
            <v>10.117.192.129</v>
          </cell>
          <cell r="I1400" t="str">
            <v>/27</v>
          </cell>
          <cell r="J1400">
            <v>800</v>
          </cell>
          <cell r="K1400" t="str">
            <v>10.117.195.139</v>
          </cell>
          <cell r="L1400" t="str">
            <v>10.117.195.129</v>
          </cell>
          <cell r="M1400" t="str">
            <v>/27</v>
          </cell>
          <cell r="N1400">
            <v>810</v>
          </cell>
          <cell r="O1400" t="str">
            <v>10.117.198.139</v>
          </cell>
          <cell r="P1400" t="str">
            <v>10.117.198.129</v>
          </cell>
          <cell r="Q1400" t="str">
            <v>/27</v>
          </cell>
          <cell r="R1400">
            <v>820</v>
          </cell>
        </row>
        <row r="1401">
          <cell r="E1401" t="str">
            <v>AC184</v>
          </cell>
          <cell r="G1401" t="str">
            <v>10.117.192.140</v>
          </cell>
          <cell r="H1401" t="str">
            <v>10.117.192.129</v>
          </cell>
          <cell r="I1401" t="str">
            <v>/27</v>
          </cell>
          <cell r="J1401">
            <v>800</v>
          </cell>
          <cell r="K1401" t="str">
            <v>10.117.195.140</v>
          </cell>
          <cell r="L1401" t="str">
            <v>10.117.195.129</v>
          </cell>
          <cell r="M1401" t="str">
            <v>/27</v>
          </cell>
          <cell r="N1401">
            <v>810</v>
          </cell>
          <cell r="O1401" t="str">
            <v>10.117.198.140</v>
          </cell>
          <cell r="P1401" t="str">
            <v>10.117.198.129</v>
          </cell>
          <cell r="Q1401" t="str">
            <v>/27</v>
          </cell>
          <cell r="R1401">
            <v>820</v>
          </cell>
        </row>
        <row r="1402">
          <cell r="E1402" t="str">
            <v>AC184</v>
          </cell>
          <cell r="G1402" t="str">
            <v>10.117.192.141</v>
          </cell>
          <cell r="H1402" t="str">
            <v>10.117.192.129</v>
          </cell>
          <cell r="I1402" t="str">
            <v>/27</v>
          </cell>
          <cell r="J1402">
            <v>800</v>
          </cell>
          <cell r="K1402" t="str">
            <v>10.117.195.141</v>
          </cell>
          <cell r="L1402" t="str">
            <v>10.117.195.129</v>
          </cell>
          <cell r="M1402" t="str">
            <v>/27</v>
          </cell>
          <cell r="N1402">
            <v>810</v>
          </cell>
          <cell r="O1402" t="str">
            <v>10.117.198.141</v>
          </cell>
          <cell r="P1402" t="str">
            <v>10.117.198.129</v>
          </cell>
          <cell r="Q1402" t="str">
            <v>/27</v>
          </cell>
          <cell r="R1402">
            <v>820</v>
          </cell>
        </row>
        <row r="1403">
          <cell r="E1403" t="str">
            <v>AC184</v>
          </cell>
          <cell r="G1403" t="str">
            <v>10.117.192.142</v>
          </cell>
          <cell r="H1403" t="str">
            <v>10.117.192.129</v>
          </cell>
          <cell r="I1403" t="str">
            <v>/27</v>
          </cell>
          <cell r="J1403">
            <v>800</v>
          </cell>
          <cell r="K1403" t="str">
            <v>10.117.195.142</v>
          </cell>
          <cell r="L1403" t="str">
            <v>10.117.195.129</v>
          </cell>
          <cell r="M1403" t="str">
            <v>/27</v>
          </cell>
          <cell r="N1403">
            <v>810</v>
          </cell>
          <cell r="O1403" t="str">
            <v>10.117.198.142</v>
          </cell>
          <cell r="P1403" t="str">
            <v>10.117.198.129</v>
          </cell>
          <cell r="Q1403" t="str">
            <v>/27</v>
          </cell>
          <cell r="R1403">
            <v>820</v>
          </cell>
        </row>
        <row r="1404">
          <cell r="E1404" t="str">
            <v>AC184</v>
          </cell>
          <cell r="G1404" t="str">
            <v>10.117.192.143</v>
          </cell>
          <cell r="H1404" t="str">
            <v>10.117.192.129</v>
          </cell>
          <cell r="I1404" t="str">
            <v>/27</v>
          </cell>
          <cell r="J1404">
            <v>800</v>
          </cell>
          <cell r="K1404" t="str">
            <v>10.117.195.143</v>
          </cell>
          <cell r="L1404" t="str">
            <v>10.117.195.129</v>
          </cell>
          <cell r="M1404" t="str">
            <v>/27</v>
          </cell>
          <cell r="N1404">
            <v>810</v>
          </cell>
          <cell r="O1404" t="str">
            <v>10.117.198.143</v>
          </cell>
          <cell r="P1404" t="str">
            <v>10.117.198.129</v>
          </cell>
          <cell r="Q1404" t="str">
            <v>/27</v>
          </cell>
          <cell r="R1404">
            <v>820</v>
          </cell>
        </row>
        <row r="1405">
          <cell r="E1405" t="str">
            <v>AC184</v>
          </cell>
          <cell r="G1405" t="str">
            <v>10.117.192.144</v>
          </cell>
          <cell r="H1405" t="str">
            <v>10.117.192.129</v>
          </cell>
          <cell r="I1405" t="str">
            <v>/27</v>
          </cell>
          <cell r="J1405">
            <v>800</v>
          </cell>
          <cell r="K1405" t="str">
            <v>10.117.195.144</v>
          </cell>
          <cell r="L1405" t="str">
            <v>10.117.195.129</v>
          </cell>
          <cell r="M1405" t="str">
            <v>/27</v>
          </cell>
          <cell r="N1405">
            <v>810</v>
          </cell>
          <cell r="O1405" t="str">
            <v>10.117.198.144</v>
          </cell>
          <cell r="P1405" t="str">
            <v>10.117.198.129</v>
          </cell>
          <cell r="Q1405" t="str">
            <v>/27</v>
          </cell>
          <cell r="R1405">
            <v>820</v>
          </cell>
        </row>
        <row r="1406">
          <cell r="E1406" t="str">
            <v>AC184</v>
          </cell>
          <cell r="G1406" t="str">
            <v>10.117.192.145</v>
          </cell>
          <cell r="H1406" t="str">
            <v>10.117.192.129</v>
          </cell>
          <cell r="I1406" t="str">
            <v>/27</v>
          </cell>
          <cell r="J1406">
            <v>800</v>
          </cell>
          <cell r="K1406" t="str">
            <v>10.117.195.145</v>
          </cell>
          <cell r="L1406" t="str">
            <v>10.117.195.129</v>
          </cell>
          <cell r="M1406" t="str">
            <v>/27</v>
          </cell>
          <cell r="N1406">
            <v>810</v>
          </cell>
          <cell r="O1406" t="str">
            <v>10.117.198.145</v>
          </cell>
          <cell r="P1406" t="str">
            <v>10.117.198.129</v>
          </cell>
          <cell r="Q1406" t="str">
            <v>/27</v>
          </cell>
          <cell r="R1406">
            <v>820</v>
          </cell>
        </row>
        <row r="1407">
          <cell r="E1407" t="str">
            <v>AC184</v>
          </cell>
          <cell r="G1407" t="str">
            <v>10.117.192.146</v>
          </cell>
          <cell r="H1407" t="str">
            <v>10.117.192.129</v>
          </cell>
          <cell r="I1407" t="str">
            <v>/27</v>
          </cell>
          <cell r="J1407">
            <v>800</v>
          </cell>
          <cell r="K1407" t="str">
            <v>10.117.195.146</v>
          </cell>
          <cell r="L1407" t="str">
            <v>10.117.195.129</v>
          </cell>
          <cell r="M1407" t="str">
            <v>/27</v>
          </cell>
          <cell r="N1407">
            <v>810</v>
          </cell>
          <cell r="O1407" t="str">
            <v>10.117.198.146</v>
          </cell>
          <cell r="P1407" t="str">
            <v>10.117.198.129</v>
          </cell>
          <cell r="Q1407" t="str">
            <v>/27</v>
          </cell>
          <cell r="R1407">
            <v>820</v>
          </cell>
        </row>
        <row r="1408">
          <cell r="E1408" t="str">
            <v>AC184</v>
          </cell>
          <cell r="G1408" t="str">
            <v>10.117.192.147</v>
          </cell>
          <cell r="H1408" t="str">
            <v>10.117.192.129</v>
          </cell>
          <cell r="I1408" t="str">
            <v>/27</v>
          </cell>
          <cell r="J1408">
            <v>800</v>
          </cell>
          <cell r="K1408" t="str">
            <v>10.117.195.147</v>
          </cell>
          <cell r="L1408" t="str">
            <v>10.117.195.129</v>
          </cell>
          <cell r="M1408" t="str">
            <v>/27</v>
          </cell>
          <cell r="N1408">
            <v>810</v>
          </cell>
          <cell r="O1408" t="str">
            <v>10.117.198.147</v>
          </cell>
          <cell r="P1408" t="str">
            <v>10.117.198.129</v>
          </cell>
          <cell r="Q1408" t="str">
            <v>/27</v>
          </cell>
          <cell r="R1408">
            <v>820</v>
          </cell>
        </row>
        <row r="1409">
          <cell r="E1409" t="str">
            <v>AC184</v>
          </cell>
          <cell r="G1409" t="str">
            <v>10.117.192.148</v>
          </cell>
          <cell r="H1409" t="str">
            <v>10.117.192.129</v>
          </cell>
          <cell r="I1409" t="str">
            <v>/27</v>
          </cell>
          <cell r="J1409">
            <v>800</v>
          </cell>
          <cell r="K1409" t="str">
            <v>10.117.195.148</v>
          </cell>
          <cell r="L1409" t="str">
            <v>10.117.195.129</v>
          </cell>
          <cell r="M1409" t="str">
            <v>/27</v>
          </cell>
          <cell r="N1409">
            <v>810</v>
          </cell>
          <cell r="O1409" t="str">
            <v>10.117.198.148</v>
          </cell>
          <cell r="P1409" t="str">
            <v>10.117.198.129</v>
          </cell>
          <cell r="Q1409" t="str">
            <v>/27</v>
          </cell>
          <cell r="R1409">
            <v>820</v>
          </cell>
        </row>
        <row r="1410">
          <cell r="E1410" t="str">
            <v>AC184</v>
          </cell>
          <cell r="G1410" t="str">
            <v>10.117.192.149</v>
          </cell>
          <cell r="H1410" t="str">
            <v>10.117.192.129</v>
          </cell>
          <cell r="I1410" t="str">
            <v>/27</v>
          </cell>
          <cell r="J1410">
            <v>800</v>
          </cell>
          <cell r="K1410" t="str">
            <v>10.117.195.149</v>
          </cell>
          <cell r="L1410" t="str">
            <v>10.117.195.129</v>
          </cell>
          <cell r="M1410" t="str">
            <v>/27</v>
          </cell>
          <cell r="N1410">
            <v>810</v>
          </cell>
          <cell r="O1410" t="str">
            <v>10.117.198.149</v>
          </cell>
          <cell r="P1410" t="str">
            <v>10.117.198.129</v>
          </cell>
          <cell r="Q1410" t="str">
            <v>/27</v>
          </cell>
          <cell r="R1410">
            <v>820</v>
          </cell>
        </row>
        <row r="1411">
          <cell r="E1411" t="str">
            <v>AC184</v>
          </cell>
          <cell r="G1411" t="str">
            <v>10.117.192.150</v>
          </cell>
          <cell r="H1411" t="str">
            <v>10.117.192.129</v>
          </cell>
          <cell r="I1411" t="str">
            <v>/27</v>
          </cell>
          <cell r="J1411">
            <v>800</v>
          </cell>
          <cell r="K1411" t="str">
            <v>10.117.195.150</v>
          </cell>
          <cell r="L1411" t="str">
            <v>10.117.195.129</v>
          </cell>
          <cell r="M1411" t="str">
            <v>/27</v>
          </cell>
          <cell r="N1411">
            <v>810</v>
          </cell>
          <cell r="O1411" t="str">
            <v>10.117.198.150</v>
          </cell>
          <cell r="P1411" t="str">
            <v>10.117.198.129</v>
          </cell>
          <cell r="Q1411" t="str">
            <v>/27</v>
          </cell>
          <cell r="R1411">
            <v>820</v>
          </cell>
        </row>
        <row r="1412">
          <cell r="E1412" t="str">
            <v>AC184</v>
          </cell>
          <cell r="G1412" t="str">
            <v>10.117.192.151</v>
          </cell>
          <cell r="H1412" t="str">
            <v>10.117.192.129</v>
          </cell>
          <cell r="I1412" t="str">
            <v>/27</v>
          </cell>
          <cell r="J1412">
            <v>800</v>
          </cell>
          <cell r="K1412" t="str">
            <v>10.117.195.151</v>
          </cell>
          <cell r="L1412" t="str">
            <v>10.117.195.129</v>
          </cell>
          <cell r="M1412" t="str">
            <v>/27</v>
          </cell>
          <cell r="N1412">
            <v>810</v>
          </cell>
          <cell r="O1412" t="str">
            <v>10.117.198.151</v>
          </cell>
          <cell r="P1412" t="str">
            <v>10.117.198.129</v>
          </cell>
          <cell r="Q1412" t="str">
            <v>/27</v>
          </cell>
          <cell r="R1412">
            <v>820</v>
          </cell>
        </row>
        <row r="1413">
          <cell r="E1413" t="str">
            <v>AC184</v>
          </cell>
          <cell r="G1413" t="str">
            <v>10.117.192.152</v>
          </cell>
          <cell r="H1413" t="str">
            <v>10.117.192.129</v>
          </cell>
          <cell r="I1413" t="str">
            <v>/27</v>
          </cell>
          <cell r="J1413">
            <v>800</v>
          </cell>
          <cell r="K1413" t="str">
            <v>10.117.195.152</v>
          </cell>
          <cell r="L1413" t="str">
            <v>10.117.195.129</v>
          </cell>
          <cell r="M1413" t="str">
            <v>/27</v>
          </cell>
          <cell r="N1413">
            <v>810</v>
          </cell>
          <cell r="O1413" t="str">
            <v>10.117.198.152</v>
          </cell>
          <cell r="P1413" t="str">
            <v>10.117.198.129</v>
          </cell>
          <cell r="Q1413" t="str">
            <v>/27</v>
          </cell>
          <cell r="R1413">
            <v>820</v>
          </cell>
        </row>
        <row r="1414">
          <cell r="E1414" t="str">
            <v>AC184</v>
          </cell>
          <cell r="G1414" t="str">
            <v>10.117.192.153</v>
          </cell>
          <cell r="H1414" t="str">
            <v>10.117.192.129</v>
          </cell>
          <cell r="I1414" t="str">
            <v>/27</v>
          </cell>
          <cell r="J1414">
            <v>800</v>
          </cell>
          <cell r="K1414" t="str">
            <v>10.117.195.153</v>
          </cell>
          <cell r="L1414" t="str">
            <v>10.117.195.129</v>
          </cell>
          <cell r="M1414" t="str">
            <v>/27</v>
          </cell>
          <cell r="N1414">
            <v>810</v>
          </cell>
          <cell r="O1414" t="str">
            <v>10.117.198.153</v>
          </cell>
          <cell r="P1414" t="str">
            <v>10.117.198.129</v>
          </cell>
          <cell r="Q1414" t="str">
            <v>/27</v>
          </cell>
          <cell r="R1414">
            <v>820</v>
          </cell>
        </row>
        <row r="1415">
          <cell r="E1415" t="str">
            <v>AC184</v>
          </cell>
          <cell r="G1415" t="str">
            <v>10.117.192.154</v>
          </cell>
          <cell r="H1415" t="str">
            <v>10.117.192.129</v>
          </cell>
          <cell r="I1415" t="str">
            <v>/27</v>
          </cell>
          <cell r="J1415">
            <v>800</v>
          </cell>
          <cell r="K1415" t="str">
            <v>10.117.195.154</v>
          </cell>
          <cell r="L1415" t="str">
            <v>10.117.195.129</v>
          </cell>
          <cell r="M1415" t="str">
            <v>/27</v>
          </cell>
          <cell r="N1415">
            <v>810</v>
          </cell>
          <cell r="O1415" t="str">
            <v>10.117.198.154</v>
          </cell>
          <cell r="P1415" t="str">
            <v>10.117.198.129</v>
          </cell>
          <cell r="Q1415" t="str">
            <v>/27</v>
          </cell>
          <cell r="R1415">
            <v>820</v>
          </cell>
        </row>
        <row r="1416">
          <cell r="E1416" t="str">
            <v>AC184</v>
          </cell>
          <cell r="G1416" t="str">
            <v>10.117.192.155</v>
          </cell>
          <cell r="H1416" t="str">
            <v>10.117.192.129</v>
          </cell>
          <cell r="I1416" t="str">
            <v>/27</v>
          </cell>
          <cell r="J1416">
            <v>800</v>
          </cell>
          <cell r="K1416" t="str">
            <v>10.117.195.155</v>
          </cell>
          <cell r="L1416" t="str">
            <v>10.117.195.129</v>
          </cell>
          <cell r="M1416" t="str">
            <v>/27</v>
          </cell>
          <cell r="N1416">
            <v>810</v>
          </cell>
          <cell r="O1416" t="str">
            <v>10.117.198.155</v>
          </cell>
          <cell r="P1416" t="str">
            <v>10.117.198.129</v>
          </cell>
          <cell r="Q1416" t="str">
            <v>/27</v>
          </cell>
          <cell r="R1416">
            <v>820</v>
          </cell>
        </row>
        <row r="1417">
          <cell r="E1417" t="str">
            <v>AC184</v>
          </cell>
          <cell r="G1417" t="str">
            <v>10.117.192.156</v>
          </cell>
          <cell r="H1417" t="str">
            <v>10.117.192.129</v>
          </cell>
          <cell r="I1417" t="str">
            <v>/27</v>
          </cell>
          <cell r="J1417">
            <v>800</v>
          </cell>
          <cell r="K1417" t="str">
            <v>10.117.195.156</v>
          </cell>
          <cell r="L1417" t="str">
            <v>10.117.195.129</v>
          </cell>
          <cell r="M1417" t="str">
            <v>/27</v>
          </cell>
          <cell r="N1417">
            <v>810</v>
          </cell>
          <cell r="O1417" t="str">
            <v>10.117.198.156</v>
          </cell>
          <cell r="P1417" t="str">
            <v>10.117.198.129</v>
          </cell>
          <cell r="Q1417" t="str">
            <v>/27</v>
          </cell>
          <cell r="R1417">
            <v>820</v>
          </cell>
        </row>
        <row r="1418">
          <cell r="E1418" t="str">
            <v>AC184</v>
          </cell>
          <cell r="G1418" t="str">
            <v>10.117.192.157</v>
          </cell>
          <cell r="H1418" t="str">
            <v>10.117.192.129</v>
          </cell>
          <cell r="I1418" t="str">
            <v>/27</v>
          </cell>
          <cell r="J1418">
            <v>800</v>
          </cell>
          <cell r="K1418" t="str">
            <v>10.117.195.157</v>
          </cell>
          <cell r="L1418" t="str">
            <v>10.117.195.129</v>
          </cell>
          <cell r="M1418" t="str">
            <v>/27</v>
          </cell>
          <cell r="N1418">
            <v>810</v>
          </cell>
          <cell r="O1418" t="str">
            <v>10.117.198.157</v>
          </cell>
          <cell r="P1418" t="str">
            <v>10.117.198.129</v>
          </cell>
          <cell r="Q1418" t="str">
            <v>/27</v>
          </cell>
          <cell r="R1418">
            <v>820</v>
          </cell>
        </row>
        <row r="1419">
          <cell r="E1419" t="str">
            <v>AC184</v>
          </cell>
          <cell r="G1419" t="str">
            <v>10.117.192.158</v>
          </cell>
          <cell r="H1419" t="str">
            <v>10.117.192.129</v>
          </cell>
          <cell r="I1419" t="str">
            <v>/27</v>
          </cell>
          <cell r="J1419">
            <v>800</v>
          </cell>
          <cell r="K1419" t="str">
            <v>10.117.195.158</v>
          </cell>
          <cell r="L1419" t="str">
            <v>10.117.195.129</v>
          </cell>
          <cell r="M1419" t="str">
            <v>/27</v>
          </cell>
          <cell r="N1419">
            <v>810</v>
          </cell>
          <cell r="O1419" t="str">
            <v>10.117.198.158</v>
          </cell>
          <cell r="P1419" t="str">
            <v>10.117.198.129</v>
          </cell>
          <cell r="Q1419" t="str">
            <v>/27</v>
          </cell>
          <cell r="R1419">
            <v>820</v>
          </cell>
        </row>
        <row r="1420">
          <cell r="E1420" t="str">
            <v>AC184</v>
          </cell>
          <cell r="G1420" t="str">
            <v>10.117.192.159</v>
          </cell>
          <cell r="H1420" t="str">
            <v>10.117.192.129</v>
          </cell>
          <cell r="I1420" t="str">
            <v>/27</v>
          </cell>
          <cell r="J1420">
            <v>800</v>
          </cell>
          <cell r="K1420" t="str">
            <v>10.117.195.159</v>
          </cell>
          <cell r="L1420" t="str">
            <v>10.117.195.129</v>
          </cell>
          <cell r="M1420" t="str">
            <v>/27</v>
          </cell>
          <cell r="N1420">
            <v>810</v>
          </cell>
          <cell r="O1420" t="str">
            <v>10.117.198.159</v>
          </cell>
          <cell r="P1420" t="str">
            <v>10.117.198.129</v>
          </cell>
          <cell r="Q1420" t="str">
            <v>/27</v>
          </cell>
          <cell r="R1420">
            <v>820</v>
          </cell>
        </row>
        <row r="1421">
          <cell r="E1421" t="str">
            <v>AC173</v>
          </cell>
          <cell r="G1421" t="str">
            <v>10.117.192.0</v>
          </cell>
          <cell r="H1421" t="str">
            <v>10.117.192.1</v>
          </cell>
          <cell r="I1421" t="str">
            <v>/27</v>
          </cell>
          <cell r="J1421">
            <v>802</v>
          </cell>
          <cell r="K1421" t="str">
            <v>10.117.195.0</v>
          </cell>
          <cell r="L1421" t="str">
            <v>10.117.195.1</v>
          </cell>
          <cell r="M1421" t="str">
            <v>/27</v>
          </cell>
          <cell r="N1421">
            <v>812</v>
          </cell>
          <cell r="O1421" t="str">
            <v>10.117.198.0</v>
          </cell>
          <cell r="P1421" t="str">
            <v>10.117.198.1</v>
          </cell>
          <cell r="Q1421" t="str">
            <v>/27</v>
          </cell>
          <cell r="R1421">
            <v>822</v>
          </cell>
        </row>
        <row r="1422">
          <cell r="E1422" t="str">
            <v>AC173</v>
          </cell>
          <cell r="G1422" t="str">
            <v>10.117.192.1</v>
          </cell>
          <cell r="H1422" t="str">
            <v>10.117.192.1</v>
          </cell>
          <cell r="I1422" t="str">
            <v>/27</v>
          </cell>
          <cell r="J1422">
            <v>802</v>
          </cell>
          <cell r="K1422" t="str">
            <v>10.117.195.1</v>
          </cell>
          <cell r="L1422" t="str">
            <v>10.117.195.1</v>
          </cell>
          <cell r="M1422" t="str">
            <v>/27</v>
          </cell>
          <cell r="N1422">
            <v>812</v>
          </cell>
          <cell r="O1422" t="str">
            <v>10.117.198.1</v>
          </cell>
          <cell r="P1422" t="str">
            <v>10.117.198.1</v>
          </cell>
          <cell r="Q1422" t="str">
            <v>/27</v>
          </cell>
          <cell r="R1422">
            <v>822</v>
          </cell>
        </row>
        <row r="1423">
          <cell r="E1423" t="str">
            <v>AC173</v>
          </cell>
          <cell r="G1423" t="str">
            <v>10.117.192.2</v>
          </cell>
          <cell r="H1423" t="str">
            <v>10.117.192.1</v>
          </cell>
          <cell r="I1423" t="str">
            <v>/27</v>
          </cell>
          <cell r="J1423">
            <v>802</v>
          </cell>
          <cell r="K1423" t="str">
            <v>10.117.195.2</v>
          </cell>
          <cell r="L1423" t="str">
            <v>10.117.195.1</v>
          </cell>
          <cell r="M1423" t="str">
            <v>/27</v>
          </cell>
          <cell r="N1423">
            <v>812</v>
          </cell>
          <cell r="O1423" t="str">
            <v>10.117.198.2</v>
          </cell>
          <cell r="P1423" t="str">
            <v>10.117.198.1</v>
          </cell>
          <cell r="Q1423" t="str">
            <v>/27</v>
          </cell>
          <cell r="R1423">
            <v>822</v>
          </cell>
        </row>
        <row r="1424">
          <cell r="E1424" t="str">
            <v>AC173</v>
          </cell>
          <cell r="G1424" t="str">
            <v>10.117.192.3</v>
          </cell>
          <cell r="H1424" t="str">
            <v>10.117.192.1</v>
          </cell>
          <cell r="I1424" t="str">
            <v>/27</v>
          </cell>
          <cell r="J1424">
            <v>802</v>
          </cell>
          <cell r="K1424" t="str">
            <v>10.117.195.3</v>
          </cell>
          <cell r="L1424" t="str">
            <v>10.117.195.1</v>
          </cell>
          <cell r="M1424" t="str">
            <v>/27</v>
          </cell>
          <cell r="N1424">
            <v>812</v>
          </cell>
          <cell r="O1424" t="str">
            <v>10.117.198.3</v>
          </cell>
          <cell r="P1424" t="str">
            <v>10.117.198.1</v>
          </cell>
          <cell r="Q1424" t="str">
            <v>/27</v>
          </cell>
          <cell r="R1424">
            <v>822</v>
          </cell>
        </row>
        <row r="1425">
          <cell r="E1425" t="str">
            <v>AC173</v>
          </cell>
          <cell r="F1425" t="str">
            <v>AC173</v>
          </cell>
          <cell r="G1425" t="str">
            <v>10.117.192.4</v>
          </cell>
          <cell r="H1425" t="str">
            <v>10.117.192.1</v>
          </cell>
          <cell r="I1425" t="str">
            <v>/27</v>
          </cell>
          <cell r="J1425">
            <v>802</v>
          </cell>
          <cell r="K1425" t="str">
            <v>10.117.195.4</v>
          </cell>
          <cell r="L1425" t="str">
            <v>10.117.195.1</v>
          </cell>
          <cell r="M1425" t="str">
            <v>/27</v>
          </cell>
          <cell r="N1425">
            <v>812</v>
          </cell>
          <cell r="O1425" t="str">
            <v>10.117.198.4</v>
          </cell>
          <cell r="P1425" t="str">
            <v>10.117.198.1</v>
          </cell>
          <cell r="Q1425" t="str">
            <v>/27</v>
          </cell>
          <cell r="R1425">
            <v>822</v>
          </cell>
        </row>
        <row r="1426">
          <cell r="E1426" t="str">
            <v>AC173</v>
          </cell>
          <cell r="G1426" t="str">
            <v>10.117.192.5</v>
          </cell>
          <cell r="H1426" t="str">
            <v>10.117.192.1</v>
          </cell>
          <cell r="I1426" t="str">
            <v>/27</v>
          </cell>
          <cell r="J1426">
            <v>802</v>
          </cell>
          <cell r="K1426" t="str">
            <v>10.117.195.5</v>
          </cell>
          <cell r="L1426" t="str">
            <v>10.117.195.1</v>
          </cell>
          <cell r="M1426" t="str">
            <v>/27</v>
          </cell>
          <cell r="N1426">
            <v>812</v>
          </cell>
          <cell r="O1426" t="str">
            <v>10.117.198.5</v>
          </cell>
          <cell r="P1426" t="str">
            <v>10.117.198.1</v>
          </cell>
          <cell r="Q1426" t="str">
            <v>/27</v>
          </cell>
          <cell r="R1426">
            <v>822</v>
          </cell>
        </row>
        <row r="1427">
          <cell r="E1427" t="str">
            <v>AC173</v>
          </cell>
          <cell r="F1427" t="str">
            <v>ET436</v>
          </cell>
          <cell r="G1427" t="str">
            <v>10.117.192.6</v>
          </cell>
          <cell r="H1427" t="str">
            <v>10.117.192.1</v>
          </cell>
          <cell r="I1427" t="str">
            <v>/27</v>
          </cell>
          <cell r="J1427">
            <v>802</v>
          </cell>
          <cell r="K1427" t="str">
            <v>10.117.195.6</v>
          </cell>
          <cell r="L1427" t="str">
            <v>10.117.195.1</v>
          </cell>
          <cell r="M1427" t="str">
            <v>/27</v>
          </cell>
          <cell r="N1427">
            <v>812</v>
          </cell>
          <cell r="O1427" t="str">
            <v>10.117.198.6</v>
          </cell>
          <cell r="P1427" t="str">
            <v>10.117.198.1</v>
          </cell>
          <cell r="Q1427" t="str">
            <v>/27</v>
          </cell>
          <cell r="R1427">
            <v>822</v>
          </cell>
        </row>
        <row r="1428">
          <cell r="E1428" t="str">
            <v>AC173</v>
          </cell>
          <cell r="G1428" t="str">
            <v>10.117.192.7</v>
          </cell>
          <cell r="H1428" t="str">
            <v>10.117.192.1</v>
          </cell>
          <cell r="I1428" t="str">
            <v>/27</v>
          </cell>
          <cell r="J1428">
            <v>802</v>
          </cell>
          <cell r="K1428" t="str">
            <v>10.117.195.7</v>
          </cell>
          <cell r="L1428" t="str">
            <v>10.117.195.1</v>
          </cell>
          <cell r="M1428" t="str">
            <v>/27</v>
          </cell>
          <cell r="N1428">
            <v>812</v>
          </cell>
          <cell r="O1428" t="str">
            <v>10.117.198.7</v>
          </cell>
          <cell r="P1428" t="str">
            <v>10.117.198.1</v>
          </cell>
          <cell r="Q1428" t="str">
            <v>/27</v>
          </cell>
          <cell r="R1428">
            <v>822</v>
          </cell>
        </row>
        <row r="1429">
          <cell r="E1429" t="str">
            <v>AC173</v>
          </cell>
          <cell r="F1429" t="str">
            <v>ET551</v>
          </cell>
          <cell r="G1429" t="str">
            <v>10.117.192.8</v>
          </cell>
          <cell r="H1429" t="str">
            <v>10.117.192.1</v>
          </cell>
          <cell r="I1429" t="str">
            <v>/27</v>
          </cell>
          <cell r="J1429">
            <v>802</v>
          </cell>
          <cell r="K1429" t="str">
            <v>10.117.195.8</v>
          </cell>
          <cell r="L1429" t="str">
            <v>10.117.195.1</v>
          </cell>
          <cell r="M1429" t="str">
            <v>/27</v>
          </cell>
          <cell r="N1429">
            <v>812</v>
          </cell>
          <cell r="O1429" t="str">
            <v>10.117.198.8</v>
          </cell>
          <cell r="P1429" t="str">
            <v>10.117.198.1</v>
          </cell>
          <cell r="Q1429" t="str">
            <v>/27</v>
          </cell>
          <cell r="R1429">
            <v>822</v>
          </cell>
        </row>
        <row r="1430">
          <cell r="E1430" t="str">
            <v>AC173</v>
          </cell>
          <cell r="F1430" t="str">
            <v>ET551</v>
          </cell>
          <cell r="G1430" t="str">
            <v>10.117.192.9</v>
          </cell>
          <cell r="H1430" t="str">
            <v>10.117.192.1</v>
          </cell>
          <cell r="I1430" t="str">
            <v>/27</v>
          </cell>
          <cell r="J1430">
            <v>802</v>
          </cell>
          <cell r="K1430" t="str">
            <v>10.117.195.9</v>
          </cell>
          <cell r="L1430" t="str">
            <v>10.117.195.1</v>
          </cell>
          <cell r="M1430" t="str">
            <v>/27</v>
          </cell>
          <cell r="N1430">
            <v>812</v>
          </cell>
          <cell r="O1430" t="str">
            <v>10.117.198.9</v>
          </cell>
          <cell r="P1430" t="str">
            <v>10.117.198.1</v>
          </cell>
          <cell r="Q1430" t="str">
            <v>/27</v>
          </cell>
          <cell r="R1430">
            <v>822</v>
          </cell>
        </row>
        <row r="1431">
          <cell r="E1431" t="str">
            <v>AC173</v>
          </cell>
          <cell r="F1431" t="str">
            <v>AC286</v>
          </cell>
          <cell r="G1431" t="str">
            <v>10.117.192.10</v>
          </cell>
          <cell r="H1431" t="str">
            <v>10.117.192.1</v>
          </cell>
          <cell r="I1431" t="str">
            <v>/27</v>
          </cell>
          <cell r="J1431">
            <v>802</v>
          </cell>
          <cell r="K1431" t="str">
            <v>10.117.195.10</v>
          </cell>
          <cell r="L1431" t="str">
            <v>10.117.195.1</v>
          </cell>
          <cell r="M1431" t="str">
            <v>/27</v>
          </cell>
          <cell r="N1431">
            <v>812</v>
          </cell>
          <cell r="O1431" t="str">
            <v>10.117.198.10</v>
          </cell>
          <cell r="P1431" t="str">
            <v>10.117.198.1</v>
          </cell>
          <cell r="Q1431" t="str">
            <v>/27</v>
          </cell>
          <cell r="R1431">
            <v>822</v>
          </cell>
        </row>
        <row r="1432">
          <cell r="E1432" t="str">
            <v>AC173</v>
          </cell>
          <cell r="F1432" t="str">
            <v>AC286</v>
          </cell>
          <cell r="G1432" t="str">
            <v>10.117.192.11</v>
          </cell>
          <cell r="H1432" t="str">
            <v>10.117.192.1</v>
          </cell>
          <cell r="I1432" t="str">
            <v>/27</v>
          </cell>
          <cell r="J1432">
            <v>802</v>
          </cell>
          <cell r="K1432" t="str">
            <v>10.117.195.11</v>
          </cell>
          <cell r="L1432" t="str">
            <v>10.117.195.1</v>
          </cell>
          <cell r="M1432" t="str">
            <v>/27</v>
          </cell>
          <cell r="N1432">
            <v>812</v>
          </cell>
          <cell r="O1432" t="str">
            <v>10.117.198.11</v>
          </cell>
          <cell r="P1432" t="str">
            <v>10.117.198.1</v>
          </cell>
          <cell r="Q1432" t="str">
            <v>/27</v>
          </cell>
          <cell r="R1432">
            <v>822</v>
          </cell>
        </row>
        <row r="1433">
          <cell r="E1433" t="str">
            <v>AC173</v>
          </cell>
          <cell r="F1433" t="str">
            <v>AC232</v>
          </cell>
          <cell r="G1433" t="str">
            <v>10.117.192.12</v>
          </cell>
          <cell r="H1433" t="str">
            <v>10.117.192.1</v>
          </cell>
          <cell r="I1433" t="str">
            <v>/27</v>
          </cell>
          <cell r="J1433">
            <v>802</v>
          </cell>
          <cell r="K1433" t="str">
            <v>10.117.195.12</v>
          </cell>
          <cell r="L1433" t="str">
            <v>10.117.195.1</v>
          </cell>
          <cell r="M1433" t="str">
            <v>/27</v>
          </cell>
          <cell r="N1433">
            <v>812</v>
          </cell>
          <cell r="O1433" t="str">
            <v>10.117.198.12</v>
          </cell>
          <cell r="P1433" t="str">
            <v>10.117.198.1</v>
          </cell>
          <cell r="Q1433" t="str">
            <v>/27</v>
          </cell>
          <cell r="R1433">
            <v>822</v>
          </cell>
        </row>
        <row r="1434">
          <cell r="E1434" t="str">
            <v>AC173</v>
          </cell>
          <cell r="G1434" t="str">
            <v>10.117.192.13</v>
          </cell>
          <cell r="H1434" t="str">
            <v>10.117.192.1</v>
          </cell>
          <cell r="I1434" t="str">
            <v>/27</v>
          </cell>
          <cell r="J1434">
            <v>802</v>
          </cell>
          <cell r="K1434" t="str">
            <v>10.117.195.13</v>
          </cell>
          <cell r="L1434" t="str">
            <v>10.117.195.1</v>
          </cell>
          <cell r="M1434" t="str">
            <v>/27</v>
          </cell>
          <cell r="N1434">
            <v>812</v>
          </cell>
          <cell r="O1434" t="str">
            <v>10.117.198.13</v>
          </cell>
          <cell r="P1434" t="str">
            <v>10.117.198.1</v>
          </cell>
          <cell r="Q1434" t="str">
            <v>/27</v>
          </cell>
          <cell r="R1434">
            <v>822</v>
          </cell>
        </row>
        <row r="1435">
          <cell r="E1435" t="str">
            <v>AC173</v>
          </cell>
          <cell r="G1435" t="str">
            <v>10.117.192.14</v>
          </cell>
          <cell r="H1435" t="str">
            <v>10.117.192.1</v>
          </cell>
          <cell r="I1435" t="str">
            <v>/27</v>
          </cell>
          <cell r="J1435">
            <v>802</v>
          </cell>
          <cell r="K1435" t="str">
            <v>10.117.195.14</v>
          </cell>
          <cell r="L1435" t="str">
            <v>10.117.195.1</v>
          </cell>
          <cell r="M1435" t="str">
            <v>/27</v>
          </cell>
          <cell r="N1435">
            <v>812</v>
          </cell>
          <cell r="O1435" t="str">
            <v>10.117.198.14</v>
          </cell>
          <cell r="P1435" t="str">
            <v>10.117.198.1</v>
          </cell>
          <cell r="Q1435" t="str">
            <v>/27</v>
          </cell>
          <cell r="R1435">
            <v>822</v>
          </cell>
        </row>
        <row r="1436">
          <cell r="E1436" t="str">
            <v>AC173</v>
          </cell>
          <cell r="F1436" t="str">
            <v>AC174</v>
          </cell>
          <cell r="G1436" t="str">
            <v>10.117.192.15</v>
          </cell>
          <cell r="H1436" t="str">
            <v>10.117.192.1</v>
          </cell>
          <cell r="I1436" t="str">
            <v>/27</v>
          </cell>
          <cell r="J1436">
            <v>802</v>
          </cell>
          <cell r="K1436" t="str">
            <v>10.117.195.15</v>
          </cell>
          <cell r="L1436" t="str">
            <v>10.117.195.1</v>
          </cell>
          <cell r="M1436" t="str">
            <v>/27</v>
          </cell>
          <cell r="N1436">
            <v>812</v>
          </cell>
          <cell r="O1436" t="str">
            <v>10.117.198.15</v>
          </cell>
          <cell r="P1436" t="str">
            <v>10.117.198.1</v>
          </cell>
          <cell r="Q1436" t="str">
            <v>/27</v>
          </cell>
          <cell r="R1436">
            <v>822</v>
          </cell>
        </row>
        <row r="1437">
          <cell r="E1437" t="str">
            <v>AC173</v>
          </cell>
          <cell r="F1437" t="str">
            <v>AC259</v>
          </cell>
          <cell r="G1437" t="str">
            <v>10.117.192.16</v>
          </cell>
          <cell r="H1437" t="str">
            <v>10.117.192.1</v>
          </cell>
          <cell r="I1437" t="str">
            <v>/27</v>
          </cell>
          <cell r="J1437">
            <v>802</v>
          </cell>
          <cell r="K1437" t="str">
            <v>10.117.195.16</v>
          </cell>
          <cell r="L1437" t="str">
            <v>10.117.195.1</v>
          </cell>
          <cell r="M1437" t="str">
            <v>/27</v>
          </cell>
          <cell r="N1437">
            <v>812</v>
          </cell>
          <cell r="O1437" t="str">
            <v>10.117.198.16</v>
          </cell>
          <cell r="P1437" t="str">
            <v>10.117.198.1</v>
          </cell>
          <cell r="Q1437" t="str">
            <v>/27</v>
          </cell>
          <cell r="R1437">
            <v>822</v>
          </cell>
        </row>
        <row r="1438">
          <cell r="E1438" t="str">
            <v>AC173</v>
          </cell>
          <cell r="F1438" t="str">
            <v>AC259</v>
          </cell>
          <cell r="G1438" t="str">
            <v>10.117.192.17</v>
          </cell>
          <cell r="H1438" t="str">
            <v>10.117.192.1</v>
          </cell>
          <cell r="I1438" t="str">
            <v>/27</v>
          </cell>
          <cell r="J1438">
            <v>802</v>
          </cell>
          <cell r="K1438" t="str">
            <v>10.117.195.17</v>
          </cell>
          <cell r="L1438" t="str">
            <v>10.117.195.1</v>
          </cell>
          <cell r="M1438" t="str">
            <v>/27</v>
          </cell>
          <cell r="N1438">
            <v>812</v>
          </cell>
          <cell r="O1438" t="str">
            <v>10.117.198.17</v>
          </cell>
          <cell r="P1438" t="str">
            <v>10.117.198.1</v>
          </cell>
          <cell r="Q1438" t="str">
            <v>/27</v>
          </cell>
          <cell r="R1438">
            <v>822</v>
          </cell>
        </row>
        <row r="1439">
          <cell r="E1439" t="str">
            <v>AC173</v>
          </cell>
          <cell r="G1439" t="str">
            <v>10.117.192.18</v>
          </cell>
          <cell r="H1439" t="str">
            <v>10.117.192.1</v>
          </cell>
          <cell r="I1439" t="str">
            <v>/27</v>
          </cell>
          <cell r="J1439">
            <v>802</v>
          </cell>
          <cell r="K1439" t="str">
            <v>10.117.195.18</v>
          </cell>
          <cell r="L1439" t="str">
            <v>10.117.195.1</v>
          </cell>
          <cell r="M1439" t="str">
            <v>/27</v>
          </cell>
          <cell r="N1439">
            <v>812</v>
          </cell>
          <cell r="O1439" t="str">
            <v>10.117.198.18</v>
          </cell>
          <cell r="P1439" t="str">
            <v>10.117.198.1</v>
          </cell>
          <cell r="Q1439" t="str">
            <v>/27</v>
          </cell>
          <cell r="R1439">
            <v>822</v>
          </cell>
        </row>
        <row r="1440">
          <cell r="E1440" t="str">
            <v>AC173</v>
          </cell>
          <cell r="G1440" t="str">
            <v>10.117.192.19</v>
          </cell>
          <cell r="H1440" t="str">
            <v>10.117.192.1</v>
          </cell>
          <cell r="I1440" t="str">
            <v>/27</v>
          </cell>
          <cell r="J1440">
            <v>802</v>
          </cell>
          <cell r="K1440" t="str">
            <v>10.117.195.19</v>
          </cell>
          <cell r="L1440" t="str">
            <v>10.117.195.1</v>
          </cell>
          <cell r="M1440" t="str">
            <v>/27</v>
          </cell>
          <cell r="N1440">
            <v>812</v>
          </cell>
          <cell r="O1440" t="str">
            <v>10.117.198.19</v>
          </cell>
          <cell r="P1440" t="str">
            <v>10.117.198.1</v>
          </cell>
          <cell r="Q1440" t="str">
            <v>/27</v>
          </cell>
          <cell r="R1440">
            <v>822</v>
          </cell>
        </row>
        <row r="1441">
          <cell r="E1441" t="str">
            <v>AC173</v>
          </cell>
          <cell r="G1441" t="str">
            <v>10.117.192.20</v>
          </cell>
          <cell r="H1441" t="str">
            <v>10.117.192.1</v>
          </cell>
          <cell r="I1441" t="str">
            <v>/27</v>
          </cell>
          <cell r="J1441">
            <v>802</v>
          </cell>
          <cell r="K1441" t="str">
            <v>10.117.195.20</v>
          </cell>
          <cell r="L1441" t="str">
            <v>10.117.195.1</v>
          </cell>
          <cell r="M1441" t="str">
            <v>/27</v>
          </cell>
          <cell r="N1441">
            <v>812</v>
          </cell>
          <cell r="O1441" t="str">
            <v>10.117.198.20</v>
          </cell>
          <cell r="P1441" t="str">
            <v>10.117.198.1</v>
          </cell>
          <cell r="Q1441" t="str">
            <v>/27</v>
          </cell>
          <cell r="R1441">
            <v>822</v>
          </cell>
        </row>
        <row r="1442">
          <cell r="E1442" t="str">
            <v>AC173</v>
          </cell>
          <cell r="G1442" t="str">
            <v>10.117.192.21</v>
          </cell>
          <cell r="H1442" t="str">
            <v>10.117.192.1</v>
          </cell>
          <cell r="I1442" t="str">
            <v>/27</v>
          </cell>
          <cell r="J1442">
            <v>802</v>
          </cell>
          <cell r="K1442" t="str">
            <v>10.117.195.21</v>
          </cell>
          <cell r="L1442" t="str">
            <v>10.117.195.1</v>
          </cell>
          <cell r="M1442" t="str">
            <v>/27</v>
          </cell>
          <cell r="N1442">
            <v>812</v>
          </cell>
          <cell r="O1442" t="str">
            <v>10.117.198.21</v>
          </cell>
          <cell r="P1442" t="str">
            <v>10.117.198.1</v>
          </cell>
          <cell r="Q1442" t="str">
            <v>/27</v>
          </cell>
          <cell r="R1442">
            <v>822</v>
          </cell>
        </row>
        <row r="1443">
          <cell r="E1443" t="str">
            <v>AC173</v>
          </cell>
          <cell r="G1443" t="str">
            <v>10.117.192.22</v>
          </cell>
          <cell r="H1443" t="str">
            <v>10.117.192.1</v>
          </cell>
          <cell r="I1443" t="str">
            <v>/27</v>
          </cell>
          <cell r="J1443">
            <v>802</v>
          </cell>
          <cell r="K1443" t="str">
            <v>10.117.195.22</v>
          </cell>
          <cell r="L1443" t="str">
            <v>10.117.195.1</v>
          </cell>
          <cell r="M1443" t="str">
            <v>/27</v>
          </cell>
          <cell r="N1443">
            <v>812</v>
          </cell>
          <cell r="O1443" t="str">
            <v>10.117.198.22</v>
          </cell>
          <cell r="P1443" t="str">
            <v>10.117.198.1</v>
          </cell>
          <cell r="Q1443" t="str">
            <v>/27</v>
          </cell>
          <cell r="R1443">
            <v>822</v>
          </cell>
        </row>
        <row r="1444">
          <cell r="E1444" t="str">
            <v>AC173</v>
          </cell>
          <cell r="G1444" t="str">
            <v>10.117.192.23</v>
          </cell>
          <cell r="H1444" t="str">
            <v>10.117.192.1</v>
          </cell>
          <cell r="I1444" t="str">
            <v>/27</v>
          </cell>
          <cell r="J1444">
            <v>802</v>
          </cell>
          <cell r="K1444" t="str">
            <v>10.117.195.23</v>
          </cell>
          <cell r="L1444" t="str">
            <v>10.117.195.1</v>
          </cell>
          <cell r="M1444" t="str">
            <v>/27</v>
          </cell>
          <cell r="N1444">
            <v>812</v>
          </cell>
          <cell r="O1444" t="str">
            <v>10.117.198.23</v>
          </cell>
          <cell r="P1444" t="str">
            <v>10.117.198.1</v>
          </cell>
          <cell r="Q1444" t="str">
            <v>/27</v>
          </cell>
          <cell r="R1444">
            <v>822</v>
          </cell>
        </row>
        <row r="1445">
          <cell r="E1445" t="str">
            <v>AC173</v>
          </cell>
          <cell r="G1445" t="str">
            <v>10.117.192.24</v>
          </cell>
          <cell r="H1445" t="str">
            <v>10.117.192.1</v>
          </cell>
          <cell r="I1445" t="str">
            <v>/27</v>
          </cell>
          <cell r="J1445">
            <v>802</v>
          </cell>
          <cell r="K1445" t="str">
            <v>10.117.195.24</v>
          </cell>
          <cell r="L1445" t="str">
            <v>10.117.195.1</v>
          </cell>
          <cell r="M1445" t="str">
            <v>/27</v>
          </cell>
          <cell r="N1445">
            <v>812</v>
          </cell>
          <cell r="O1445" t="str">
            <v>10.117.198.24</v>
          </cell>
          <cell r="P1445" t="str">
            <v>10.117.198.1</v>
          </cell>
          <cell r="Q1445" t="str">
            <v>/27</v>
          </cell>
          <cell r="R1445">
            <v>822</v>
          </cell>
        </row>
        <row r="1446">
          <cell r="E1446" t="str">
            <v>AC173</v>
          </cell>
          <cell r="G1446" t="str">
            <v>10.117.192.25</v>
          </cell>
          <cell r="H1446" t="str">
            <v>10.117.192.1</v>
          </cell>
          <cell r="I1446" t="str">
            <v>/27</v>
          </cell>
          <cell r="J1446">
            <v>802</v>
          </cell>
          <cell r="K1446" t="str">
            <v>10.117.195.25</v>
          </cell>
          <cell r="L1446" t="str">
            <v>10.117.195.1</v>
          </cell>
          <cell r="M1446" t="str">
            <v>/27</v>
          </cell>
          <cell r="N1446">
            <v>812</v>
          </cell>
          <cell r="O1446" t="str">
            <v>10.117.198.25</v>
          </cell>
          <cell r="P1446" t="str">
            <v>10.117.198.1</v>
          </cell>
          <cell r="Q1446" t="str">
            <v>/27</v>
          </cell>
          <cell r="R1446">
            <v>822</v>
          </cell>
        </row>
        <row r="1447">
          <cell r="E1447" t="str">
            <v>AC173</v>
          </cell>
          <cell r="G1447" t="str">
            <v>10.117.192.26</v>
          </cell>
          <cell r="H1447" t="str">
            <v>10.117.192.1</v>
          </cell>
          <cell r="I1447" t="str">
            <v>/27</v>
          </cell>
          <cell r="J1447">
            <v>802</v>
          </cell>
          <cell r="K1447" t="str">
            <v>10.117.195.26</v>
          </cell>
          <cell r="L1447" t="str">
            <v>10.117.195.1</v>
          </cell>
          <cell r="M1447" t="str">
            <v>/27</v>
          </cell>
          <cell r="N1447">
            <v>812</v>
          </cell>
          <cell r="O1447" t="str">
            <v>10.117.198.26</v>
          </cell>
          <cell r="P1447" t="str">
            <v>10.117.198.1</v>
          </cell>
          <cell r="Q1447" t="str">
            <v>/27</v>
          </cell>
          <cell r="R1447">
            <v>822</v>
          </cell>
        </row>
        <row r="1448">
          <cell r="E1448" t="str">
            <v>AC173</v>
          </cell>
          <cell r="G1448" t="str">
            <v>10.117.192.27</v>
          </cell>
          <cell r="H1448" t="str">
            <v>10.117.192.1</v>
          </cell>
          <cell r="I1448" t="str">
            <v>/27</v>
          </cell>
          <cell r="J1448">
            <v>802</v>
          </cell>
          <cell r="K1448" t="str">
            <v>10.117.195.27</v>
          </cell>
          <cell r="L1448" t="str">
            <v>10.117.195.1</v>
          </cell>
          <cell r="M1448" t="str">
            <v>/27</v>
          </cell>
          <cell r="N1448">
            <v>812</v>
          </cell>
          <cell r="O1448" t="str">
            <v>10.117.198.27</v>
          </cell>
          <cell r="P1448" t="str">
            <v>10.117.198.1</v>
          </cell>
          <cell r="Q1448" t="str">
            <v>/27</v>
          </cell>
          <cell r="R1448">
            <v>822</v>
          </cell>
        </row>
        <row r="1449">
          <cell r="E1449" t="str">
            <v>AC173</v>
          </cell>
          <cell r="G1449" t="str">
            <v>10.117.192.28</v>
          </cell>
          <cell r="H1449" t="str">
            <v>10.117.192.1</v>
          </cell>
          <cell r="I1449" t="str">
            <v>/27</v>
          </cell>
          <cell r="J1449">
            <v>802</v>
          </cell>
          <cell r="K1449" t="str">
            <v>10.117.195.28</v>
          </cell>
          <cell r="L1449" t="str">
            <v>10.117.195.1</v>
          </cell>
          <cell r="M1449" t="str">
            <v>/27</v>
          </cell>
          <cell r="N1449">
            <v>812</v>
          </cell>
          <cell r="O1449" t="str">
            <v>10.117.198.28</v>
          </cell>
          <cell r="P1449" t="str">
            <v>10.117.198.1</v>
          </cell>
          <cell r="Q1449" t="str">
            <v>/27</v>
          </cell>
          <cell r="R1449">
            <v>822</v>
          </cell>
        </row>
        <row r="1450">
          <cell r="E1450" t="str">
            <v>AC173</v>
          </cell>
          <cell r="G1450" t="str">
            <v>10.117.192.29</v>
          </cell>
          <cell r="H1450" t="str">
            <v>10.117.192.1</v>
          </cell>
          <cell r="I1450" t="str">
            <v>/27</v>
          </cell>
          <cell r="J1450">
            <v>802</v>
          </cell>
          <cell r="K1450" t="str">
            <v>10.117.195.29</v>
          </cell>
          <cell r="L1450" t="str">
            <v>10.117.195.1</v>
          </cell>
          <cell r="M1450" t="str">
            <v>/27</v>
          </cell>
          <cell r="N1450">
            <v>812</v>
          </cell>
          <cell r="O1450" t="str">
            <v>10.117.198.29</v>
          </cell>
          <cell r="P1450" t="str">
            <v>10.117.198.1</v>
          </cell>
          <cell r="Q1450" t="str">
            <v>/27</v>
          </cell>
          <cell r="R1450">
            <v>822</v>
          </cell>
        </row>
        <row r="1451">
          <cell r="E1451" t="str">
            <v>AC173</v>
          </cell>
          <cell r="G1451" t="str">
            <v>10.117.192.30</v>
          </cell>
          <cell r="H1451" t="str">
            <v>10.117.192.1</v>
          </cell>
          <cell r="I1451" t="str">
            <v>/27</v>
          </cell>
          <cell r="J1451">
            <v>802</v>
          </cell>
          <cell r="K1451" t="str">
            <v>10.117.195.30</v>
          </cell>
          <cell r="L1451" t="str">
            <v>10.117.195.1</v>
          </cell>
          <cell r="M1451" t="str">
            <v>/27</v>
          </cell>
          <cell r="N1451">
            <v>812</v>
          </cell>
          <cell r="O1451" t="str">
            <v>10.117.198.30</v>
          </cell>
          <cell r="P1451" t="str">
            <v>10.117.198.1</v>
          </cell>
          <cell r="Q1451" t="str">
            <v>/27</v>
          </cell>
          <cell r="R1451">
            <v>822</v>
          </cell>
        </row>
        <row r="1452">
          <cell r="E1452" t="str">
            <v>AC173</v>
          </cell>
          <cell r="G1452" t="str">
            <v>10.117.192.31</v>
          </cell>
          <cell r="H1452" t="str">
            <v>10.117.192.1</v>
          </cell>
          <cell r="I1452" t="str">
            <v>/27</v>
          </cell>
          <cell r="J1452">
            <v>802</v>
          </cell>
          <cell r="K1452" t="str">
            <v>10.117.195.31</v>
          </cell>
          <cell r="L1452" t="str">
            <v>10.117.195.1</v>
          </cell>
          <cell r="M1452" t="str">
            <v>/27</v>
          </cell>
          <cell r="N1452">
            <v>812</v>
          </cell>
          <cell r="O1452" t="str">
            <v>10.117.198.31</v>
          </cell>
          <cell r="P1452" t="str">
            <v>10.117.198.1</v>
          </cell>
          <cell r="Q1452" t="str">
            <v>/27</v>
          </cell>
          <cell r="R1452">
            <v>822</v>
          </cell>
        </row>
        <row r="1453">
          <cell r="E1453" t="str">
            <v>AC191</v>
          </cell>
          <cell r="G1453" t="str">
            <v>10.117.192.64</v>
          </cell>
          <cell r="H1453" t="str">
            <v>10.117.192.65</v>
          </cell>
          <cell r="I1453" t="str">
            <v>/27</v>
          </cell>
          <cell r="J1453">
            <v>802</v>
          </cell>
          <cell r="K1453" t="str">
            <v>10.117.195.64</v>
          </cell>
          <cell r="L1453" t="str">
            <v>10.117.195.65</v>
          </cell>
          <cell r="M1453" t="str">
            <v>/27</v>
          </cell>
          <cell r="N1453">
            <v>812</v>
          </cell>
          <cell r="O1453" t="str">
            <v>10.117.198.64</v>
          </cell>
          <cell r="P1453" t="str">
            <v>10.117.198.65</v>
          </cell>
          <cell r="Q1453" t="str">
            <v>/27</v>
          </cell>
          <cell r="R1453">
            <v>822</v>
          </cell>
        </row>
        <row r="1454">
          <cell r="E1454" t="str">
            <v>AC191</v>
          </cell>
          <cell r="G1454" t="str">
            <v>10.117.192.65</v>
          </cell>
          <cell r="H1454" t="str">
            <v>10.117.192.65</v>
          </cell>
          <cell r="I1454" t="str">
            <v>/27</v>
          </cell>
          <cell r="J1454">
            <v>802</v>
          </cell>
          <cell r="K1454" t="str">
            <v>10.117.195.65</v>
          </cell>
          <cell r="L1454" t="str">
            <v>10.117.195.65</v>
          </cell>
          <cell r="M1454" t="str">
            <v>/27</v>
          </cell>
          <cell r="N1454">
            <v>812</v>
          </cell>
          <cell r="O1454" t="str">
            <v>10.117.198.65</v>
          </cell>
          <cell r="P1454" t="str">
            <v>10.117.198.65</v>
          </cell>
          <cell r="Q1454" t="str">
            <v>/27</v>
          </cell>
          <cell r="R1454">
            <v>822</v>
          </cell>
        </row>
        <row r="1455">
          <cell r="E1455" t="str">
            <v>AC191</v>
          </cell>
          <cell r="F1455" t="str">
            <v>AC171</v>
          </cell>
          <cell r="G1455" t="str">
            <v>10.117.192.66</v>
          </cell>
          <cell r="H1455" t="str">
            <v>10.117.192.65</v>
          </cell>
          <cell r="I1455" t="str">
            <v>/27</v>
          </cell>
          <cell r="J1455">
            <v>802</v>
          </cell>
          <cell r="K1455" t="str">
            <v>10.117.195.66</v>
          </cell>
          <cell r="L1455" t="str">
            <v>10.117.195.65</v>
          </cell>
          <cell r="M1455" t="str">
            <v>/27</v>
          </cell>
          <cell r="N1455">
            <v>812</v>
          </cell>
          <cell r="O1455" t="str">
            <v>10.117.198.66</v>
          </cell>
          <cell r="P1455" t="str">
            <v>10.117.198.65</v>
          </cell>
          <cell r="Q1455" t="str">
            <v>/27</v>
          </cell>
          <cell r="R1455">
            <v>822</v>
          </cell>
        </row>
        <row r="1456">
          <cell r="E1456" t="str">
            <v>AC191</v>
          </cell>
          <cell r="G1456" t="str">
            <v>10.117.192.67</v>
          </cell>
          <cell r="H1456" t="str">
            <v>10.117.192.65</v>
          </cell>
          <cell r="I1456" t="str">
            <v>/27</v>
          </cell>
          <cell r="J1456">
            <v>802</v>
          </cell>
          <cell r="K1456" t="str">
            <v>10.117.195.67</v>
          </cell>
          <cell r="L1456" t="str">
            <v>10.117.195.65</v>
          </cell>
          <cell r="M1456" t="str">
            <v>/27</v>
          </cell>
          <cell r="N1456">
            <v>812</v>
          </cell>
          <cell r="O1456" t="str">
            <v>10.117.198.67</v>
          </cell>
          <cell r="P1456" t="str">
            <v>10.117.198.65</v>
          </cell>
          <cell r="Q1456" t="str">
            <v>/27</v>
          </cell>
          <cell r="R1456">
            <v>822</v>
          </cell>
        </row>
        <row r="1457">
          <cell r="E1457" t="str">
            <v>AC191</v>
          </cell>
          <cell r="G1457" t="str">
            <v>10.117.192.68</v>
          </cell>
          <cell r="H1457" t="str">
            <v>10.117.192.65</v>
          </cell>
          <cell r="I1457" t="str">
            <v>/27</v>
          </cell>
          <cell r="J1457">
            <v>802</v>
          </cell>
          <cell r="K1457" t="str">
            <v>10.117.195.68</v>
          </cell>
          <cell r="L1457" t="str">
            <v>10.117.195.65</v>
          </cell>
          <cell r="M1457" t="str">
            <v>/27</v>
          </cell>
          <cell r="N1457">
            <v>812</v>
          </cell>
          <cell r="O1457" t="str">
            <v>10.117.198.68</v>
          </cell>
          <cell r="P1457" t="str">
            <v>10.117.198.65</v>
          </cell>
          <cell r="Q1457" t="str">
            <v>/27</v>
          </cell>
          <cell r="R1457">
            <v>822</v>
          </cell>
        </row>
        <row r="1458">
          <cell r="E1458" t="str">
            <v>AC191</v>
          </cell>
          <cell r="G1458" t="str">
            <v>10.117.192.69</v>
          </cell>
          <cell r="H1458" t="str">
            <v>10.117.192.65</v>
          </cell>
          <cell r="I1458" t="str">
            <v>/27</v>
          </cell>
          <cell r="J1458">
            <v>802</v>
          </cell>
          <cell r="K1458" t="str">
            <v>10.117.195.69</v>
          </cell>
          <cell r="L1458" t="str">
            <v>10.117.195.65</v>
          </cell>
          <cell r="M1458" t="str">
            <v>/27</v>
          </cell>
          <cell r="N1458">
            <v>812</v>
          </cell>
          <cell r="O1458" t="str">
            <v>10.117.198.69</v>
          </cell>
          <cell r="P1458" t="str">
            <v>10.117.198.65</v>
          </cell>
          <cell r="Q1458" t="str">
            <v>/27</v>
          </cell>
          <cell r="R1458">
            <v>822</v>
          </cell>
        </row>
        <row r="1459">
          <cell r="E1459" t="str">
            <v>AC191</v>
          </cell>
          <cell r="G1459" t="str">
            <v>10.117.192.70</v>
          </cell>
          <cell r="H1459" t="str">
            <v>10.117.192.65</v>
          </cell>
          <cell r="I1459" t="str">
            <v>/27</v>
          </cell>
          <cell r="J1459">
            <v>802</v>
          </cell>
          <cell r="K1459" t="str">
            <v>10.117.195.70</v>
          </cell>
          <cell r="L1459" t="str">
            <v>10.117.195.65</v>
          </cell>
          <cell r="M1459" t="str">
            <v>/27</v>
          </cell>
          <cell r="N1459">
            <v>812</v>
          </cell>
          <cell r="O1459" t="str">
            <v>10.117.198.70</v>
          </cell>
          <cell r="P1459" t="str">
            <v>10.117.198.65</v>
          </cell>
          <cell r="Q1459" t="str">
            <v>/27</v>
          </cell>
          <cell r="R1459">
            <v>822</v>
          </cell>
        </row>
        <row r="1460">
          <cell r="E1460" t="str">
            <v>AC191</v>
          </cell>
          <cell r="F1460" t="str">
            <v>ET442</v>
          </cell>
          <cell r="G1460" t="str">
            <v>10.117.192.71</v>
          </cell>
          <cell r="H1460" t="str">
            <v>10.117.192.65</v>
          </cell>
          <cell r="I1460" t="str">
            <v>/27</v>
          </cell>
          <cell r="J1460">
            <v>802</v>
          </cell>
          <cell r="K1460" t="str">
            <v>10.117.195.71</v>
          </cell>
          <cell r="L1460" t="str">
            <v>10.117.195.65</v>
          </cell>
          <cell r="M1460" t="str">
            <v>/27</v>
          </cell>
          <cell r="N1460">
            <v>812</v>
          </cell>
          <cell r="O1460" t="str">
            <v>10.117.198.71</v>
          </cell>
          <cell r="P1460" t="str">
            <v>10.117.198.65</v>
          </cell>
          <cell r="Q1460" t="str">
            <v>/27</v>
          </cell>
          <cell r="R1460">
            <v>822</v>
          </cell>
        </row>
        <row r="1461">
          <cell r="E1461" t="str">
            <v>AC191</v>
          </cell>
          <cell r="F1461" t="str">
            <v>ET107</v>
          </cell>
          <cell r="G1461" t="str">
            <v>10.117.192.72</v>
          </cell>
          <cell r="H1461" t="str">
            <v>10.117.192.65</v>
          </cell>
          <cell r="I1461" t="str">
            <v>/27</v>
          </cell>
          <cell r="J1461">
            <v>802</v>
          </cell>
          <cell r="K1461" t="str">
            <v>10.117.195.72</v>
          </cell>
          <cell r="L1461" t="str">
            <v>10.117.195.65</v>
          </cell>
          <cell r="M1461" t="str">
            <v>/27</v>
          </cell>
          <cell r="N1461">
            <v>812</v>
          </cell>
          <cell r="O1461" t="str">
            <v>10.117.198.72</v>
          </cell>
          <cell r="P1461" t="str">
            <v>10.117.198.65</v>
          </cell>
          <cell r="Q1461" t="str">
            <v>/27</v>
          </cell>
          <cell r="R1461">
            <v>822</v>
          </cell>
        </row>
        <row r="1462">
          <cell r="E1462" t="str">
            <v>AC191</v>
          </cell>
          <cell r="G1462" t="str">
            <v>10.117.192.73</v>
          </cell>
          <cell r="H1462" t="str">
            <v>10.117.192.65</v>
          </cell>
          <cell r="I1462" t="str">
            <v>/27</v>
          </cell>
          <cell r="J1462">
            <v>802</v>
          </cell>
          <cell r="K1462" t="str">
            <v>10.117.195.73</v>
          </cell>
          <cell r="L1462" t="str">
            <v>10.117.195.65</v>
          </cell>
          <cell r="M1462" t="str">
            <v>/27</v>
          </cell>
          <cell r="N1462">
            <v>812</v>
          </cell>
          <cell r="O1462" t="str">
            <v>10.117.198.73</v>
          </cell>
          <cell r="P1462" t="str">
            <v>10.117.198.65</v>
          </cell>
          <cell r="Q1462" t="str">
            <v>/27</v>
          </cell>
          <cell r="R1462">
            <v>822</v>
          </cell>
        </row>
        <row r="1463">
          <cell r="E1463" t="str">
            <v>AC191</v>
          </cell>
          <cell r="G1463" t="str">
            <v>10.117.192.74</v>
          </cell>
          <cell r="H1463" t="str">
            <v>10.117.192.65</v>
          </cell>
          <cell r="I1463" t="str">
            <v>/27</v>
          </cell>
          <cell r="J1463">
            <v>802</v>
          </cell>
          <cell r="K1463" t="str">
            <v>10.117.195.74</v>
          </cell>
          <cell r="L1463" t="str">
            <v>10.117.195.65</v>
          </cell>
          <cell r="M1463" t="str">
            <v>/27</v>
          </cell>
          <cell r="N1463">
            <v>812</v>
          </cell>
          <cell r="O1463" t="str">
            <v>10.117.198.74</v>
          </cell>
          <cell r="P1463" t="str">
            <v>10.117.198.65</v>
          </cell>
          <cell r="Q1463" t="str">
            <v>/27</v>
          </cell>
          <cell r="R1463">
            <v>822</v>
          </cell>
        </row>
        <row r="1464">
          <cell r="E1464" t="str">
            <v>AC191</v>
          </cell>
          <cell r="G1464" t="str">
            <v>10.117.192.75</v>
          </cell>
          <cell r="H1464" t="str">
            <v>10.117.192.65</v>
          </cell>
          <cell r="I1464" t="str">
            <v>/27</v>
          </cell>
          <cell r="J1464">
            <v>802</v>
          </cell>
          <cell r="K1464" t="str">
            <v>10.117.195.75</v>
          </cell>
          <cell r="L1464" t="str">
            <v>10.117.195.65</v>
          </cell>
          <cell r="M1464" t="str">
            <v>/27</v>
          </cell>
          <cell r="N1464">
            <v>812</v>
          </cell>
          <cell r="O1464" t="str">
            <v>10.117.198.75</v>
          </cell>
          <cell r="P1464" t="str">
            <v>10.117.198.65</v>
          </cell>
          <cell r="Q1464" t="str">
            <v>/27</v>
          </cell>
          <cell r="R1464">
            <v>822</v>
          </cell>
        </row>
        <row r="1465">
          <cell r="E1465" t="str">
            <v>AC191</v>
          </cell>
          <cell r="F1465" t="str">
            <v>ET220</v>
          </cell>
          <cell r="G1465" t="str">
            <v>10.117.192.76</v>
          </cell>
          <cell r="H1465" t="str">
            <v>10.117.192.65</v>
          </cell>
          <cell r="I1465" t="str">
            <v>/27</v>
          </cell>
          <cell r="J1465">
            <v>802</v>
          </cell>
          <cell r="K1465" t="str">
            <v>10.117.195.76</v>
          </cell>
          <cell r="L1465" t="str">
            <v>10.117.195.65</v>
          </cell>
          <cell r="M1465" t="str">
            <v>/27</v>
          </cell>
          <cell r="N1465">
            <v>812</v>
          </cell>
          <cell r="O1465" t="str">
            <v>10.117.198.76</v>
          </cell>
          <cell r="P1465" t="str">
            <v>10.117.198.65</v>
          </cell>
          <cell r="Q1465" t="str">
            <v>/27</v>
          </cell>
          <cell r="R1465">
            <v>822</v>
          </cell>
        </row>
        <row r="1466">
          <cell r="E1466" t="str">
            <v>AC191</v>
          </cell>
          <cell r="F1466" t="str">
            <v>ET221</v>
          </cell>
          <cell r="G1466" t="str">
            <v>10.117.192.77</v>
          </cell>
          <cell r="H1466" t="str">
            <v>10.117.192.65</v>
          </cell>
          <cell r="I1466" t="str">
            <v>/27</v>
          </cell>
          <cell r="J1466">
            <v>802</v>
          </cell>
          <cell r="K1466" t="str">
            <v>10.117.195.77</v>
          </cell>
          <cell r="L1466" t="str">
            <v>10.117.195.65</v>
          </cell>
          <cell r="M1466" t="str">
            <v>/27</v>
          </cell>
          <cell r="N1466">
            <v>812</v>
          </cell>
          <cell r="O1466" t="str">
            <v>10.117.198.77</v>
          </cell>
          <cell r="P1466" t="str">
            <v>10.117.198.65</v>
          </cell>
          <cell r="Q1466" t="str">
            <v>/27</v>
          </cell>
          <cell r="R1466">
            <v>822</v>
          </cell>
        </row>
        <row r="1467">
          <cell r="E1467" t="str">
            <v>AC191</v>
          </cell>
          <cell r="F1467" t="str">
            <v>ET221</v>
          </cell>
          <cell r="G1467" t="str">
            <v>10.117.192.78</v>
          </cell>
          <cell r="H1467" t="str">
            <v>10.117.192.65</v>
          </cell>
          <cell r="I1467" t="str">
            <v>/27</v>
          </cell>
          <cell r="J1467">
            <v>802</v>
          </cell>
          <cell r="K1467" t="str">
            <v>10.117.195.78</v>
          </cell>
          <cell r="L1467" t="str">
            <v>10.117.195.65</v>
          </cell>
          <cell r="M1467" t="str">
            <v>/27</v>
          </cell>
          <cell r="N1467">
            <v>812</v>
          </cell>
          <cell r="O1467" t="str">
            <v>10.117.198.78</v>
          </cell>
          <cell r="P1467" t="str">
            <v>10.117.198.65</v>
          </cell>
          <cell r="Q1467" t="str">
            <v>/27</v>
          </cell>
          <cell r="R1467">
            <v>822</v>
          </cell>
        </row>
        <row r="1468">
          <cell r="E1468" t="str">
            <v>AC191</v>
          </cell>
          <cell r="G1468" t="str">
            <v>10.117.192.79</v>
          </cell>
          <cell r="H1468" t="str">
            <v>10.117.192.65</v>
          </cell>
          <cell r="I1468" t="str">
            <v>/27</v>
          </cell>
          <cell r="J1468">
            <v>802</v>
          </cell>
          <cell r="K1468" t="str">
            <v>10.117.195.79</v>
          </cell>
          <cell r="L1468" t="str">
            <v>10.117.195.65</v>
          </cell>
          <cell r="M1468" t="str">
            <v>/27</v>
          </cell>
          <cell r="N1468">
            <v>812</v>
          </cell>
          <cell r="O1468" t="str">
            <v>10.117.198.79</v>
          </cell>
          <cell r="P1468" t="str">
            <v>10.117.198.65</v>
          </cell>
          <cell r="Q1468" t="str">
            <v>/27</v>
          </cell>
          <cell r="R1468">
            <v>822</v>
          </cell>
        </row>
        <row r="1469">
          <cell r="E1469" t="str">
            <v>AC191</v>
          </cell>
          <cell r="F1469" t="str">
            <v>AC543</v>
          </cell>
          <cell r="G1469" t="str">
            <v>10.117.192.80</v>
          </cell>
          <cell r="H1469" t="str">
            <v>10.117.192.65</v>
          </cell>
          <cell r="I1469" t="str">
            <v>/27</v>
          </cell>
          <cell r="J1469">
            <v>802</v>
          </cell>
          <cell r="K1469" t="str">
            <v>10.117.195.80</v>
          </cell>
          <cell r="L1469" t="str">
            <v>10.117.195.65</v>
          </cell>
          <cell r="M1469" t="str">
            <v>/27</v>
          </cell>
          <cell r="N1469">
            <v>812</v>
          </cell>
          <cell r="O1469" t="str">
            <v>10.117.198.80</v>
          </cell>
          <cell r="P1469" t="str">
            <v>10.117.198.65</v>
          </cell>
          <cell r="Q1469" t="str">
            <v>/27</v>
          </cell>
          <cell r="R1469">
            <v>822</v>
          </cell>
        </row>
        <row r="1470">
          <cell r="E1470" t="str">
            <v>AC191</v>
          </cell>
          <cell r="G1470" t="str">
            <v>10.117.192.81</v>
          </cell>
          <cell r="H1470" t="str">
            <v>10.117.192.65</v>
          </cell>
          <cell r="I1470" t="str">
            <v>/27</v>
          </cell>
          <cell r="J1470">
            <v>802</v>
          </cell>
          <cell r="K1470" t="str">
            <v>10.117.195.81</v>
          </cell>
          <cell r="L1470" t="str">
            <v>10.117.195.65</v>
          </cell>
          <cell r="M1470" t="str">
            <v>/27</v>
          </cell>
          <cell r="N1470">
            <v>812</v>
          </cell>
          <cell r="O1470" t="str">
            <v>10.117.198.81</v>
          </cell>
          <cell r="P1470" t="str">
            <v>10.117.198.65</v>
          </cell>
          <cell r="Q1470" t="str">
            <v>/27</v>
          </cell>
          <cell r="R1470">
            <v>822</v>
          </cell>
        </row>
        <row r="1471">
          <cell r="E1471" t="str">
            <v>AC191</v>
          </cell>
          <cell r="F1471" t="str">
            <v>AC747</v>
          </cell>
          <cell r="G1471" t="str">
            <v>10.117.192.82</v>
          </cell>
          <cell r="H1471" t="str">
            <v>10.117.192.65</v>
          </cell>
          <cell r="I1471" t="str">
            <v>/27</v>
          </cell>
          <cell r="J1471">
            <v>802</v>
          </cell>
          <cell r="K1471" t="str">
            <v>10.117.195.82</v>
          </cell>
          <cell r="L1471" t="str">
            <v>10.117.195.65</v>
          </cell>
          <cell r="M1471" t="str">
            <v>/27</v>
          </cell>
          <cell r="N1471">
            <v>812</v>
          </cell>
          <cell r="O1471" t="str">
            <v>10.117.198.82</v>
          </cell>
          <cell r="P1471" t="str">
            <v>10.117.198.65</v>
          </cell>
          <cell r="Q1471" t="str">
            <v>/27</v>
          </cell>
          <cell r="R1471">
            <v>822</v>
          </cell>
        </row>
        <row r="1472">
          <cell r="E1472" t="str">
            <v>AC191</v>
          </cell>
          <cell r="G1472" t="str">
            <v>10.117.192.83</v>
          </cell>
          <cell r="H1472" t="str">
            <v>10.117.192.65</v>
          </cell>
          <cell r="I1472" t="str">
            <v>/27</v>
          </cell>
          <cell r="J1472">
            <v>802</v>
          </cell>
          <cell r="K1472" t="str">
            <v>10.117.195.83</v>
          </cell>
          <cell r="L1472" t="str">
            <v>10.117.195.65</v>
          </cell>
          <cell r="M1472" t="str">
            <v>/27</v>
          </cell>
          <cell r="N1472">
            <v>812</v>
          </cell>
          <cell r="O1472" t="str">
            <v>10.117.198.83</v>
          </cell>
          <cell r="P1472" t="str">
            <v>10.117.198.65</v>
          </cell>
          <cell r="Q1472" t="str">
            <v>/27</v>
          </cell>
          <cell r="R1472">
            <v>822</v>
          </cell>
        </row>
        <row r="1473">
          <cell r="E1473" t="str">
            <v>AC191</v>
          </cell>
          <cell r="F1473" t="str">
            <v>AC755</v>
          </cell>
          <cell r="G1473" t="str">
            <v>10.117.192.84</v>
          </cell>
          <cell r="H1473" t="str">
            <v>10.117.192.65</v>
          </cell>
          <cell r="I1473" t="str">
            <v>/27</v>
          </cell>
          <cell r="J1473">
            <v>802</v>
          </cell>
          <cell r="K1473" t="str">
            <v>10.117.195.84</v>
          </cell>
          <cell r="L1473" t="str">
            <v>10.117.195.65</v>
          </cell>
          <cell r="M1473" t="str">
            <v>/27</v>
          </cell>
          <cell r="N1473">
            <v>812</v>
          </cell>
          <cell r="O1473" t="str">
            <v>10.117.198.84</v>
          </cell>
          <cell r="P1473" t="str">
            <v>10.117.198.65</v>
          </cell>
          <cell r="Q1473" t="str">
            <v>/27</v>
          </cell>
          <cell r="R1473">
            <v>822</v>
          </cell>
        </row>
        <row r="1474">
          <cell r="E1474" t="str">
            <v>AC191</v>
          </cell>
          <cell r="G1474" t="str">
            <v>10.117.192.85</v>
          </cell>
          <cell r="H1474" t="str">
            <v>10.117.192.65</v>
          </cell>
          <cell r="I1474" t="str">
            <v>/27</v>
          </cell>
          <cell r="J1474">
            <v>802</v>
          </cell>
          <cell r="K1474" t="str">
            <v>10.117.195.85</v>
          </cell>
          <cell r="L1474" t="str">
            <v>10.117.195.65</v>
          </cell>
          <cell r="M1474" t="str">
            <v>/27</v>
          </cell>
          <cell r="N1474">
            <v>812</v>
          </cell>
          <cell r="O1474" t="str">
            <v>10.117.198.85</v>
          </cell>
          <cell r="P1474" t="str">
            <v>10.117.198.65</v>
          </cell>
          <cell r="Q1474" t="str">
            <v>/27</v>
          </cell>
          <cell r="R1474">
            <v>822</v>
          </cell>
        </row>
        <row r="1475">
          <cell r="E1475" t="str">
            <v>AC191</v>
          </cell>
          <cell r="F1475" t="str">
            <v>ET553</v>
          </cell>
          <cell r="G1475" t="str">
            <v>10.117.192.86</v>
          </cell>
          <cell r="H1475" t="str">
            <v>10.117.192.65</v>
          </cell>
          <cell r="I1475" t="str">
            <v>/27</v>
          </cell>
          <cell r="J1475">
            <v>802</v>
          </cell>
          <cell r="K1475" t="str">
            <v>10.117.195.86</v>
          </cell>
          <cell r="L1475" t="str">
            <v>10.117.195.65</v>
          </cell>
          <cell r="M1475" t="str">
            <v>/27</v>
          </cell>
          <cell r="N1475">
            <v>812</v>
          </cell>
          <cell r="O1475" t="str">
            <v>10.117.198.86</v>
          </cell>
          <cell r="P1475" t="str">
            <v>10.117.198.65</v>
          </cell>
          <cell r="Q1475" t="str">
            <v>/27</v>
          </cell>
          <cell r="R1475">
            <v>822</v>
          </cell>
        </row>
        <row r="1476">
          <cell r="E1476" t="str">
            <v>AC191</v>
          </cell>
          <cell r="F1476" t="str">
            <v>ET553</v>
          </cell>
          <cell r="G1476" t="str">
            <v>10.117.192.87</v>
          </cell>
          <cell r="H1476" t="str">
            <v>10.117.192.65</v>
          </cell>
          <cell r="I1476" t="str">
            <v>/27</v>
          </cell>
          <cell r="J1476">
            <v>802</v>
          </cell>
          <cell r="K1476" t="str">
            <v>10.117.195.87</v>
          </cell>
          <cell r="L1476" t="str">
            <v>10.117.195.65</v>
          </cell>
          <cell r="M1476" t="str">
            <v>/27</v>
          </cell>
          <cell r="N1476">
            <v>812</v>
          </cell>
          <cell r="O1476" t="str">
            <v>10.117.198.87</v>
          </cell>
          <cell r="P1476" t="str">
            <v>10.117.198.65</v>
          </cell>
          <cell r="Q1476" t="str">
            <v>/27</v>
          </cell>
          <cell r="R1476">
            <v>822</v>
          </cell>
        </row>
        <row r="1477">
          <cell r="E1477" t="str">
            <v>AC191</v>
          </cell>
          <cell r="F1477" t="str">
            <v>ET609</v>
          </cell>
          <cell r="G1477" t="str">
            <v>10.117.192.88</v>
          </cell>
          <cell r="H1477" t="str">
            <v>10.117.192.65</v>
          </cell>
          <cell r="I1477" t="str">
            <v>/27</v>
          </cell>
          <cell r="J1477">
            <v>802</v>
          </cell>
          <cell r="K1477" t="str">
            <v>10.117.195.88</v>
          </cell>
          <cell r="L1477" t="str">
            <v>10.117.195.65</v>
          </cell>
          <cell r="M1477" t="str">
            <v>/27</v>
          </cell>
          <cell r="N1477">
            <v>812</v>
          </cell>
          <cell r="O1477" t="str">
            <v>10.117.198.88</v>
          </cell>
          <cell r="P1477" t="str">
            <v>10.117.198.65</v>
          </cell>
          <cell r="Q1477" t="str">
            <v>/27</v>
          </cell>
          <cell r="R1477">
            <v>822</v>
          </cell>
        </row>
        <row r="1478">
          <cell r="E1478" t="str">
            <v>AC191</v>
          </cell>
          <cell r="F1478" t="str">
            <v>ET609</v>
          </cell>
          <cell r="G1478" t="str">
            <v>10.117.192.89</v>
          </cell>
          <cell r="H1478" t="str">
            <v>10.117.192.65</v>
          </cell>
          <cell r="I1478" t="str">
            <v>/27</v>
          </cell>
          <cell r="J1478">
            <v>802</v>
          </cell>
          <cell r="K1478" t="str">
            <v>10.117.195.89</v>
          </cell>
          <cell r="L1478" t="str">
            <v>10.117.195.65</v>
          </cell>
          <cell r="M1478" t="str">
            <v>/27</v>
          </cell>
          <cell r="N1478">
            <v>812</v>
          </cell>
          <cell r="O1478" t="str">
            <v>10.117.198.89</v>
          </cell>
          <cell r="P1478" t="str">
            <v>10.117.198.65</v>
          </cell>
          <cell r="Q1478" t="str">
            <v>/27</v>
          </cell>
          <cell r="R1478">
            <v>822</v>
          </cell>
        </row>
        <row r="1479">
          <cell r="E1479" t="str">
            <v>AC191</v>
          </cell>
          <cell r="G1479" t="str">
            <v>10.117.192.90</v>
          </cell>
          <cell r="H1479" t="str">
            <v>10.117.192.65</v>
          </cell>
          <cell r="I1479" t="str">
            <v>/27</v>
          </cell>
          <cell r="J1479">
            <v>802</v>
          </cell>
          <cell r="K1479" t="str">
            <v>10.117.195.90</v>
          </cell>
          <cell r="L1479" t="str">
            <v>10.117.195.65</v>
          </cell>
          <cell r="M1479" t="str">
            <v>/27</v>
          </cell>
          <cell r="N1479">
            <v>812</v>
          </cell>
          <cell r="O1479" t="str">
            <v>10.117.198.90</v>
          </cell>
          <cell r="P1479" t="str">
            <v>10.117.198.65</v>
          </cell>
          <cell r="Q1479" t="str">
            <v>/27</v>
          </cell>
          <cell r="R1479">
            <v>822</v>
          </cell>
        </row>
        <row r="1480">
          <cell r="E1480" t="str">
            <v>AC191</v>
          </cell>
          <cell r="G1480" t="str">
            <v>10.117.192.91</v>
          </cell>
          <cell r="H1480" t="str">
            <v>10.117.192.65</v>
          </cell>
          <cell r="I1480" t="str">
            <v>/27</v>
          </cell>
          <cell r="J1480">
            <v>802</v>
          </cell>
          <cell r="K1480" t="str">
            <v>10.117.195.91</v>
          </cell>
          <cell r="L1480" t="str">
            <v>10.117.195.65</v>
          </cell>
          <cell r="M1480" t="str">
            <v>/27</v>
          </cell>
          <cell r="N1480">
            <v>812</v>
          </cell>
          <cell r="O1480" t="str">
            <v>10.117.198.91</v>
          </cell>
          <cell r="P1480" t="str">
            <v>10.117.198.65</v>
          </cell>
          <cell r="Q1480" t="str">
            <v>/27</v>
          </cell>
          <cell r="R1480">
            <v>822</v>
          </cell>
        </row>
        <row r="1481">
          <cell r="E1481" t="str">
            <v>AC191</v>
          </cell>
          <cell r="F1481" t="str">
            <v>ET225</v>
          </cell>
          <cell r="G1481" t="str">
            <v>10.117.192.92</v>
          </cell>
          <cell r="H1481" t="str">
            <v>10.117.192.65</v>
          </cell>
          <cell r="I1481" t="str">
            <v>/27</v>
          </cell>
          <cell r="J1481">
            <v>802</v>
          </cell>
          <cell r="K1481" t="str">
            <v>10.117.195.92</v>
          </cell>
          <cell r="L1481" t="str">
            <v>10.117.195.65</v>
          </cell>
          <cell r="M1481" t="str">
            <v>/27</v>
          </cell>
          <cell r="N1481">
            <v>812</v>
          </cell>
          <cell r="O1481" t="str">
            <v>10.117.198.92</v>
          </cell>
          <cell r="P1481" t="str">
            <v>10.117.198.65</v>
          </cell>
          <cell r="Q1481" t="str">
            <v>/27</v>
          </cell>
          <cell r="R1481">
            <v>822</v>
          </cell>
        </row>
        <row r="1482">
          <cell r="E1482" t="str">
            <v>AC191</v>
          </cell>
          <cell r="F1482" t="str">
            <v>ET225</v>
          </cell>
          <cell r="G1482" t="str">
            <v>10.117.192.93</v>
          </cell>
          <cell r="H1482" t="str">
            <v>10.117.192.65</v>
          </cell>
          <cell r="I1482" t="str">
            <v>/27</v>
          </cell>
          <cell r="J1482">
            <v>802</v>
          </cell>
          <cell r="K1482" t="str">
            <v>10.117.195.93</v>
          </cell>
          <cell r="L1482" t="str">
            <v>10.117.195.65</v>
          </cell>
          <cell r="M1482" t="str">
            <v>/27</v>
          </cell>
          <cell r="N1482">
            <v>812</v>
          </cell>
          <cell r="O1482" t="str">
            <v>10.117.198.93</v>
          </cell>
          <cell r="P1482" t="str">
            <v>10.117.198.65</v>
          </cell>
          <cell r="Q1482" t="str">
            <v>/27</v>
          </cell>
          <cell r="R1482">
            <v>822</v>
          </cell>
        </row>
        <row r="1483">
          <cell r="E1483" t="str">
            <v>AC191</v>
          </cell>
          <cell r="G1483" t="str">
            <v>10.117.192.94</v>
          </cell>
          <cell r="H1483" t="str">
            <v>10.117.192.65</v>
          </cell>
          <cell r="I1483" t="str">
            <v>/27</v>
          </cell>
          <cell r="J1483">
            <v>802</v>
          </cell>
          <cell r="K1483" t="str">
            <v>10.117.195.94</v>
          </cell>
          <cell r="L1483" t="str">
            <v>10.117.195.65</v>
          </cell>
          <cell r="M1483" t="str">
            <v>/27</v>
          </cell>
          <cell r="N1483">
            <v>812</v>
          </cell>
          <cell r="O1483" t="str">
            <v>10.117.198.94</v>
          </cell>
          <cell r="P1483" t="str">
            <v>10.117.198.65</v>
          </cell>
          <cell r="Q1483" t="str">
            <v>/27</v>
          </cell>
          <cell r="R1483">
            <v>822</v>
          </cell>
        </row>
        <row r="1484">
          <cell r="E1484" t="str">
            <v>AC191</v>
          </cell>
          <cell r="G1484" t="str">
            <v>10.117.192.95</v>
          </cell>
          <cell r="H1484" t="str">
            <v>10.117.192.65</v>
          </cell>
          <cell r="I1484" t="str">
            <v>/27</v>
          </cell>
          <cell r="J1484">
            <v>802</v>
          </cell>
          <cell r="K1484" t="str">
            <v>10.117.195.95</v>
          </cell>
          <cell r="L1484" t="str">
            <v>10.117.195.65</v>
          </cell>
          <cell r="M1484" t="str">
            <v>/27</v>
          </cell>
          <cell r="N1484">
            <v>812</v>
          </cell>
          <cell r="O1484" t="str">
            <v>10.117.198.95</v>
          </cell>
          <cell r="P1484" t="str">
            <v>10.117.198.65</v>
          </cell>
          <cell r="Q1484" t="str">
            <v>/27</v>
          </cell>
          <cell r="R1484">
            <v>822</v>
          </cell>
        </row>
        <row r="1485">
          <cell r="E1485" t="str">
            <v>AC180</v>
          </cell>
          <cell r="G1485" t="str">
            <v>10.117.192.192</v>
          </cell>
          <cell r="H1485" t="str">
            <v>10.117.192.193</v>
          </cell>
          <cell r="I1485" t="str">
            <v>/27</v>
          </cell>
          <cell r="J1485">
            <v>808</v>
          </cell>
          <cell r="K1485" t="str">
            <v>10.117.195.192</v>
          </cell>
          <cell r="L1485" t="str">
            <v>10.117.195.193</v>
          </cell>
          <cell r="M1485" t="str">
            <v>/27</v>
          </cell>
          <cell r="N1485">
            <v>818</v>
          </cell>
          <cell r="O1485" t="str">
            <v>10.117.198.192</v>
          </cell>
          <cell r="P1485" t="str">
            <v>10.117.198.193</v>
          </cell>
          <cell r="Q1485" t="str">
            <v>/27</v>
          </cell>
          <cell r="R1485">
            <v>828</v>
          </cell>
        </row>
        <row r="1486">
          <cell r="E1486" t="str">
            <v>AC180</v>
          </cell>
          <cell r="G1486" t="str">
            <v>10.117.192.193</v>
          </cell>
          <cell r="H1486" t="str">
            <v>10.117.192.193</v>
          </cell>
          <cell r="I1486" t="str">
            <v>/27</v>
          </cell>
          <cell r="J1486">
            <v>808</v>
          </cell>
          <cell r="K1486" t="str">
            <v>10.117.195.193</v>
          </cell>
          <cell r="L1486" t="str">
            <v>10.117.195.193</v>
          </cell>
          <cell r="M1486" t="str">
            <v>/27</v>
          </cell>
          <cell r="N1486">
            <v>818</v>
          </cell>
          <cell r="O1486" t="str">
            <v>10.117.198.193</v>
          </cell>
          <cell r="P1486" t="str">
            <v>10.117.198.193</v>
          </cell>
          <cell r="Q1486" t="str">
            <v>/27</v>
          </cell>
          <cell r="R1486">
            <v>828</v>
          </cell>
        </row>
        <row r="1487">
          <cell r="E1487" t="str">
            <v>AC180</v>
          </cell>
          <cell r="G1487" t="str">
            <v>10.117.192.194</v>
          </cell>
          <cell r="H1487" t="str">
            <v>10.117.192.193</v>
          </cell>
          <cell r="I1487" t="str">
            <v>/27</v>
          </cell>
          <cell r="J1487">
            <v>808</v>
          </cell>
          <cell r="K1487" t="str">
            <v>10.117.195.194</v>
          </cell>
          <cell r="L1487" t="str">
            <v>10.117.195.193</v>
          </cell>
          <cell r="M1487" t="str">
            <v>/27</v>
          </cell>
          <cell r="N1487">
            <v>818</v>
          </cell>
          <cell r="O1487" t="str">
            <v>10.117.198.194</v>
          </cell>
          <cell r="P1487" t="str">
            <v>10.117.198.193</v>
          </cell>
          <cell r="Q1487" t="str">
            <v>/27</v>
          </cell>
          <cell r="R1487">
            <v>828</v>
          </cell>
        </row>
        <row r="1488">
          <cell r="E1488" t="str">
            <v>AC180</v>
          </cell>
          <cell r="G1488" t="str">
            <v>10.117.192.195</v>
          </cell>
          <cell r="H1488" t="str">
            <v>10.117.192.193</v>
          </cell>
          <cell r="I1488" t="str">
            <v>/27</v>
          </cell>
          <cell r="J1488">
            <v>808</v>
          </cell>
          <cell r="K1488" t="str">
            <v>10.117.195.195</v>
          </cell>
          <cell r="L1488" t="str">
            <v>10.117.195.193</v>
          </cell>
          <cell r="M1488" t="str">
            <v>/27</v>
          </cell>
          <cell r="N1488">
            <v>818</v>
          </cell>
          <cell r="O1488" t="str">
            <v>10.117.198.195</v>
          </cell>
          <cell r="P1488" t="str">
            <v>10.117.198.193</v>
          </cell>
          <cell r="Q1488" t="str">
            <v>/27</v>
          </cell>
          <cell r="R1488">
            <v>828</v>
          </cell>
        </row>
        <row r="1489">
          <cell r="E1489" t="str">
            <v>AC180</v>
          </cell>
          <cell r="F1489" t="str">
            <v>AC180</v>
          </cell>
          <cell r="G1489" t="str">
            <v>10.117.192.196</v>
          </cell>
          <cell r="H1489" t="str">
            <v>10.117.192.193</v>
          </cell>
          <cell r="I1489" t="str">
            <v>/27</v>
          </cell>
          <cell r="J1489">
            <v>808</v>
          </cell>
          <cell r="K1489" t="str">
            <v>10.117.195.196</v>
          </cell>
          <cell r="L1489" t="str">
            <v>10.117.195.193</v>
          </cell>
          <cell r="M1489" t="str">
            <v>/27</v>
          </cell>
          <cell r="N1489">
            <v>818</v>
          </cell>
          <cell r="O1489" t="str">
            <v>10.117.198.196</v>
          </cell>
          <cell r="P1489" t="str">
            <v>10.117.198.193</v>
          </cell>
          <cell r="Q1489" t="str">
            <v>/27</v>
          </cell>
          <cell r="R1489">
            <v>828</v>
          </cell>
        </row>
        <row r="1490">
          <cell r="E1490" t="str">
            <v>AC180</v>
          </cell>
          <cell r="G1490" t="str">
            <v>10.117.192.197</v>
          </cell>
          <cell r="H1490" t="str">
            <v>10.117.192.193</v>
          </cell>
          <cell r="I1490" t="str">
            <v>/27</v>
          </cell>
          <cell r="J1490">
            <v>808</v>
          </cell>
          <cell r="K1490" t="str">
            <v>10.117.195.197</v>
          </cell>
          <cell r="L1490" t="str">
            <v>10.117.195.193</v>
          </cell>
          <cell r="M1490" t="str">
            <v>/27</v>
          </cell>
          <cell r="N1490">
            <v>818</v>
          </cell>
          <cell r="O1490" t="str">
            <v>10.117.198.197</v>
          </cell>
          <cell r="P1490" t="str">
            <v>10.117.198.193</v>
          </cell>
          <cell r="Q1490" t="str">
            <v>/27</v>
          </cell>
          <cell r="R1490">
            <v>828</v>
          </cell>
        </row>
        <row r="1491">
          <cell r="E1491" t="str">
            <v>AC180</v>
          </cell>
          <cell r="F1491" t="str">
            <v>AC935</v>
          </cell>
          <cell r="G1491" t="str">
            <v>10.117.192.198</v>
          </cell>
          <cell r="H1491" t="str">
            <v>10.117.192.193</v>
          </cell>
          <cell r="I1491" t="str">
            <v>/27</v>
          </cell>
          <cell r="J1491">
            <v>808</v>
          </cell>
          <cell r="K1491" t="str">
            <v>10.117.195.198</v>
          </cell>
          <cell r="L1491" t="str">
            <v>10.117.195.193</v>
          </cell>
          <cell r="M1491" t="str">
            <v>/27</v>
          </cell>
          <cell r="N1491">
            <v>818</v>
          </cell>
          <cell r="O1491" t="str">
            <v>10.117.198.198</v>
          </cell>
          <cell r="P1491" t="str">
            <v>10.117.198.193</v>
          </cell>
          <cell r="Q1491" t="str">
            <v>/27</v>
          </cell>
          <cell r="R1491">
            <v>828</v>
          </cell>
        </row>
        <row r="1492">
          <cell r="E1492" t="str">
            <v>AC180</v>
          </cell>
          <cell r="G1492" t="str">
            <v>10.117.192.199</v>
          </cell>
          <cell r="H1492" t="str">
            <v>10.117.192.193</v>
          </cell>
          <cell r="I1492" t="str">
            <v>/27</v>
          </cell>
          <cell r="J1492">
            <v>808</v>
          </cell>
          <cell r="K1492" t="str">
            <v>10.117.195.199</v>
          </cell>
          <cell r="L1492" t="str">
            <v>10.117.195.193</v>
          </cell>
          <cell r="M1492" t="str">
            <v>/27</v>
          </cell>
          <cell r="N1492">
            <v>818</v>
          </cell>
          <cell r="O1492" t="str">
            <v>10.117.198.199</v>
          </cell>
          <cell r="P1492" t="str">
            <v>10.117.198.193</v>
          </cell>
          <cell r="Q1492" t="str">
            <v>/27</v>
          </cell>
          <cell r="R1492">
            <v>828</v>
          </cell>
        </row>
        <row r="1493">
          <cell r="E1493" t="str">
            <v>AC180</v>
          </cell>
          <cell r="G1493" t="str">
            <v>10.117.192.200</v>
          </cell>
          <cell r="H1493" t="str">
            <v>10.117.192.193</v>
          </cell>
          <cell r="I1493" t="str">
            <v>/27</v>
          </cell>
          <cell r="J1493">
            <v>808</v>
          </cell>
          <cell r="K1493" t="str">
            <v>10.117.195.200</v>
          </cell>
          <cell r="L1493" t="str">
            <v>10.117.195.193</v>
          </cell>
          <cell r="M1493" t="str">
            <v>/27</v>
          </cell>
          <cell r="N1493">
            <v>818</v>
          </cell>
          <cell r="O1493" t="str">
            <v>10.117.198.200</v>
          </cell>
          <cell r="P1493" t="str">
            <v>10.117.198.193</v>
          </cell>
          <cell r="Q1493" t="str">
            <v>/27</v>
          </cell>
          <cell r="R1493">
            <v>828</v>
          </cell>
        </row>
        <row r="1494">
          <cell r="E1494" t="str">
            <v>AC180</v>
          </cell>
          <cell r="F1494" t="str">
            <v>ET550</v>
          </cell>
          <cell r="G1494" t="str">
            <v>10.117.192.201</v>
          </cell>
          <cell r="H1494" t="str">
            <v>10.117.192.193</v>
          </cell>
          <cell r="I1494" t="str">
            <v>/27</v>
          </cell>
          <cell r="J1494">
            <v>808</v>
          </cell>
          <cell r="K1494" t="str">
            <v>10.117.195.201</v>
          </cell>
          <cell r="L1494" t="str">
            <v>10.117.195.193</v>
          </cell>
          <cell r="M1494" t="str">
            <v>/27</v>
          </cell>
          <cell r="N1494">
            <v>818</v>
          </cell>
          <cell r="O1494" t="str">
            <v>10.117.198.201</v>
          </cell>
          <cell r="P1494" t="str">
            <v>10.117.198.193</v>
          </cell>
          <cell r="Q1494" t="str">
            <v>/27</v>
          </cell>
          <cell r="R1494">
            <v>828</v>
          </cell>
        </row>
        <row r="1495">
          <cell r="E1495" t="str">
            <v>AC180</v>
          </cell>
          <cell r="F1495" t="str">
            <v>AC754</v>
          </cell>
          <cell r="G1495" t="str">
            <v>10.117.192.202</v>
          </cell>
          <cell r="H1495" t="str">
            <v>10.117.192.193</v>
          </cell>
          <cell r="I1495" t="str">
            <v>/27</v>
          </cell>
          <cell r="J1495">
            <v>808</v>
          </cell>
          <cell r="K1495" t="str">
            <v>10.117.195.202</v>
          </cell>
          <cell r="L1495" t="str">
            <v>10.117.195.193</v>
          </cell>
          <cell r="M1495" t="str">
            <v>/27</v>
          </cell>
          <cell r="N1495">
            <v>818</v>
          </cell>
          <cell r="O1495" t="str">
            <v>10.117.198.202</v>
          </cell>
          <cell r="P1495" t="str">
            <v>10.117.198.193</v>
          </cell>
          <cell r="Q1495" t="str">
            <v>/27</v>
          </cell>
          <cell r="R1495">
            <v>828</v>
          </cell>
        </row>
        <row r="1496">
          <cell r="E1496" t="str">
            <v>AC180</v>
          </cell>
          <cell r="G1496" t="str">
            <v>10.117.192.203</v>
          </cell>
          <cell r="H1496" t="str">
            <v>10.117.192.193</v>
          </cell>
          <cell r="I1496" t="str">
            <v>/27</v>
          </cell>
          <cell r="J1496">
            <v>808</v>
          </cell>
          <cell r="K1496" t="str">
            <v>10.117.195.203</v>
          </cell>
          <cell r="L1496" t="str">
            <v>10.117.195.193</v>
          </cell>
          <cell r="M1496" t="str">
            <v>/27</v>
          </cell>
          <cell r="N1496">
            <v>818</v>
          </cell>
          <cell r="O1496" t="str">
            <v>10.117.198.203</v>
          </cell>
          <cell r="P1496" t="str">
            <v>10.117.198.193</v>
          </cell>
          <cell r="Q1496" t="str">
            <v>/27</v>
          </cell>
          <cell r="R1496">
            <v>828</v>
          </cell>
        </row>
        <row r="1497">
          <cell r="E1497" t="str">
            <v>AC180</v>
          </cell>
          <cell r="F1497" t="str">
            <v>ET634</v>
          </cell>
          <cell r="G1497" t="str">
            <v>10.117.192.204</v>
          </cell>
          <cell r="H1497" t="str">
            <v>10.117.192.193</v>
          </cell>
          <cell r="I1497" t="str">
            <v>/27</v>
          </cell>
          <cell r="J1497">
            <v>808</v>
          </cell>
          <cell r="K1497" t="str">
            <v>10.117.195.204</v>
          </cell>
          <cell r="L1497" t="str">
            <v>10.117.195.193</v>
          </cell>
          <cell r="M1497" t="str">
            <v>/27</v>
          </cell>
          <cell r="N1497">
            <v>818</v>
          </cell>
          <cell r="O1497" t="str">
            <v>10.117.198.204</v>
          </cell>
          <cell r="P1497" t="str">
            <v>10.117.198.193</v>
          </cell>
          <cell r="Q1497" t="str">
            <v>/27</v>
          </cell>
          <cell r="R1497">
            <v>828</v>
          </cell>
        </row>
        <row r="1498">
          <cell r="E1498" t="str">
            <v>AC180</v>
          </cell>
          <cell r="F1498" t="str">
            <v>ET634</v>
          </cell>
          <cell r="G1498" t="str">
            <v>10.117.192.205</v>
          </cell>
          <cell r="H1498" t="str">
            <v>10.117.192.193</v>
          </cell>
          <cell r="I1498" t="str">
            <v>/27</v>
          </cell>
          <cell r="J1498">
            <v>808</v>
          </cell>
          <cell r="K1498" t="str">
            <v>10.117.195.205</v>
          </cell>
          <cell r="L1498" t="str">
            <v>10.117.195.193</v>
          </cell>
          <cell r="M1498" t="str">
            <v>/27</v>
          </cell>
          <cell r="N1498">
            <v>818</v>
          </cell>
          <cell r="O1498" t="str">
            <v>10.117.198.205</v>
          </cell>
          <cell r="P1498" t="str">
            <v>10.117.198.193</v>
          </cell>
          <cell r="Q1498" t="str">
            <v>/27</v>
          </cell>
          <cell r="R1498">
            <v>828</v>
          </cell>
        </row>
        <row r="1499">
          <cell r="E1499" t="str">
            <v>AC180</v>
          </cell>
          <cell r="F1499" t="str">
            <v>AC742</v>
          </cell>
          <cell r="G1499" t="str">
            <v>10.117.192.206</v>
          </cell>
          <cell r="H1499" t="str">
            <v>10.117.192.193</v>
          </cell>
          <cell r="I1499" t="str">
            <v>/27</v>
          </cell>
          <cell r="J1499">
            <v>808</v>
          </cell>
          <cell r="K1499" t="str">
            <v>10.117.195.206</v>
          </cell>
          <cell r="L1499" t="str">
            <v>10.117.195.193</v>
          </cell>
          <cell r="M1499" t="str">
            <v>/27</v>
          </cell>
          <cell r="N1499">
            <v>818</v>
          </cell>
          <cell r="O1499" t="str">
            <v>10.117.198.206</v>
          </cell>
          <cell r="P1499" t="str">
            <v>10.117.198.193</v>
          </cell>
          <cell r="Q1499" t="str">
            <v>/27</v>
          </cell>
          <cell r="R1499">
            <v>828</v>
          </cell>
        </row>
        <row r="1500">
          <cell r="E1500" t="str">
            <v>AC180</v>
          </cell>
          <cell r="G1500" t="str">
            <v>10.117.192.207</v>
          </cell>
          <cell r="H1500" t="str">
            <v>10.117.192.193</v>
          </cell>
          <cell r="I1500" t="str">
            <v>/27</v>
          </cell>
          <cell r="J1500">
            <v>808</v>
          </cell>
          <cell r="K1500" t="str">
            <v>10.117.195.207</v>
          </cell>
          <cell r="L1500" t="str">
            <v>10.117.195.193</v>
          </cell>
          <cell r="M1500" t="str">
            <v>/27</v>
          </cell>
          <cell r="N1500">
            <v>818</v>
          </cell>
          <cell r="O1500" t="str">
            <v>10.117.198.207</v>
          </cell>
          <cell r="P1500" t="str">
            <v>10.117.198.193</v>
          </cell>
          <cell r="Q1500" t="str">
            <v>/27</v>
          </cell>
          <cell r="R1500">
            <v>828</v>
          </cell>
        </row>
        <row r="1501">
          <cell r="E1501" t="str">
            <v>AC180</v>
          </cell>
          <cell r="F1501" t="str">
            <v>ET451</v>
          </cell>
          <cell r="G1501" t="str">
            <v>10.117.192.208</v>
          </cell>
          <cell r="H1501" t="str">
            <v>10.117.192.193</v>
          </cell>
          <cell r="I1501" t="str">
            <v>/27</v>
          </cell>
          <cell r="J1501">
            <v>808</v>
          </cell>
          <cell r="K1501" t="str">
            <v>10.117.195.208</v>
          </cell>
          <cell r="L1501" t="str">
            <v>10.117.195.193</v>
          </cell>
          <cell r="M1501" t="str">
            <v>/27</v>
          </cell>
          <cell r="N1501">
            <v>818</v>
          </cell>
          <cell r="O1501" t="str">
            <v>10.117.198.208</v>
          </cell>
          <cell r="P1501" t="str">
            <v>10.117.198.193</v>
          </cell>
          <cell r="Q1501" t="str">
            <v>/27</v>
          </cell>
          <cell r="R1501">
            <v>828</v>
          </cell>
        </row>
        <row r="1502">
          <cell r="E1502" t="str">
            <v>AC180</v>
          </cell>
          <cell r="F1502" t="str">
            <v>ET451</v>
          </cell>
          <cell r="G1502" t="str">
            <v>10.117.192.209</v>
          </cell>
          <cell r="H1502" t="str">
            <v>10.117.192.193</v>
          </cell>
          <cell r="I1502" t="str">
            <v>/27</v>
          </cell>
          <cell r="J1502">
            <v>808</v>
          </cell>
          <cell r="K1502" t="str">
            <v>10.117.195.209</v>
          </cell>
          <cell r="L1502" t="str">
            <v>10.117.195.193</v>
          </cell>
          <cell r="M1502" t="str">
            <v>/27</v>
          </cell>
          <cell r="N1502">
            <v>818</v>
          </cell>
          <cell r="O1502" t="str">
            <v>10.117.198.209</v>
          </cell>
          <cell r="P1502" t="str">
            <v>10.117.198.193</v>
          </cell>
          <cell r="Q1502" t="str">
            <v>/27</v>
          </cell>
          <cell r="R1502">
            <v>828</v>
          </cell>
        </row>
        <row r="1503">
          <cell r="E1503" t="str">
            <v>AC180</v>
          </cell>
          <cell r="F1503" t="str">
            <v>ET452</v>
          </cell>
          <cell r="G1503" t="str">
            <v>10.117.192.210</v>
          </cell>
          <cell r="H1503" t="str">
            <v>10.117.192.193</v>
          </cell>
          <cell r="I1503" t="str">
            <v>/27</v>
          </cell>
          <cell r="J1503">
            <v>808</v>
          </cell>
          <cell r="K1503" t="str">
            <v>10.117.195.210</v>
          </cell>
          <cell r="L1503" t="str">
            <v>10.117.195.193</v>
          </cell>
          <cell r="M1503" t="str">
            <v>/27</v>
          </cell>
          <cell r="N1503">
            <v>818</v>
          </cell>
          <cell r="O1503" t="str">
            <v>10.117.198.210</v>
          </cell>
          <cell r="P1503" t="str">
            <v>10.117.198.193</v>
          </cell>
          <cell r="Q1503" t="str">
            <v>/27</v>
          </cell>
          <cell r="R1503">
            <v>828</v>
          </cell>
        </row>
        <row r="1504">
          <cell r="E1504" t="str">
            <v>AC180</v>
          </cell>
          <cell r="F1504" t="str">
            <v>ET452</v>
          </cell>
          <cell r="G1504" t="str">
            <v>10.117.192.211</v>
          </cell>
          <cell r="H1504" t="str">
            <v>10.117.192.193</v>
          </cell>
          <cell r="I1504" t="str">
            <v>/27</v>
          </cell>
          <cell r="J1504">
            <v>808</v>
          </cell>
          <cell r="K1504" t="str">
            <v>10.117.195.211</v>
          </cell>
          <cell r="L1504" t="str">
            <v>10.117.195.193</v>
          </cell>
          <cell r="M1504" t="str">
            <v>/27</v>
          </cell>
          <cell r="N1504">
            <v>818</v>
          </cell>
          <cell r="O1504" t="str">
            <v>10.117.198.211</v>
          </cell>
          <cell r="P1504" t="str">
            <v>10.117.198.193</v>
          </cell>
          <cell r="Q1504" t="str">
            <v>/27</v>
          </cell>
          <cell r="R1504">
            <v>828</v>
          </cell>
        </row>
        <row r="1505">
          <cell r="E1505" t="str">
            <v>AC180</v>
          </cell>
          <cell r="F1505" t="str">
            <v>ET453</v>
          </cell>
          <cell r="G1505" t="str">
            <v>10.117.192.212</v>
          </cell>
          <cell r="H1505" t="str">
            <v>10.117.192.193</v>
          </cell>
          <cell r="I1505" t="str">
            <v>/27</v>
          </cell>
          <cell r="J1505">
            <v>808</v>
          </cell>
          <cell r="K1505" t="str">
            <v>10.117.195.212</v>
          </cell>
          <cell r="L1505" t="str">
            <v>10.117.195.193</v>
          </cell>
          <cell r="M1505" t="str">
            <v>/27</v>
          </cell>
          <cell r="N1505">
            <v>818</v>
          </cell>
          <cell r="O1505" t="str">
            <v>10.117.198.212</v>
          </cell>
          <cell r="P1505" t="str">
            <v>10.117.198.193</v>
          </cell>
          <cell r="Q1505" t="str">
            <v>/27</v>
          </cell>
          <cell r="R1505">
            <v>828</v>
          </cell>
        </row>
        <row r="1506">
          <cell r="E1506" t="str">
            <v>AC180</v>
          </cell>
          <cell r="G1506" t="str">
            <v>10.117.192.213</v>
          </cell>
          <cell r="H1506" t="str">
            <v>10.117.192.193</v>
          </cell>
          <cell r="I1506" t="str">
            <v>/27</v>
          </cell>
          <cell r="J1506">
            <v>808</v>
          </cell>
          <cell r="K1506" t="str">
            <v>10.117.195.213</v>
          </cell>
          <cell r="L1506" t="str">
            <v>10.117.195.193</v>
          </cell>
          <cell r="M1506" t="str">
            <v>/27</v>
          </cell>
          <cell r="N1506">
            <v>818</v>
          </cell>
          <cell r="O1506" t="str">
            <v>10.117.198.213</v>
          </cell>
          <cell r="P1506" t="str">
            <v>10.117.198.193</v>
          </cell>
          <cell r="Q1506" t="str">
            <v>/27</v>
          </cell>
          <cell r="R1506">
            <v>828</v>
          </cell>
        </row>
        <row r="1507">
          <cell r="E1507" t="str">
            <v>AC180</v>
          </cell>
          <cell r="F1507" t="str">
            <v>IM052</v>
          </cell>
          <cell r="G1507" t="str">
            <v>10.117.192.214</v>
          </cell>
          <cell r="H1507" t="str">
            <v>10.117.192.193</v>
          </cell>
          <cell r="I1507" t="str">
            <v>/27</v>
          </cell>
          <cell r="J1507">
            <v>808</v>
          </cell>
          <cell r="K1507" t="str">
            <v>10.117.195.214</v>
          </cell>
          <cell r="L1507" t="str">
            <v>10.117.195.193</v>
          </cell>
          <cell r="M1507" t="str">
            <v>/27</v>
          </cell>
          <cell r="N1507">
            <v>818</v>
          </cell>
          <cell r="O1507" t="str">
            <v>10.117.198.214</v>
          </cell>
          <cell r="P1507" t="str">
            <v>10.117.198.193</v>
          </cell>
          <cell r="Q1507" t="str">
            <v>/27</v>
          </cell>
          <cell r="R1507">
            <v>828</v>
          </cell>
        </row>
        <row r="1508">
          <cell r="E1508" t="str">
            <v>AC180</v>
          </cell>
          <cell r="F1508" t="str">
            <v>IM052</v>
          </cell>
          <cell r="G1508" t="str">
            <v>10.117.192.215</v>
          </cell>
          <cell r="H1508" t="str">
            <v>10.117.192.193</v>
          </cell>
          <cell r="I1508" t="str">
            <v>/27</v>
          </cell>
          <cell r="J1508">
            <v>808</v>
          </cell>
          <cell r="K1508" t="str">
            <v>10.117.195.215</v>
          </cell>
          <cell r="L1508" t="str">
            <v>10.117.195.193</v>
          </cell>
          <cell r="M1508" t="str">
            <v>/27</v>
          </cell>
          <cell r="N1508">
            <v>818</v>
          </cell>
          <cell r="O1508" t="str">
            <v>10.117.198.215</v>
          </cell>
          <cell r="P1508" t="str">
            <v>10.117.198.193</v>
          </cell>
          <cell r="Q1508" t="str">
            <v>/27</v>
          </cell>
          <cell r="R1508">
            <v>828</v>
          </cell>
        </row>
        <row r="1509">
          <cell r="E1509" t="str">
            <v>AC180</v>
          </cell>
          <cell r="G1509" t="str">
            <v>10.117.192.216</v>
          </cell>
          <cell r="H1509" t="str">
            <v>10.117.192.193</v>
          </cell>
          <cell r="I1509" t="str">
            <v>/27</v>
          </cell>
          <cell r="J1509">
            <v>808</v>
          </cell>
          <cell r="K1509" t="str">
            <v>10.117.195.216</v>
          </cell>
          <cell r="L1509" t="str">
            <v>10.117.195.193</v>
          </cell>
          <cell r="M1509" t="str">
            <v>/27</v>
          </cell>
          <cell r="N1509">
            <v>818</v>
          </cell>
          <cell r="O1509" t="str">
            <v>10.117.198.216</v>
          </cell>
          <cell r="P1509" t="str">
            <v>10.117.198.193</v>
          </cell>
          <cell r="Q1509" t="str">
            <v>/27</v>
          </cell>
          <cell r="R1509">
            <v>828</v>
          </cell>
        </row>
        <row r="1510">
          <cell r="E1510" t="str">
            <v>AC180</v>
          </cell>
          <cell r="G1510" t="str">
            <v>10.117.192.217</v>
          </cell>
          <cell r="H1510" t="str">
            <v>10.117.192.193</v>
          </cell>
          <cell r="I1510" t="str">
            <v>/27</v>
          </cell>
          <cell r="J1510">
            <v>808</v>
          </cell>
          <cell r="K1510" t="str">
            <v>10.117.195.217</v>
          </cell>
          <cell r="L1510" t="str">
            <v>10.117.195.193</v>
          </cell>
          <cell r="M1510" t="str">
            <v>/27</v>
          </cell>
          <cell r="N1510">
            <v>818</v>
          </cell>
          <cell r="O1510" t="str">
            <v>10.117.198.217</v>
          </cell>
          <cell r="P1510" t="str">
            <v>10.117.198.193</v>
          </cell>
          <cell r="Q1510" t="str">
            <v>/27</v>
          </cell>
          <cell r="R1510">
            <v>828</v>
          </cell>
        </row>
        <row r="1511">
          <cell r="E1511" t="str">
            <v>AC180</v>
          </cell>
          <cell r="G1511" t="str">
            <v>10.117.192.218</v>
          </cell>
          <cell r="H1511" t="str">
            <v>10.117.192.193</v>
          </cell>
          <cell r="I1511" t="str">
            <v>/27</v>
          </cell>
          <cell r="J1511">
            <v>808</v>
          </cell>
          <cell r="K1511" t="str">
            <v>10.117.195.218</v>
          </cell>
          <cell r="L1511" t="str">
            <v>10.117.195.193</v>
          </cell>
          <cell r="M1511" t="str">
            <v>/27</v>
          </cell>
          <cell r="N1511">
            <v>818</v>
          </cell>
          <cell r="O1511" t="str">
            <v>10.117.198.218</v>
          </cell>
          <cell r="P1511" t="str">
            <v>10.117.198.193</v>
          </cell>
          <cell r="Q1511" t="str">
            <v>/27</v>
          </cell>
          <cell r="R1511">
            <v>828</v>
          </cell>
        </row>
        <row r="1512">
          <cell r="E1512" t="str">
            <v>AC180</v>
          </cell>
          <cell r="G1512" t="str">
            <v>10.117.192.219</v>
          </cell>
          <cell r="H1512" t="str">
            <v>10.117.192.193</v>
          </cell>
          <cell r="I1512" t="str">
            <v>/27</v>
          </cell>
          <cell r="J1512">
            <v>808</v>
          </cell>
          <cell r="K1512" t="str">
            <v>10.117.195.219</v>
          </cell>
          <cell r="L1512" t="str">
            <v>10.117.195.193</v>
          </cell>
          <cell r="M1512" t="str">
            <v>/27</v>
          </cell>
          <cell r="N1512">
            <v>818</v>
          </cell>
          <cell r="O1512" t="str">
            <v>10.117.198.219</v>
          </cell>
          <cell r="P1512" t="str">
            <v>10.117.198.193</v>
          </cell>
          <cell r="Q1512" t="str">
            <v>/27</v>
          </cell>
          <cell r="R1512">
            <v>828</v>
          </cell>
        </row>
        <row r="1513">
          <cell r="E1513" t="str">
            <v>AC180</v>
          </cell>
          <cell r="G1513" t="str">
            <v>10.117.192.220</v>
          </cell>
          <cell r="H1513" t="str">
            <v>10.117.192.193</v>
          </cell>
          <cell r="I1513" t="str">
            <v>/27</v>
          </cell>
          <cell r="J1513">
            <v>808</v>
          </cell>
          <cell r="K1513" t="str">
            <v>10.117.195.220</v>
          </cell>
          <cell r="L1513" t="str">
            <v>10.117.195.193</v>
          </cell>
          <cell r="M1513" t="str">
            <v>/27</v>
          </cell>
          <cell r="N1513">
            <v>818</v>
          </cell>
          <cell r="O1513" t="str">
            <v>10.117.198.220</v>
          </cell>
          <cell r="P1513" t="str">
            <v>10.117.198.193</v>
          </cell>
          <cell r="Q1513" t="str">
            <v>/27</v>
          </cell>
          <cell r="R1513">
            <v>828</v>
          </cell>
        </row>
        <row r="1514">
          <cell r="E1514" t="str">
            <v>AC180</v>
          </cell>
          <cell r="G1514" t="str">
            <v>10.117.192.221</v>
          </cell>
          <cell r="H1514" t="str">
            <v>10.117.192.193</v>
          </cell>
          <cell r="I1514" t="str">
            <v>/27</v>
          </cell>
          <cell r="J1514">
            <v>808</v>
          </cell>
          <cell r="K1514" t="str">
            <v>10.117.195.221</v>
          </cell>
          <cell r="L1514" t="str">
            <v>10.117.195.193</v>
          </cell>
          <cell r="M1514" t="str">
            <v>/27</v>
          </cell>
          <cell r="N1514">
            <v>818</v>
          </cell>
          <cell r="O1514" t="str">
            <v>10.117.198.221</v>
          </cell>
          <cell r="P1514" t="str">
            <v>10.117.198.193</v>
          </cell>
          <cell r="Q1514" t="str">
            <v>/27</v>
          </cell>
          <cell r="R1514">
            <v>828</v>
          </cell>
        </row>
        <row r="1515">
          <cell r="E1515" t="str">
            <v>AC180</v>
          </cell>
          <cell r="G1515" t="str">
            <v>10.117.192.222</v>
          </cell>
          <cell r="H1515" t="str">
            <v>10.117.192.193</v>
          </cell>
          <cell r="I1515" t="str">
            <v>/27</v>
          </cell>
          <cell r="J1515">
            <v>808</v>
          </cell>
          <cell r="K1515" t="str">
            <v>10.117.195.222</v>
          </cell>
          <cell r="L1515" t="str">
            <v>10.117.195.193</v>
          </cell>
          <cell r="M1515" t="str">
            <v>/27</v>
          </cell>
          <cell r="N1515">
            <v>818</v>
          </cell>
          <cell r="O1515" t="str">
            <v>10.117.198.222</v>
          </cell>
          <cell r="P1515" t="str">
            <v>10.117.198.193</v>
          </cell>
          <cell r="Q1515" t="str">
            <v>/27</v>
          </cell>
          <cell r="R1515">
            <v>828</v>
          </cell>
        </row>
        <row r="1516">
          <cell r="E1516" t="str">
            <v>AC180</v>
          </cell>
          <cell r="G1516" t="str">
            <v>10.117.192.223</v>
          </cell>
          <cell r="H1516" t="str">
            <v>10.117.192.193</v>
          </cell>
          <cell r="I1516" t="str">
            <v>/27</v>
          </cell>
          <cell r="J1516">
            <v>808</v>
          </cell>
          <cell r="K1516" t="str">
            <v>10.117.195.223</v>
          </cell>
          <cell r="L1516" t="str">
            <v>10.117.195.193</v>
          </cell>
          <cell r="M1516" t="str">
            <v>/27</v>
          </cell>
          <cell r="N1516">
            <v>818</v>
          </cell>
          <cell r="O1516" t="str">
            <v>10.117.198.223</v>
          </cell>
          <cell r="P1516" t="str">
            <v>10.117.198.193</v>
          </cell>
          <cell r="Q1516" t="str">
            <v>/27</v>
          </cell>
          <cell r="R1516">
            <v>828</v>
          </cell>
        </row>
        <row r="1517">
          <cell r="E1517" t="str">
            <v>AC281</v>
          </cell>
          <cell r="F1517" t="str">
            <v>AC282</v>
          </cell>
          <cell r="G1517" t="str">
            <v>10.117.192.224</v>
          </cell>
          <cell r="H1517" t="str">
            <v>10.117.192.225</v>
          </cell>
          <cell r="I1517" t="str">
            <v>/27</v>
          </cell>
          <cell r="J1517">
            <v>807</v>
          </cell>
          <cell r="K1517" t="str">
            <v>10.117.195.224</v>
          </cell>
          <cell r="L1517" t="str">
            <v>10.117.195.225</v>
          </cell>
          <cell r="M1517" t="str">
            <v>/27</v>
          </cell>
          <cell r="N1517">
            <v>817</v>
          </cell>
          <cell r="O1517" t="str">
            <v>10.117.198.224</v>
          </cell>
          <cell r="P1517" t="str">
            <v>10.117.198.225</v>
          </cell>
          <cell r="Q1517" t="str">
            <v>/27</v>
          </cell>
          <cell r="R1517">
            <v>827</v>
          </cell>
        </row>
        <row r="1518">
          <cell r="E1518" t="str">
            <v>AC281</v>
          </cell>
          <cell r="G1518" t="str">
            <v>10.117.192.225</v>
          </cell>
          <cell r="H1518" t="str">
            <v>10.117.192.225</v>
          </cell>
          <cell r="I1518" t="str">
            <v>/27</v>
          </cell>
          <cell r="J1518">
            <v>807</v>
          </cell>
          <cell r="K1518" t="str">
            <v>10.117.195.225</v>
          </cell>
          <cell r="L1518" t="str">
            <v>10.117.195.225</v>
          </cell>
          <cell r="M1518" t="str">
            <v>/27</v>
          </cell>
          <cell r="N1518">
            <v>817</v>
          </cell>
          <cell r="O1518" t="str">
            <v>10.117.198.225</v>
          </cell>
          <cell r="P1518" t="str">
            <v>10.117.198.225</v>
          </cell>
          <cell r="Q1518" t="str">
            <v>/27</v>
          </cell>
          <cell r="R1518">
            <v>827</v>
          </cell>
        </row>
        <row r="1519">
          <cell r="E1519" t="str">
            <v>AC281</v>
          </cell>
          <cell r="G1519" t="str">
            <v>10.117.192.226</v>
          </cell>
          <cell r="H1519" t="str">
            <v>10.117.192.225</v>
          </cell>
          <cell r="I1519" t="str">
            <v>/27</v>
          </cell>
          <cell r="J1519">
            <v>807</v>
          </cell>
          <cell r="K1519" t="str">
            <v>10.117.195.226</v>
          </cell>
          <cell r="L1519" t="str">
            <v>10.117.195.225</v>
          </cell>
          <cell r="M1519" t="str">
            <v>/27</v>
          </cell>
          <cell r="N1519">
            <v>817</v>
          </cell>
          <cell r="O1519" t="str">
            <v>10.117.198.226</v>
          </cell>
          <cell r="P1519" t="str">
            <v>10.117.198.225</v>
          </cell>
          <cell r="Q1519" t="str">
            <v>/27</v>
          </cell>
          <cell r="R1519">
            <v>827</v>
          </cell>
        </row>
        <row r="1520">
          <cell r="E1520" t="str">
            <v>AC281</v>
          </cell>
          <cell r="G1520" t="str">
            <v>10.117.192.227</v>
          </cell>
          <cell r="H1520" t="str">
            <v>10.117.192.225</v>
          </cell>
          <cell r="I1520" t="str">
            <v>/27</v>
          </cell>
          <cell r="J1520">
            <v>807</v>
          </cell>
          <cell r="K1520" t="str">
            <v>10.117.195.227</v>
          </cell>
          <cell r="L1520" t="str">
            <v>10.117.195.225</v>
          </cell>
          <cell r="M1520" t="str">
            <v>/27</v>
          </cell>
          <cell r="N1520">
            <v>817</v>
          </cell>
          <cell r="O1520" t="str">
            <v>10.117.198.227</v>
          </cell>
          <cell r="P1520" t="str">
            <v>10.117.198.225</v>
          </cell>
          <cell r="Q1520" t="str">
            <v>/27</v>
          </cell>
          <cell r="R1520">
            <v>827</v>
          </cell>
        </row>
        <row r="1521">
          <cell r="E1521" t="str">
            <v>AC281</v>
          </cell>
          <cell r="F1521" t="str">
            <v>BB_AC</v>
          </cell>
          <cell r="G1521" t="str">
            <v>10.117.192.228</v>
          </cell>
          <cell r="H1521" t="str">
            <v>10.117.192.225</v>
          </cell>
          <cell r="I1521" t="str">
            <v>/27</v>
          </cell>
          <cell r="J1521">
            <v>807</v>
          </cell>
          <cell r="K1521" t="str">
            <v>10.117.195.228</v>
          </cell>
          <cell r="L1521" t="str">
            <v>10.117.195.225</v>
          </cell>
          <cell r="M1521" t="str">
            <v>/27</v>
          </cell>
          <cell r="N1521">
            <v>817</v>
          </cell>
          <cell r="O1521" t="str">
            <v>10.117.198.228</v>
          </cell>
          <cell r="P1521" t="str">
            <v>10.117.198.225</v>
          </cell>
          <cell r="Q1521" t="str">
            <v>/27</v>
          </cell>
          <cell r="R1521">
            <v>827</v>
          </cell>
        </row>
        <row r="1522">
          <cell r="E1522" t="str">
            <v>AC281</v>
          </cell>
          <cell r="G1522" t="str">
            <v>10.117.192.229</v>
          </cell>
          <cell r="H1522" t="str">
            <v>10.117.192.225</v>
          </cell>
          <cell r="I1522" t="str">
            <v>/27</v>
          </cell>
          <cell r="J1522">
            <v>807</v>
          </cell>
          <cell r="K1522" t="str">
            <v>10.117.195.229</v>
          </cell>
          <cell r="L1522" t="str">
            <v>10.117.195.225</v>
          </cell>
          <cell r="M1522" t="str">
            <v>/27</v>
          </cell>
          <cell r="N1522">
            <v>817</v>
          </cell>
          <cell r="O1522" t="str">
            <v>10.117.198.229</v>
          </cell>
          <cell r="P1522" t="str">
            <v>10.117.198.225</v>
          </cell>
          <cell r="Q1522" t="str">
            <v>/27</v>
          </cell>
          <cell r="R1522">
            <v>827</v>
          </cell>
        </row>
        <row r="1523">
          <cell r="E1523" t="str">
            <v>AC281</v>
          </cell>
          <cell r="F1523" t="str">
            <v>ET446</v>
          </cell>
          <cell r="G1523" t="str">
            <v>10.117.192.230</v>
          </cell>
          <cell r="H1523" t="str">
            <v>10.117.192.225</v>
          </cell>
          <cell r="I1523" t="str">
            <v>/27</v>
          </cell>
          <cell r="J1523">
            <v>807</v>
          </cell>
          <cell r="K1523" t="str">
            <v>10.117.195.230</v>
          </cell>
          <cell r="L1523" t="str">
            <v>10.117.195.225</v>
          </cell>
          <cell r="M1523" t="str">
            <v>/27</v>
          </cell>
          <cell r="N1523">
            <v>817</v>
          </cell>
          <cell r="O1523" t="str">
            <v>10.117.198.230</v>
          </cell>
          <cell r="P1523" t="str">
            <v>10.117.198.225</v>
          </cell>
          <cell r="Q1523" t="str">
            <v>/27</v>
          </cell>
          <cell r="R1523">
            <v>827</v>
          </cell>
        </row>
        <row r="1524">
          <cell r="E1524" t="str">
            <v>AC281</v>
          </cell>
          <cell r="G1524" t="str">
            <v>10.117.192.231</v>
          </cell>
          <cell r="H1524" t="str">
            <v>10.117.192.225</v>
          </cell>
          <cell r="I1524" t="str">
            <v>/27</v>
          </cell>
          <cell r="J1524">
            <v>807</v>
          </cell>
          <cell r="K1524" t="str">
            <v>10.117.195.231</v>
          </cell>
          <cell r="L1524" t="str">
            <v>10.117.195.225</v>
          </cell>
          <cell r="M1524" t="str">
            <v>/27</v>
          </cell>
          <cell r="N1524">
            <v>817</v>
          </cell>
          <cell r="O1524" t="str">
            <v>10.117.198.231</v>
          </cell>
          <cell r="P1524" t="str">
            <v>10.117.198.225</v>
          </cell>
          <cell r="Q1524" t="str">
            <v>/27</v>
          </cell>
          <cell r="R1524">
            <v>827</v>
          </cell>
        </row>
        <row r="1525">
          <cell r="E1525" t="str">
            <v>AC281</v>
          </cell>
          <cell r="F1525" t="str">
            <v>AC981</v>
          </cell>
          <cell r="G1525" t="str">
            <v>10.117.192.232</v>
          </cell>
          <cell r="H1525" t="str">
            <v>10.117.192.225</v>
          </cell>
          <cell r="I1525" t="str">
            <v>/27</v>
          </cell>
          <cell r="J1525">
            <v>807</v>
          </cell>
          <cell r="K1525" t="str">
            <v>10.117.195.232</v>
          </cell>
          <cell r="L1525" t="str">
            <v>10.117.195.225</v>
          </cell>
          <cell r="M1525" t="str">
            <v>/27</v>
          </cell>
          <cell r="N1525">
            <v>817</v>
          </cell>
          <cell r="O1525" t="str">
            <v>10.117.198.232</v>
          </cell>
          <cell r="P1525" t="str">
            <v>10.117.198.225</v>
          </cell>
          <cell r="Q1525" t="str">
            <v>/27</v>
          </cell>
          <cell r="R1525">
            <v>827</v>
          </cell>
        </row>
        <row r="1526">
          <cell r="E1526" t="str">
            <v>AC281</v>
          </cell>
          <cell r="G1526" t="str">
            <v>10.117.192.233</v>
          </cell>
          <cell r="H1526" t="str">
            <v>10.117.192.225</v>
          </cell>
          <cell r="I1526" t="str">
            <v>/27</v>
          </cell>
          <cell r="J1526">
            <v>807</v>
          </cell>
          <cell r="K1526" t="str">
            <v>10.117.195.233</v>
          </cell>
          <cell r="L1526" t="str">
            <v>10.117.195.225</v>
          </cell>
          <cell r="M1526" t="str">
            <v>/27</v>
          </cell>
          <cell r="N1526">
            <v>817</v>
          </cell>
          <cell r="O1526" t="str">
            <v>10.117.198.233</v>
          </cell>
          <cell r="P1526" t="str">
            <v>10.117.198.225</v>
          </cell>
          <cell r="Q1526" t="str">
            <v>/27</v>
          </cell>
          <cell r="R1526">
            <v>827</v>
          </cell>
        </row>
        <row r="1527">
          <cell r="E1527" t="str">
            <v>AC281</v>
          </cell>
          <cell r="G1527" t="str">
            <v>10.117.192.234</v>
          </cell>
          <cell r="H1527" t="str">
            <v>10.117.192.225</v>
          </cell>
          <cell r="I1527" t="str">
            <v>/27</v>
          </cell>
          <cell r="J1527">
            <v>807</v>
          </cell>
          <cell r="K1527" t="str">
            <v>10.117.195.234</v>
          </cell>
          <cell r="L1527" t="str">
            <v>10.117.195.225</v>
          </cell>
          <cell r="M1527" t="str">
            <v>/27</v>
          </cell>
          <cell r="N1527">
            <v>817</v>
          </cell>
          <cell r="O1527" t="str">
            <v>10.117.198.234</v>
          </cell>
          <cell r="P1527" t="str">
            <v>10.117.198.225</v>
          </cell>
          <cell r="Q1527" t="str">
            <v>/27</v>
          </cell>
          <cell r="R1527">
            <v>827</v>
          </cell>
        </row>
        <row r="1528">
          <cell r="E1528" t="str">
            <v>AC281</v>
          </cell>
          <cell r="G1528" t="str">
            <v>10.117.192.235</v>
          </cell>
          <cell r="H1528" t="str">
            <v>10.117.192.225</v>
          </cell>
          <cell r="I1528" t="str">
            <v>/27</v>
          </cell>
          <cell r="J1528">
            <v>807</v>
          </cell>
          <cell r="K1528" t="str">
            <v>10.117.195.235</v>
          </cell>
          <cell r="L1528" t="str">
            <v>10.117.195.225</v>
          </cell>
          <cell r="M1528" t="str">
            <v>/27</v>
          </cell>
          <cell r="N1528">
            <v>817</v>
          </cell>
          <cell r="O1528" t="str">
            <v>10.117.198.235</v>
          </cell>
          <cell r="P1528" t="str">
            <v>10.117.198.225</v>
          </cell>
          <cell r="Q1528" t="str">
            <v>/27</v>
          </cell>
          <cell r="R1528">
            <v>827</v>
          </cell>
        </row>
        <row r="1529">
          <cell r="E1529" t="str">
            <v>AC281</v>
          </cell>
          <cell r="G1529" t="str">
            <v>10.117.192.236</v>
          </cell>
          <cell r="H1529" t="str">
            <v>10.117.192.225</v>
          </cell>
          <cell r="I1529" t="str">
            <v>/27</v>
          </cell>
          <cell r="J1529">
            <v>807</v>
          </cell>
          <cell r="K1529" t="str">
            <v>10.117.195.236</v>
          </cell>
          <cell r="L1529" t="str">
            <v>10.117.195.225</v>
          </cell>
          <cell r="M1529" t="str">
            <v>/27</v>
          </cell>
          <cell r="N1529">
            <v>817</v>
          </cell>
          <cell r="O1529" t="str">
            <v>10.117.198.236</v>
          </cell>
          <cell r="P1529" t="str">
            <v>10.117.198.225</v>
          </cell>
          <cell r="Q1529" t="str">
            <v>/27</v>
          </cell>
          <cell r="R1529">
            <v>827</v>
          </cell>
        </row>
        <row r="1530">
          <cell r="E1530" t="str">
            <v>AC281</v>
          </cell>
          <cell r="G1530" t="str">
            <v>10.117.192.237</v>
          </cell>
          <cell r="H1530" t="str">
            <v>10.117.192.225</v>
          </cell>
          <cell r="I1530" t="str">
            <v>/27</v>
          </cell>
          <cell r="J1530">
            <v>807</v>
          </cell>
          <cell r="K1530" t="str">
            <v>10.117.195.237</v>
          </cell>
          <cell r="L1530" t="str">
            <v>10.117.195.225</v>
          </cell>
          <cell r="M1530" t="str">
            <v>/27</v>
          </cell>
          <cell r="N1530">
            <v>817</v>
          </cell>
          <cell r="O1530" t="str">
            <v>10.117.198.237</v>
          </cell>
          <cell r="P1530" t="str">
            <v>10.117.198.225</v>
          </cell>
          <cell r="Q1530" t="str">
            <v>/27</v>
          </cell>
          <cell r="R1530">
            <v>827</v>
          </cell>
        </row>
        <row r="1531">
          <cell r="E1531" t="str">
            <v>AC281</v>
          </cell>
          <cell r="F1531" t="str">
            <v>ET626</v>
          </cell>
          <cell r="G1531" t="str">
            <v>10.117.192.238</v>
          </cell>
          <cell r="H1531" t="str">
            <v>10.117.192.225</v>
          </cell>
          <cell r="I1531" t="str">
            <v>/27</v>
          </cell>
          <cell r="J1531">
            <v>807</v>
          </cell>
          <cell r="K1531" t="str">
            <v>10.117.195.238</v>
          </cell>
          <cell r="L1531" t="str">
            <v>10.117.195.225</v>
          </cell>
          <cell r="M1531" t="str">
            <v>/27</v>
          </cell>
          <cell r="N1531">
            <v>817</v>
          </cell>
          <cell r="O1531" t="str">
            <v>10.117.198.238</v>
          </cell>
          <cell r="P1531" t="str">
            <v>10.117.198.225</v>
          </cell>
          <cell r="Q1531" t="str">
            <v>/27</v>
          </cell>
          <cell r="R1531">
            <v>827</v>
          </cell>
        </row>
        <row r="1532">
          <cell r="E1532" t="str">
            <v>AC281</v>
          </cell>
          <cell r="F1532" t="str">
            <v>ET626</v>
          </cell>
          <cell r="G1532" t="str">
            <v>10.117.192.239</v>
          </cell>
          <cell r="H1532" t="str">
            <v>10.117.192.225</v>
          </cell>
          <cell r="I1532" t="str">
            <v>/27</v>
          </cell>
          <cell r="J1532">
            <v>807</v>
          </cell>
          <cell r="K1532" t="str">
            <v>10.117.195.239</v>
          </cell>
          <cell r="L1532" t="str">
            <v>10.117.195.225</v>
          </cell>
          <cell r="M1532" t="str">
            <v>/27</v>
          </cell>
          <cell r="N1532">
            <v>817</v>
          </cell>
          <cell r="O1532" t="str">
            <v>10.117.198.239</v>
          </cell>
          <cell r="P1532" t="str">
            <v>10.117.198.225</v>
          </cell>
          <cell r="Q1532" t="str">
            <v>/27</v>
          </cell>
          <cell r="R1532">
            <v>827</v>
          </cell>
        </row>
        <row r="1533">
          <cell r="E1533" t="str">
            <v>AC281</v>
          </cell>
          <cell r="F1533" t="str">
            <v>ET284</v>
          </cell>
          <cell r="G1533" t="str">
            <v>10.117.192.240</v>
          </cell>
          <cell r="H1533" t="str">
            <v>10.117.192.225</v>
          </cell>
          <cell r="I1533" t="str">
            <v>/27</v>
          </cell>
          <cell r="J1533">
            <v>807</v>
          </cell>
          <cell r="K1533" t="str">
            <v>10.117.195.240</v>
          </cell>
          <cell r="L1533" t="str">
            <v>10.117.195.225</v>
          </cell>
          <cell r="M1533" t="str">
            <v>/27</v>
          </cell>
          <cell r="N1533">
            <v>817</v>
          </cell>
          <cell r="O1533" t="str">
            <v>10.117.198.240</v>
          </cell>
          <cell r="P1533" t="str">
            <v>10.117.198.225</v>
          </cell>
          <cell r="Q1533" t="str">
            <v>/27</v>
          </cell>
          <cell r="R1533">
            <v>827</v>
          </cell>
        </row>
        <row r="1534">
          <cell r="E1534" t="str">
            <v>AC281</v>
          </cell>
          <cell r="F1534" t="str">
            <v>ET284</v>
          </cell>
          <cell r="G1534" t="str">
            <v>10.117.192.241</v>
          </cell>
          <cell r="H1534" t="str">
            <v>10.117.192.225</v>
          </cell>
          <cell r="I1534" t="str">
            <v>/27</v>
          </cell>
          <cell r="J1534">
            <v>807</v>
          </cell>
          <cell r="K1534" t="str">
            <v>10.117.195.241</v>
          </cell>
          <cell r="L1534" t="str">
            <v>10.117.195.225</v>
          </cell>
          <cell r="M1534" t="str">
            <v>/27</v>
          </cell>
          <cell r="N1534">
            <v>817</v>
          </cell>
          <cell r="O1534" t="str">
            <v>10.117.198.241</v>
          </cell>
          <cell r="P1534" t="str">
            <v>10.117.198.225</v>
          </cell>
          <cell r="Q1534" t="str">
            <v>/27</v>
          </cell>
          <cell r="R1534">
            <v>827</v>
          </cell>
        </row>
        <row r="1535">
          <cell r="E1535" t="str">
            <v>AC281</v>
          </cell>
          <cell r="F1535" t="str">
            <v>ET297</v>
          </cell>
          <cell r="G1535" t="str">
            <v>10.117.192.242</v>
          </cell>
          <cell r="H1535" t="str">
            <v>10.117.192.225</v>
          </cell>
          <cell r="I1535" t="str">
            <v>/27</v>
          </cell>
          <cell r="J1535">
            <v>807</v>
          </cell>
          <cell r="K1535" t="str">
            <v>10.117.195.242</v>
          </cell>
          <cell r="L1535" t="str">
            <v>10.117.195.225</v>
          </cell>
          <cell r="M1535" t="str">
            <v>/27</v>
          </cell>
          <cell r="N1535">
            <v>817</v>
          </cell>
          <cell r="O1535" t="str">
            <v>10.117.198.242</v>
          </cell>
          <cell r="P1535" t="str">
            <v>10.117.198.225</v>
          </cell>
          <cell r="Q1535" t="str">
            <v>/27</v>
          </cell>
          <cell r="R1535">
            <v>827</v>
          </cell>
        </row>
        <row r="1536">
          <cell r="E1536" t="str">
            <v>AC281</v>
          </cell>
          <cell r="F1536" t="str">
            <v>ET297</v>
          </cell>
          <cell r="G1536" t="str">
            <v>10.117.192.243</v>
          </cell>
          <cell r="H1536" t="str">
            <v>10.117.192.225</v>
          </cell>
          <cell r="I1536" t="str">
            <v>/27</v>
          </cell>
          <cell r="J1536">
            <v>807</v>
          </cell>
          <cell r="K1536" t="str">
            <v>10.117.195.243</v>
          </cell>
          <cell r="L1536" t="str">
            <v>10.117.195.225</v>
          </cell>
          <cell r="M1536" t="str">
            <v>/27</v>
          </cell>
          <cell r="N1536">
            <v>817</v>
          </cell>
          <cell r="O1536" t="str">
            <v>10.117.198.243</v>
          </cell>
          <cell r="P1536" t="str">
            <v>10.117.198.225</v>
          </cell>
          <cell r="Q1536" t="str">
            <v>/27</v>
          </cell>
          <cell r="R1536">
            <v>827</v>
          </cell>
        </row>
        <row r="1537">
          <cell r="E1537" t="str">
            <v>AC281</v>
          </cell>
          <cell r="F1537" t="str">
            <v>AC566</v>
          </cell>
          <cell r="G1537" t="str">
            <v>10.117.192.244</v>
          </cell>
          <cell r="H1537" t="str">
            <v>10.117.192.225</v>
          </cell>
          <cell r="I1537" t="str">
            <v>/27</v>
          </cell>
          <cell r="J1537">
            <v>807</v>
          </cell>
          <cell r="K1537" t="str">
            <v>10.117.195.244</v>
          </cell>
          <cell r="L1537" t="str">
            <v>10.117.195.225</v>
          </cell>
          <cell r="M1537" t="str">
            <v>/27</v>
          </cell>
          <cell r="N1537">
            <v>817</v>
          </cell>
          <cell r="O1537" t="str">
            <v>10.117.198.244</v>
          </cell>
          <cell r="P1537" t="str">
            <v>10.117.198.225</v>
          </cell>
          <cell r="Q1537" t="str">
            <v>/27</v>
          </cell>
          <cell r="R1537">
            <v>827</v>
          </cell>
        </row>
        <row r="1538">
          <cell r="E1538" t="str">
            <v>AC281</v>
          </cell>
          <cell r="F1538" t="str">
            <v>IM346</v>
          </cell>
          <cell r="G1538" t="str">
            <v>10.117.192.245</v>
          </cell>
          <cell r="H1538" t="str">
            <v>10.117.192.225</v>
          </cell>
          <cell r="I1538" t="str">
            <v>/27</v>
          </cell>
          <cell r="J1538">
            <v>807</v>
          </cell>
          <cell r="K1538" t="str">
            <v>10.117.195.245</v>
          </cell>
          <cell r="L1538" t="str">
            <v>10.117.195.225</v>
          </cell>
          <cell r="M1538" t="str">
            <v>/27</v>
          </cell>
          <cell r="N1538">
            <v>817</v>
          </cell>
          <cell r="O1538" t="str">
            <v>10.117.198.245</v>
          </cell>
          <cell r="P1538" t="str">
            <v>10.117.198.225</v>
          </cell>
          <cell r="Q1538" t="str">
            <v>/27</v>
          </cell>
          <cell r="R1538">
            <v>827</v>
          </cell>
        </row>
        <row r="1539">
          <cell r="E1539" t="str">
            <v>AC281</v>
          </cell>
          <cell r="G1539" t="str">
            <v>10.117.192.246</v>
          </cell>
          <cell r="H1539" t="str">
            <v>10.117.192.225</v>
          </cell>
          <cell r="I1539" t="str">
            <v>/27</v>
          </cell>
          <cell r="J1539">
            <v>807</v>
          </cell>
          <cell r="K1539" t="str">
            <v>10.117.195.246</v>
          </cell>
          <cell r="L1539" t="str">
            <v>10.117.195.225</v>
          </cell>
          <cell r="M1539" t="str">
            <v>/27</v>
          </cell>
          <cell r="N1539">
            <v>817</v>
          </cell>
          <cell r="O1539" t="str">
            <v>10.117.198.246</v>
          </cell>
          <cell r="P1539" t="str">
            <v>10.117.198.225</v>
          </cell>
          <cell r="Q1539" t="str">
            <v>/27</v>
          </cell>
          <cell r="R1539">
            <v>827</v>
          </cell>
        </row>
        <row r="1540">
          <cell r="E1540" t="str">
            <v>AC281</v>
          </cell>
          <cell r="F1540" t="str">
            <v>IM300</v>
          </cell>
          <cell r="G1540" t="str">
            <v>10.117.192.247</v>
          </cell>
          <cell r="H1540" t="str">
            <v>10.117.192.225</v>
          </cell>
          <cell r="I1540" t="str">
            <v>/27</v>
          </cell>
          <cell r="J1540">
            <v>807</v>
          </cell>
          <cell r="K1540" t="str">
            <v>10.117.195.247</v>
          </cell>
          <cell r="L1540" t="str">
            <v>10.117.195.225</v>
          </cell>
          <cell r="M1540" t="str">
            <v>/27</v>
          </cell>
          <cell r="N1540">
            <v>817</v>
          </cell>
          <cell r="O1540" t="str">
            <v>10.117.198.247</v>
          </cell>
          <cell r="P1540" t="str">
            <v>10.117.198.225</v>
          </cell>
          <cell r="Q1540" t="str">
            <v>/27</v>
          </cell>
          <cell r="R1540">
            <v>827</v>
          </cell>
        </row>
        <row r="1541">
          <cell r="E1541" t="str">
            <v>AC281</v>
          </cell>
          <cell r="F1541" t="str">
            <v>IM300</v>
          </cell>
          <cell r="G1541" t="str">
            <v>10.117.192.248</v>
          </cell>
          <cell r="H1541" t="str">
            <v>10.117.192.225</v>
          </cell>
          <cell r="I1541" t="str">
            <v>/27</v>
          </cell>
          <cell r="J1541">
            <v>807</v>
          </cell>
          <cell r="K1541" t="str">
            <v>10.117.195.248</v>
          </cell>
          <cell r="L1541" t="str">
            <v>10.117.195.225</v>
          </cell>
          <cell r="M1541" t="str">
            <v>/27</v>
          </cell>
          <cell r="N1541">
            <v>817</v>
          </cell>
          <cell r="O1541" t="str">
            <v>10.117.198.248</v>
          </cell>
          <cell r="P1541" t="str">
            <v>10.117.198.225</v>
          </cell>
          <cell r="Q1541" t="str">
            <v>/27</v>
          </cell>
          <cell r="R1541">
            <v>827</v>
          </cell>
        </row>
        <row r="1542">
          <cell r="E1542" t="str">
            <v>AC281</v>
          </cell>
          <cell r="F1542" t="str">
            <v>AC556</v>
          </cell>
          <cell r="G1542" t="str">
            <v>10.117.192.249</v>
          </cell>
          <cell r="H1542" t="str">
            <v>10.117.192.225</v>
          </cell>
          <cell r="I1542" t="str">
            <v>/27</v>
          </cell>
          <cell r="J1542">
            <v>807</v>
          </cell>
          <cell r="K1542" t="str">
            <v>10.117.195.249</v>
          </cell>
          <cell r="L1542" t="str">
            <v>10.117.195.225</v>
          </cell>
          <cell r="M1542" t="str">
            <v>/27</v>
          </cell>
          <cell r="N1542">
            <v>817</v>
          </cell>
          <cell r="O1542" t="str">
            <v>10.117.198.249</v>
          </cell>
          <cell r="P1542" t="str">
            <v>10.117.198.225</v>
          </cell>
          <cell r="Q1542" t="str">
            <v>/27</v>
          </cell>
          <cell r="R1542">
            <v>827</v>
          </cell>
        </row>
        <row r="1543">
          <cell r="E1543" t="str">
            <v>AC281</v>
          </cell>
          <cell r="F1543" t="str">
            <v>AC556</v>
          </cell>
          <cell r="G1543" t="str">
            <v>10.117.192.250</v>
          </cell>
          <cell r="H1543" t="str">
            <v>10.117.192.225</v>
          </cell>
          <cell r="I1543" t="str">
            <v>/27</v>
          </cell>
          <cell r="J1543">
            <v>807</v>
          </cell>
          <cell r="K1543" t="str">
            <v>10.117.195.250</v>
          </cell>
          <cell r="L1543" t="str">
            <v>10.117.195.225</v>
          </cell>
          <cell r="M1543" t="str">
            <v>/27</v>
          </cell>
          <cell r="N1543">
            <v>817</v>
          </cell>
          <cell r="O1543" t="str">
            <v>10.117.198.250</v>
          </cell>
          <cell r="P1543" t="str">
            <v>10.117.198.225</v>
          </cell>
          <cell r="Q1543" t="str">
            <v>/27</v>
          </cell>
          <cell r="R1543">
            <v>827</v>
          </cell>
        </row>
        <row r="1544">
          <cell r="E1544" t="str">
            <v>AC281</v>
          </cell>
          <cell r="F1544" t="str">
            <v>AC761</v>
          </cell>
          <cell r="G1544" t="str">
            <v>10.117.192.251</v>
          </cell>
          <cell r="H1544" t="str">
            <v>10.117.192.225</v>
          </cell>
          <cell r="I1544" t="str">
            <v>/27</v>
          </cell>
          <cell r="J1544">
            <v>807</v>
          </cell>
          <cell r="K1544" t="str">
            <v>10.117.195.251</v>
          </cell>
          <cell r="L1544" t="str">
            <v>10.117.195.225</v>
          </cell>
          <cell r="M1544" t="str">
            <v>/27</v>
          </cell>
          <cell r="N1544">
            <v>817</v>
          </cell>
          <cell r="O1544" t="str">
            <v>10.117.198.251</v>
          </cell>
          <cell r="P1544" t="str">
            <v>10.117.198.225</v>
          </cell>
          <cell r="Q1544" t="str">
            <v>/27</v>
          </cell>
          <cell r="R1544">
            <v>827</v>
          </cell>
        </row>
        <row r="1545">
          <cell r="E1545" t="str">
            <v>AC281</v>
          </cell>
          <cell r="F1545" t="str">
            <v>AC761</v>
          </cell>
          <cell r="G1545" t="str">
            <v>10.117.192.252</v>
          </cell>
          <cell r="H1545" t="str">
            <v>10.117.192.225</v>
          </cell>
          <cell r="I1545" t="str">
            <v>/27</v>
          </cell>
          <cell r="J1545">
            <v>807</v>
          </cell>
          <cell r="K1545" t="str">
            <v>10.117.195.252</v>
          </cell>
          <cell r="L1545" t="str">
            <v>10.117.195.225</v>
          </cell>
          <cell r="M1545" t="str">
            <v>/27</v>
          </cell>
          <cell r="N1545">
            <v>817</v>
          </cell>
          <cell r="O1545" t="str">
            <v>10.117.198.252</v>
          </cell>
          <cell r="P1545" t="str">
            <v>10.117.198.225</v>
          </cell>
          <cell r="Q1545" t="str">
            <v>/27</v>
          </cell>
          <cell r="R1545">
            <v>827</v>
          </cell>
        </row>
        <row r="1546">
          <cell r="E1546" t="str">
            <v>AC281</v>
          </cell>
          <cell r="F1546" t="str">
            <v>ET658</v>
          </cell>
          <cell r="G1546" t="str">
            <v>10.117.192.253</v>
          </cell>
          <cell r="H1546" t="str">
            <v>10.117.192.225</v>
          </cell>
          <cell r="I1546" t="str">
            <v>/27</v>
          </cell>
          <cell r="J1546">
            <v>807</v>
          </cell>
          <cell r="K1546" t="str">
            <v>10.117.195.253</v>
          </cell>
          <cell r="L1546" t="str">
            <v>10.117.195.225</v>
          </cell>
          <cell r="M1546" t="str">
            <v>/27</v>
          </cell>
          <cell r="N1546">
            <v>817</v>
          </cell>
          <cell r="O1546" t="str">
            <v>10.117.198.253</v>
          </cell>
          <cell r="P1546" t="str">
            <v>10.117.198.225</v>
          </cell>
          <cell r="Q1546" t="str">
            <v>/27</v>
          </cell>
          <cell r="R1546">
            <v>827</v>
          </cell>
        </row>
        <row r="1547">
          <cell r="E1547" t="str">
            <v>AC281</v>
          </cell>
          <cell r="F1547" t="str">
            <v>ET658</v>
          </cell>
          <cell r="G1547" t="str">
            <v>10.117.192.254</v>
          </cell>
          <cell r="H1547" t="str">
            <v>10.117.192.225</v>
          </cell>
          <cell r="I1547" t="str">
            <v>/27</v>
          </cell>
          <cell r="J1547">
            <v>807</v>
          </cell>
          <cell r="K1547" t="str">
            <v>10.117.195.254</v>
          </cell>
          <cell r="L1547" t="str">
            <v>10.117.195.225</v>
          </cell>
          <cell r="M1547" t="str">
            <v>/27</v>
          </cell>
          <cell r="N1547">
            <v>817</v>
          </cell>
          <cell r="O1547" t="str">
            <v>10.117.198.254</v>
          </cell>
          <cell r="P1547" t="str">
            <v>10.117.198.225</v>
          </cell>
          <cell r="Q1547" t="str">
            <v>/27</v>
          </cell>
          <cell r="R1547">
            <v>827</v>
          </cell>
        </row>
        <row r="1548">
          <cell r="E1548" t="str">
            <v>AC281</v>
          </cell>
          <cell r="G1548" t="str">
            <v>10.117.192.255</v>
          </cell>
          <cell r="H1548" t="str">
            <v>10.117.192.225</v>
          </cell>
          <cell r="I1548" t="str">
            <v>/27</v>
          </cell>
          <cell r="J1548">
            <v>807</v>
          </cell>
          <cell r="K1548" t="str">
            <v>10.117.195.255</v>
          </cell>
          <cell r="L1548" t="str">
            <v>10.117.195.225</v>
          </cell>
          <cell r="M1548" t="str">
            <v>/27</v>
          </cell>
          <cell r="N1548">
            <v>817</v>
          </cell>
          <cell r="O1548" t="str">
            <v>10.117.198.255</v>
          </cell>
          <cell r="P1548" t="str">
            <v>10.117.198.225</v>
          </cell>
          <cell r="Q1548" t="str">
            <v>/27</v>
          </cell>
          <cell r="R1548">
            <v>827</v>
          </cell>
        </row>
        <row r="1549">
          <cell r="E1549" t="str">
            <v>AC181</v>
          </cell>
          <cell r="G1549" t="str">
            <v>10.117.193.0</v>
          </cell>
          <cell r="H1549" t="str">
            <v>10.117.193.1</v>
          </cell>
          <cell r="I1549" t="str">
            <v>/27</v>
          </cell>
          <cell r="J1549">
            <v>808</v>
          </cell>
          <cell r="K1549" t="str">
            <v>10.117.196.0</v>
          </cell>
          <cell r="L1549" t="str">
            <v>10.117.196.1</v>
          </cell>
          <cell r="M1549" t="str">
            <v>/27</v>
          </cell>
          <cell r="N1549">
            <v>818</v>
          </cell>
          <cell r="O1549" t="str">
            <v>10.117.199.0</v>
          </cell>
          <cell r="P1549" t="str">
            <v>10.117.199.1</v>
          </cell>
          <cell r="Q1549" t="str">
            <v>/27</v>
          </cell>
          <cell r="R1549">
            <v>828</v>
          </cell>
        </row>
        <row r="1550">
          <cell r="E1550" t="str">
            <v>AC181</v>
          </cell>
          <cell r="G1550" t="str">
            <v>10.117.193.1</v>
          </cell>
          <cell r="H1550" t="str">
            <v>10.117.193.1</v>
          </cell>
          <cell r="I1550" t="str">
            <v>/27</v>
          </cell>
          <cell r="J1550">
            <v>808</v>
          </cell>
          <cell r="K1550" t="str">
            <v>10.117.196.1</v>
          </cell>
          <cell r="L1550" t="str">
            <v>10.117.196.1</v>
          </cell>
          <cell r="M1550" t="str">
            <v>/27</v>
          </cell>
          <cell r="N1550">
            <v>818</v>
          </cell>
          <cell r="O1550" t="str">
            <v>10.117.199.1</v>
          </cell>
          <cell r="P1550" t="str">
            <v>10.117.199.1</v>
          </cell>
          <cell r="Q1550" t="str">
            <v>/27</v>
          </cell>
          <cell r="R1550">
            <v>828</v>
          </cell>
        </row>
        <row r="1551">
          <cell r="E1551" t="str">
            <v>AC181</v>
          </cell>
          <cell r="G1551" t="str">
            <v>10.117.193.2</v>
          </cell>
          <cell r="H1551" t="str">
            <v>10.117.193.1</v>
          </cell>
          <cell r="I1551" t="str">
            <v>/27</v>
          </cell>
          <cell r="J1551">
            <v>808</v>
          </cell>
          <cell r="K1551" t="str">
            <v>10.117.196.2</v>
          </cell>
          <cell r="L1551" t="str">
            <v>10.117.196.1</v>
          </cell>
          <cell r="M1551" t="str">
            <v>/27</v>
          </cell>
          <cell r="N1551">
            <v>818</v>
          </cell>
          <cell r="O1551" t="str">
            <v>10.117.199.2</v>
          </cell>
          <cell r="P1551" t="str">
            <v>10.117.199.1</v>
          </cell>
          <cell r="Q1551" t="str">
            <v>/27</v>
          </cell>
          <cell r="R1551">
            <v>828</v>
          </cell>
        </row>
        <row r="1552">
          <cell r="E1552" t="str">
            <v>AC181</v>
          </cell>
          <cell r="G1552" t="str">
            <v>10.117.193.3</v>
          </cell>
          <cell r="H1552" t="str">
            <v>10.117.193.1</v>
          </cell>
          <cell r="I1552" t="str">
            <v>/27</v>
          </cell>
          <cell r="J1552">
            <v>808</v>
          </cell>
          <cell r="K1552" t="str">
            <v>10.117.196.3</v>
          </cell>
          <cell r="L1552" t="str">
            <v>10.117.196.1</v>
          </cell>
          <cell r="M1552" t="str">
            <v>/27</v>
          </cell>
          <cell r="N1552">
            <v>818</v>
          </cell>
          <cell r="O1552" t="str">
            <v>10.117.199.3</v>
          </cell>
          <cell r="P1552" t="str">
            <v>10.117.199.1</v>
          </cell>
          <cell r="Q1552" t="str">
            <v>/27</v>
          </cell>
          <cell r="R1552">
            <v>828</v>
          </cell>
        </row>
        <row r="1553">
          <cell r="E1553" t="str">
            <v>AC181</v>
          </cell>
          <cell r="G1553" t="str">
            <v>10.117.193.4</v>
          </cell>
          <cell r="H1553" t="str">
            <v>10.117.193.1</v>
          </cell>
          <cell r="I1553" t="str">
            <v>/27</v>
          </cell>
          <cell r="J1553">
            <v>808</v>
          </cell>
          <cell r="K1553" t="str">
            <v>10.117.196.4</v>
          </cell>
          <cell r="L1553" t="str">
            <v>10.117.196.1</v>
          </cell>
          <cell r="M1553" t="str">
            <v>/27</v>
          </cell>
          <cell r="N1553">
            <v>818</v>
          </cell>
          <cell r="O1553" t="str">
            <v>10.117.199.4</v>
          </cell>
          <cell r="P1553" t="str">
            <v>10.117.199.1</v>
          </cell>
          <cell r="Q1553" t="str">
            <v>/27</v>
          </cell>
          <cell r="R1553">
            <v>828</v>
          </cell>
        </row>
        <row r="1554">
          <cell r="E1554" t="str">
            <v>AC181</v>
          </cell>
          <cell r="F1554" t="str">
            <v>AC181</v>
          </cell>
          <cell r="G1554" t="str">
            <v>10.117.193.5</v>
          </cell>
          <cell r="H1554" t="str">
            <v>10.117.193.1</v>
          </cell>
          <cell r="I1554" t="str">
            <v>/27</v>
          </cell>
          <cell r="J1554">
            <v>808</v>
          </cell>
          <cell r="K1554" t="str">
            <v>10.117.196.5</v>
          </cell>
          <cell r="L1554" t="str">
            <v>10.117.196.1</v>
          </cell>
          <cell r="M1554" t="str">
            <v>/27</v>
          </cell>
          <cell r="N1554">
            <v>818</v>
          </cell>
          <cell r="O1554" t="str">
            <v>10.117.199.5</v>
          </cell>
          <cell r="P1554" t="str">
            <v>10.117.199.1</v>
          </cell>
          <cell r="Q1554" t="str">
            <v>/27</v>
          </cell>
          <cell r="R1554">
            <v>828</v>
          </cell>
        </row>
        <row r="1555">
          <cell r="E1555" t="str">
            <v>AC181</v>
          </cell>
          <cell r="F1555" t="str">
            <v>ET601</v>
          </cell>
          <cell r="G1555" t="str">
            <v>10.117.193.6</v>
          </cell>
          <cell r="H1555" t="str">
            <v>10.117.193.1</v>
          </cell>
          <cell r="I1555" t="str">
            <v>/27</v>
          </cell>
          <cell r="J1555">
            <v>808</v>
          </cell>
          <cell r="K1555" t="str">
            <v>10.117.196.6</v>
          </cell>
          <cell r="L1555" t="str">
            <v>10.117.196.1</v>
          </cell>
          <cell r="M1555" t="str">
            <v>/27</v>
          </cell>
          <cell r="N1555">
            <v>818</v>
          </cell>
          <cell r="O1555" t="str">
            <v>10.117.199.6</v>
          </cell>
          <cell r="P1555" t="str">
            <v>10.117.199.1</v>
          </cell>
          <cell r="Q1555" t="str">
            <v>/27</v>
          </cell>
          <cell r="R1555">
            <v>828</v>
          </cell>
        </row>
        <row r="1556">
          <cell r="E1556" t="str">
            <v>AC181</v>
          </cell>
          <cell r="F1556" t="str">
            <v>ET601</v>
          </cell>
          <cell r="G1556" t="str">
            <v>10.117.193.7</v>
          </cell>
          <cell r="H1556" t="str">
            <v>10.117.193.1</v>
          </cell>
          <cell r="I1556" t="str">
            <v>/27</v>
          </cell>
          <cell r="J1556">
            <v>808</v>
          </cell>
          <cell r="K1556" t="str">
            <v>10.117.196.7</v>
          </cell>
          <cell r="L1556" t="str">
            <v>10.117.196.1</v>
          </cell>
          <cell r="M1556" t="str">
            <v>/27</v>
          </cell>
          <cell r="N1556">
            <v>818</v>
          </cell>
          <cell r="O1556" t="str">
            <v>10.117.199.7</v>
          </cell>
          <cell r="P1556" t="str">
            <v>10.117.199.1</v>
          </cell>
          <cell r="Q1556" t="str">
            <v>/27</v>
          </cell>
          <cell r="R1556">
            <v>828</v>
          </cell>
        </row>
        <row r="1557">
          <cell r="E1557" t="str">
            <v>AC181</v>
          </cell>
          <cell r="G1557" t="str">
            <v>10.117.193.8</v>
          </cell>
          <cell r="H1557" t="str">
            <v>10.117.193.1</v>
          </cell>
          <cell r="I1557" t="str">
            <v>/27</v>
          </cell>
          <cell r="J1557">
            <v>808</v>
          </cell>
          <cell r="K1557" t="str">
            <v>10.117.196.8</v>
          </cell>
          <cell r="L1557" t="str">
            <v>10.117.196.1</v>
          </cell>
          <cell r="M1557" t="str">
            <v>/27</v>
          </cell>
          <cell r="N1557">
            <v>818</v>
          </cell>
          <cell r="O1557" t="str">
            <v>10.117.199.8</v>
          </cell>
          <cell r="P1557" t="str">
            <v>10.117.199.1</v>
          </cell>
          <cell r="Q1557" t="str">
            <v>/27</v>
          </cell>
          <cell r="R1557">
            <v>828</v>
          </cell>
        </row>
        <row r="1558">
          <cell r="E1558" t="str">
            <v>AC181</v>
          </cell>
          <cell r="F1558" t="str">
            <v>AC756</v>
          </cell>
          <cell r="G1558" t="str">
            <v>10.117.193.9</v>
          </cell>
          <cell r="H1558" t="str">
            <v>10.117.193.1</v>
          </cell>
          <cell r="I1558" t="str">
            <v>/27</v>
          </cell>
          <cell r="J1558">
            <v>808</v>
          </cell>
          <cell r="K1558" t="str">
            <v>10.117.196.9</v>
          </cell>
          <cell r="L1558" t="str">
            <v>10.117.196.1</v>
          </cell>
          <cell r="M1558" t="str">
            <v>/27</v>
          </cell>
          <cell r="N1558">
            <v>818</v>
          </cell>
          <cell r="O1558" t="str">
            <v>10.117.199.9</v>
          </cell>
          <cell r="P1558" t="str">
            <v>10.117.199.1</v>
          </cell>
          <cell r="Q1558" t="str">
            <v>/27</v>
          </cell>
          <cell r="R1558">
            <v>828</v>
          </cell>
        </row>
        <row r="1559">
          <cell r="E1559" t="str">
            <v>AC181</v>
          </cell>
          <cell r="F1559" t="str">
            <v>ET454</v>
          </cell>
          <cell r="G1559" t="str">
            <v>10.117.193.10</v>
          </cell>
          <cell r="H1559" t="str">
            <v>10.117.193.1</v>
          </cell>
          <cell r="I1559" t="str">
            <v>/27</v>
          </cell>
          <cell r="J1559">
            <v>808</v>
          </cell>
          <cell r="K1559" t="str">
            <v>10.117.196.10</v>
          </cell>
          <cell r="L1559" t="str">
            <v>10.117.196.1</v>
          </cell>
          <cell r="M1559" t="str">
            <v>/27</v>
          </cell>
          <cell r="N1559">
            <v>818</v>
          </cell>
          <cell r="O1559" t="str">
            <v>10.117.199.10</v>
          </cell>
          <cell r="P1559" t="str">
            <v>10.117.199.1</v>
          </cell>
          <cell r="Q1559" t="str">
            <v>/27</v>
          </cell>
          <cell r="R1559">
            <v>828</v>
          </cell>
        </row>
        <row r="1560">
          <cell r="E1560" t="str">
            <v>AC181</v>
          </cell>
          <cell r="F1560" t="str">
            <v>ET454</v>
          </cell>
          <cell r="G1560" t="str">
            <v>10.117.193.11</v>
          </cell>
          <cell r="H1560" t="str">
            <v>10.117.193.1</v>
          </cell>
          <cell r="I1560" t="str">
            <v>/27</v>
          </cell>
          <cell r="J1560">
            <v>808</v>
          </cell>
          <cell r="K1560" t="str">
            <v>10.117.196.11</v>
          </cell>
          <cell r="L1560" t="str">
            <v>10.117.196.1</v>
          </cell>
          <cell r="M1560" t="str">
            <v>/27</v>
          </cell>
          <cell r="N1560">
            <v>818</v>
          </cell>
          <cell r="O1560" t="str">
            <v>10.117.199.11</v>
          </cell>
          <cell r="P1560" t="str">
            <v>10.117.199.1</v>
          </cell>
          <cell r="Q1560" t="str">
            <v>/27</v>
          </cell>
          <cell r="R1560">
            <v>828</v>
          </cell>
        </row>
        <row r="1561">
          <cell r="E1561" t="str">
            <v>AC181</v>
          </cell>
          <cell r="F1561" t="str">
            <v>ET439</v>
          </cell>
          <cell r="G1561" t="str">
            <v>10.117.193.12</v>
          </cell>
          <cell r="H1561" t="str">
            <v>10.117.193.1</v>
          </cell>
          <cell r="I1561" t="str">
            <v>/27</v>
          </cell>
          <cell r="J1561">
            <v>808</v>
          </cell>
          <cell r="K1561" t="str">
            <v>10.117.196.12</v>
          </cell>
          <cell r="L1561" t="str">
            <v>10.117.196.1</v>
          </cell>
          <cell r="M1561" t="str">
            <v>/27</v>
          </cell>
          <cell r="N1561">
            <v>818</v>
          </cell>
          <cell r="O1561" t="str">
            <v>10.117.199.12</v>
          </cell>
          <cell r="P1561" t="str">
            <v>10.117.199.1</v>
          </cell>
          <cell r="Q1561" t="str">
            <v>/27</v>
          </cell>
          <cell r="R1561">
            <v>828</v>
          </cell>
        </row>
        <row r="1562">
          <cell r="E1562" t="str">
            <v>AC181</v>
          </cell>
          <cell r="G1562" t="str">
            <v>10.117.193.13</v>
          </cell>
          <cell r="H1562" t="str">
            <v>10.117.193.1</v>
          </cell>
          <cell r="I1562" t="str">
            <v>/27</v>
          </cell>
          <cell r="J1562">
            <v>808</v>
          </cell>
          <cell r="K1562" t="str">
            <v>10.117.196.13</v>
          </cell>
          <cell r="L1562" t="str">
            <v>10.117.196.1</v>
          </cell>
          <cell r="M1562" t="str">
            <v>/27</v>
          </cell>
          <cell r="N1562">
            <v>818</v>
          </cell>
          <cell r="O1562" t="str">
            <v>10.117.199.13</v>
          </cell>
          <cell r="P1562" t="str">
            <v>10.117.199.1</v>
          </cell>
          <cell r="Q1562" t="str">
            <v>/27</v>
          </cell>
          <cell r="R1562">
            <v>828</v>
          </cell>
        </row>
        <row r="1563">
          <cell r="E1563" t="str">
            <v>AC181</v>
          </cell>
          <cell r="F1563" t="str">
            <v>AC521</v>
          </cell>
          <cell r="G1563" t="str">
            <v>10.117.193.14</v>
          </cell>
          <cell r="H1563" t="str">
            <v>10.117.193.1</v>
          </cell>
          <cell r="I1563" t="str">
            <v>/27</v>
          </cell>
          <cell r="J1563">
            <v>808</v>
          </cell>
          <cell r="K1563" t="str">
            <v>10.117.196.14</v>
          </cell>
          <cell r="L1563" t="str">
            <v>10.117.196.1</v>
          </cell>
          <cell r="M1563" t="str">
            <v>/27</v>
          </cell>
          <cell r="N1563">
            <v>818</v>
          </cell>
          <cell r="O1563" t="str">
            <v>10.117.199.14</v>
          </cell>
          <cell r="P1563" t="str">
            <v>10.117.199.1</v>
          </cell>
          <cell r="Q1563" t="str">
            <v>/27</v>
          </cell>
          <cell r="R1563">
            <v>828</v>
          </cell>
        </row>
        <row r="1564">
          <cell r="E1564" t="str">
            <v>AC181</v>
          </cell>
          <cell r="G1564" t="str">
            <v>10.117.193.15</v>
          </cell>
          <cell r="H1564" t="str">
            <v>10.117.193.1</v>
          </cell>
          <cell r="I1564" t="str">
            <v>/27</v>
          </cell>
          <cell r="J1564">
            <v>808</v>
          </cell>
          <cell r="K1564" t="str">
            <v>10.117.196.15</v>
          </cell>
          <cell r="L1564" t="str">
            <v>10.117.196.1</v>
          </cell>
          <cell r="M1564" t="str">
            <v>/27</v>
          </cell>
          <cell r="N1564">
            <v>818</v>
          </cell>
          <cell r="O1564" t="str">
            <v>10.117.199.15</v>
          </cell>
          <cell r="P1564" t="str">
            <v>10.117.199.1</v>
          </cell>
          <cell r="Q1564" t="str">
            <v>/27</v>
          </cell>
          <cell r="R1564">
            <v>828</v>
          </cell>
        </row>
        <row r="1565">
          <cell r="E1565" t="str">
            <v>AC181</v>
          </cell>
          <cell r="F1565" t="str">
            <v>AC261</v>
          </cell>
          <cell r="G1565" t="str">
            <v>10.117.193.16</v>
          </cell>
          <cell r="H1565" t="str">
            <v>10.117.193.1</v>
          </cell>
          <cell r="I1565" t="str">
            <v>/27</v>
          </cell>
          <cell r="J1565">
            <v>808</v>
          </cell>
          <cell r="K1565" t="str">
            <v>10.117.196.16</v>
          </cell>
          <cell r="L1565" t="str">
            <v>10.117.196.1</v>
          </cell>
          <cell r="M1565" t="str">
            <v>/27</v>
          </cell>
          <cell r="N1565">
            <v>818</v>
          </cell>
          <cell r="O1565" t="str">
            <v>10.117.199.16</v>
          </cell>
          <cell r="P1565" t="str">
            <v>10.117.199.1</v>
          </cell>
          <cell r="Q1565" t="str">
            <v>/27</v>
          </cell>
          <cell r="R1565">
            <v>828</v>
          </cell>
        </row>
        <row r="1566">
          <cell r="E1566" t="str">
            <v>AC181</v>
          </cell>
          <cell r="G1566" t="str">
            <v>10.117.193.17</v>
          </cell>
          <cell r="H1566" t="str">
            <v>10.117.193.1</v>
          </cell>
          <cell r="I1566" t="str">
            <v>/27</v>
          </cell>
          <cell r="J1566">
            <v>808</v>
          </cell>
          <cell r="K1566" t="str">
            <v>10.117.196.17</v>
          </cell>
          <cell r="L1566" t="str">
            <v>10.117.196.1</v>
          </cell>
          <cell r="M1566" t="str">
            <v>/27</v>
          </cell>
          <cell r="N1566">
            <v>818</v>
          </cell>
          <cell r="O1566" t="str">
            <v>10.117.199.17</v>
          </cell>
          <cell r="P1566" t="str">
            <v>10.117.199.1</v>
          </cell>
          <cell r="Q1566" t="str">
            <v>/27</v>
          </cell>
          <cell r="R1566">
            <v>828</v>
          </cell>
        </row>
        <row r="1567">
          <cell r="E1567" t="str">
            <v>AC181</v>
          </cell>
          <cell r="G1567" t="str">
            <v>10.117.193.18</v>
          </cell>
          <cell r="H1567" t="str">
            <v>10.117.193.1</v>
          </cell>
          <cell r="I1567" t="str">
            <v>/27</v>
          </cell>
          <cell r="J1567">
            <v>808</v>
          </cell>
          <cell r="K1567" t="str">
            <v>10.117.196.18</v>
          </cell>
          <cell r="L1567" t="str">
            <v>10.117.196.1</v>
          </cell>
          <cell r="M1567" t="str">
            <v>/27</v>
          </cell>
          <cell r="N1567">
            <v>818</v>
          </cell>
          <cell r="O1567" t="str">
            <v>10.117.199.18</v>
          </cell>
          <cell r="P1567" t="str">
            <v>10.117.199.1</v>
          </cell>
          <cell r="Q1567" t="str">
            <v>/27</v>
          </cell>
          <cell r="R1567">
            <v>828</v>
          </cell>
        </row>
        <row r="1568">
          <cell r="E1568" t="str">
            <v>AC181</v>
          </cell>
          <cell r="G1568" t="str">
            <v>10.117.193.19</v>
          </cell>
          <cell r="H1568" t="str">
            <v>10.117.193.1</v>
          </cell>
          <cell r="I1568" t="str">
            <v>/27</v>
          </cell>
          <cell r="J1568">
            <v>808</v>
          </cell>
          <cell r="K1568" t="str">
            <v>10.117.196.19</v>
          </cell>
          <cell r="L1568" t="str">
            <v>10.117.196.1</v>
          </cell>
          <cell r="M1568" t="str">
            <v>/27</v>
          </cell>
          <cell r="N1568">
            <v>818</v>
          </cell>
          <cell r="O1568" t="str">
            <v>10.117.199.19</v>
          </cell>
          <cell r="P1568" t="str">
            <v>10.117.199.1</v>
          </cell>
          <cell r="Q1568" t="str">
            <v>/27</v>
          </cell>
          <cell r="R1568">
            <v>828</v>
          </cell>
        </row>
        <row r="1569">
          <cell r="E1569" t="str">
            <v>AC181</v>
          </cell>
          <cell r="F1569" t="str">
            <v>AC567</v>
          </cell>
          <cell r="G1569" t="str">
            <v>10.117.193.20</v>
          </cell>
          <cell r="H1569" t="str">
            <v>10.117.193.1</v>
          </cell>
          <cell r="I1569" t="str">
            <v>/27</v>
          </cell>
          <cell r="J1569">
            <v>808</v>
          </cell>
          <cell r="K1569" t="str">
            <v>10.117.196.20</v>
          </cell>
          <cell r="L1569" t="str">
            <v>10.117.196.1</v>
          </cell>
          <cell r="M1569" t="str">
            <v>/27</v>
          </cell>
          <cell r="N1569">
            <v>818</v>
          </cell>
          <cell r="O1569" t="str">
            <v>10.117.199.20</v>
          </cell>
          <cell r="P1569" t="str">
            <v>10.117.199.1</v>
          </cell>
          <cell r="Q1569" t="str">
            <v>/27</v>
          </cell>
          <cell r="R1569">
            <v>828</v>
          </cell>
        </row>
        <row r="1570">
          <cell r="E1570" t="str">
            <v>AC181</v>
          </cell>
          <cell r="G1570" t="str">
            <v>10.117.193.21</v>
          </cell>
          <cell r="H1570" t="str">
            <v>10.117.193.1</v>
          </cell>
          <cell r="I1570" t="str">
            <v>/27</v>
          </cell>
          <cell r="J1570">
            <v>808</v>
          </cell>
          <cell r="K1570" t="str">
            <v>10.117.196.21</v>
          </cell>
          <cell r="L1570" t="str">
            <v>10.117.196.1</v>
          </cell>
          <cell r="M1570" t="str">
            <v>/27</v>
          </cell>
          <cell r="N1570">
            <v>818</v>
          </cell>
          <cell r="O1570" t="str">
            <v>10.117.199.21</v>
          </cell>
          <cell r="P1570" t="str">
            <v>10.117.199.1</v>
          </cell>
          <cell r="Q1570" t="str">
            <v>/27</v>
          </cell>
          <cell r="R1570">
            <v>828</v>
          </cell>
        </row>
        <row r="1571">
          <cell r="E1571" t="str">
            <v>AC181</v>
          </cell>
          <cell r="F1571" t="str">
            <v>IM236</v>
          </cell>
          <cell r="G1571" t="str">
            <v>10.117.193.22</v>
          </cell>
          <cell r="H1571" t="str">
            <v>10.117.193.1</v>
          </cell>
          <cell r="I1571" t="str">
            <v>/27</v>
          </cell>
          <cell r="J1571">
            <v>808</v>
          </cell>
          <cell r="K1571" t="str">
            <v>10.117.196.22</v>
          </cell>
          <cell r="L1571" t="str">
            <v>10.117.196.1</v>
          </cell>
          <cell r="M1571" t="str">
            <v>/27</v>
          </cell>
          <cell r="N1571">
            <v>818</v>
          </cell>
          <cell r="O1571" t="str">
            <v>10.117.199.22</v>
          </cell>
          <cell r="P1571" t="str">
            <v>10.117.199.1</v>
          </cell>
          <cell r="Q1571" t="str">
            <v>/27</v>
          </cell>
          <cell r="R1571">
            <v>828</v>
          </cell>
        </row>
        <row r="1572">
          <cell r="E1572" t="str">
            <v>AC181</v>
          </cell>
          <cell r="F1572" t="str">
            <v>IM236</v>
          </cell>
          <cell r="G1572" t="str">
            <v>10.117.193.23</v>
          </cell>
          <cell r="H1572" t="str">
            <v>10.117.193.1</v>
          </cell>
          <cell r="I1572" t="str">
            <v>/27</v>
          </cell>
          <cell r="J1572">
            <v>808</v>
          </cell>
          <cell r="K1572" t="str">
            <v>10.117.196.23</v>
          </cell>
          <cell r="L1572" t="str">
            <v>10.117.196.1</v>
          </cell>
          <cell r="M1572" t="str">
            <v>/27</v>
          </cell>
          <cell r="N1572">
            <v>818</v>
          </cell>
          <cell r="O1572" t="str">
            <v>10.117.199.23</v>
          </cell>
          <cell r="P1572" t="str">
            <v>10.117.199.1</v>
          </cell>
          <cell r="Q1572" t="str">
            <v>/27</v>
          </cell>
          <cell r="R1572">
            <v>828</v>
          </cell>
        </row>
        <row r="1573">
          <cell r="E1573" t="str">
            <v>AC181</v>
          </cell>
          <cell r="G1573" t="str">
            <v>10.117.193.24</v>
          </cell>
          <cell r="H1573" t="str">
            <v>10.117.193.1</v>
          </cell>
          <cell r="I1573" t="str">
            <v>/27</v>
          </cell>
          <cell r="J1573">
            <v>808</v>
          </cell>
          <cell r="K1573" t="str">
            <v>10.117.196.24</v>
          </cell>
          <cell r="L1573" t="str">
            <v>10.117.196.1</v>
          </cell>
          <cell r="M1573" t="str">
            <v>/27</v>
          </cell>
          <cell r="N1573">
            <v>818</v>
          </cell>
          <cell r="O1573" t="str">
            <v>10.117.199.24</v>
          </cell>
          <cell r="P1573" t="str">
            <v>10.117.199.1</v>
          </cell>
          <cell r="Q1573" t="str">
            <v>/27</v>
          </cell>
          <cell r="R1573">
            <v>828</v>
          </cell>
        </row>
        <row r="1574">
          <cell r="E1574" t="str">
            <v>AC181</v>
          </cell>
          <cell r="G1574" t="str">
            <v>10.117.193.25</v>
          </cell>
          <cell r="H1574" t="str">
            <v>10.117.193.1</v>
          </cell>
          <cell r="I1574" t="str">
            <v>/27</v>
          </cell>
          <cell r="J1574">
            <v>808</v>
          </cell>
          <cell r="K1574" t="str">
            <v>10.117.196.25</v>
          </cell>
          <cell r="L1574" t="str">
            <v>10.117.196.1</v>
          </cell>
          <cell r="M1574" t="str">
            <v>/27</v>
          </cell>
          <cell r="N1574">
            <v>818</v>
          </cell>
          <cell r="O1574" t="str">
            <v>10.117.199.25</v>
          </cell>
          <cell r="P1574" t="str">
            <v>10.117.199.1</v>
          </cell>
          <cell r="Q1574" t="str">
            <v>/27</v>
          </cell>
          <cell r="R1574">
            <v>828</v>
          </cell>
        </row>
        <row r="1575">
          <cell r="E1575" t="str">
            <v>AC181</v>
          </cell>
          <cell r="G1575" t="str">
            <v>10.117.193.26</v>
          </cell>
          <cell r="H1575" t="str">
            <v>10.117.193.1</v>
          </cell>
          <cell r="I1575" t="str">
            <v>/27</v>
          </cell>
          <cell r="J1575">
            <v>808</v>
          </cell>
          <cell r="K1575" t="str">
            <v>10.117.196.26</v>
          </cell>
          <cell r="L1575" t="str">
            <v>10.117.196.1</v>
          </cell>
          <cell r="M1575" t="str">
            <v>/27</v>
          </cell>
          <cell r="N1575">
            <v>818</v>
          </cell>
          <cell r="O1575" t="str">
            <v>10.117.199.26</v>
          </cell>
          <cell r="P1575" t="str">
            <v>10.117.199.1</v>
          </cell>
          <cell r="Q1575" t="str">
            <v>/27</v>
          </cell>
          <cell r="R1575">
            <v>828</v>
          </cell>
        </row>
        <row r="1576">
          <cell r="E1576" t="str">
            <v>AC181</v>
          </cell>
          <cell r="G1576" t="str">
            <v>10.117.193.27</v>
          </cell>
          <cell r="H1576" t="str">
            <v>10.117.193.1</v>
          </cell>
          <cell r="I1576" t="str">
            <v>/27</v>
          </cell>
          <cell r="J1576">
            <v>808</v>
          </cell>
          <cell r="K1576" t="str">
            <v>10.117.196.27</v>
          </cell>
          <cell r="L1576" t="str">
            <v>10.117.196.1</v>
          </cell>
          <cell r="M1576" t="str">
            <v>/27</v>
          </cell>
          <cell r="N1576">
            <v>818</v>
          </cell>
          <cell r="O1576" t="str">
            <v>10.117.199.27</v>
          </cell>
          <cell r="P1576" t="str">
            <v>10.117.199.1</v>
          </cell>
          <cell r="Q1576" t="str">
            <v>/27</v>
          </cell>
          <cell r="R1576">
            <v>828</v>
          </cell>
        </row>
        <row r="1577">
          <cell r="E1577" t="str">
            <v>AC181</v>
          </cell>
          <cell r="G1577" t="str">
            <v>10.117.193.28</v>
          </cell>
          <cell r="H1577" t="str">
            <v>10.117.193.1</v>
          </cell>
          <cell r="I1577" t="str">
            <v>/27</v>
          </cell>
          <cell r="J1577">
            <v>808</v>
          </cell>
          <cell r="K1577" t="str">
            <v>10.117.196.28</v>
          </cell>
          <cell r="L1577" t="str">
            <v>10.117.196.1</v>
          </cell>
          <cell r="M1577" t="str">
            <v>/27</v>
          </cell>
          <cell r="N1577">
            <v>818</v>
          </cell>
          <cell r="O1577" t="str">
            <v>10.117.199.28</v>
          </cell>
          <cell r="P1577" t="str">
            <v>10.117.199.1</v>
          </cell>
          <cell r="Q1577" t="str">
            <v>/27</v>
          </cell>
          <cell r="R1577">
            <v>828</v>
          </cell>
        </row>
        <row r="1578">
          <cell r="E1578" t="str">
            <v>AC181</v>
          </cell>
          <cell r="G1578" t="str">
            <v>10.117.193.29</v>
          </cell>
          <cell r="H1578" t="str">
            <v>10.117.193.1</v>
          </cell>
          <cell r="I1578" t="str">
            <v>/27</v>
          </cell>
          <cell r="J1578">
            <v>808</v>
          </cell>
          <cell r="K1578" t="str">
            <v>10.117.196.29</v>
          </cell>
          <cell r="L1578" t="str">
            <v>10.117.196.1</v>
          </cell>
          <cell r="M1578" t="str">
            <v>/27</v>
          </cell>
          <cell r="N1578">
            <v>818</v>
          </cell>
          <cell r="O1578" t="str">
            <v>10.117.199.29</v>
          </cell>
          <cell r="P1578" t="str">
            <v>10.117.199.1</v>
          </cell>
          <cell r="Q1578" t="str">
            <v>/27</v>
          </cell>
          <cell r="R1578">
            <v>828</v>
          </cell>
        </row>
        <row r="1579">
          <cell r="E1579" t="str">
            <v>AC181</v>
          </cell>
          <cell r="G1579" t="str">
            <v>10.117.193.30</v>
          </cell>
          <cell r="H1579" t="str">
            <v>10.117.193.1</v>
          </cell>
          <cell r="I1579" t="str">
            <v>/27</v>
          </cell>
          <cell r="J1579">
            <v>808</v>
          </cell>
          <cell r="K1579" t="str">
            <v>10.117.196.30</v>
          </cell>
          <cell r="L1579" t="str">
            <v>10.117.196.1</v>
          </cell>
          <cell r="M1579" t="str">
            <v>/27</v>
          </cell>
          <cell r="N1579">
            <v>818</v>
          </cell>
          <cell r="O1579" t="str">
            <v>10.117.199.30</v>
          </cell>
          <cell r="P1579" t="str">
            <v>10.117.199.1</v>
          </cell>
          <cell r="Q1579" t="str">
            <v>/27</v>
          </cell>
          <cell r="R1579">
            <v>828</v>
          </cell>
        </row>
        <row r="1580">
          <cell r="E1580" t="str">
            <v>AC181</v>
          </cell>
          <cell r="G1580" t="str">
            <v>10.117.193.31</v>
          </cell>
          <cell r="H1580" t="str">
            <v>10.117.193.1</v>
          </cell>
          <cell r="I1580" t="str">
            <v>/27</v>
          </cell>
          <cell r="J1580">
            <v>808</v>
          </cell>
          <cell r="K1580" t="str">
            <v>10.117.196.31</v>
          </cell>
          <cell r="L1580" t="str">
            <v>10.117.196.1</v>
          </cell>
          <cell r="M1580" t="str">
            <v>/27</v>
          </cell>
          <cell r="N1580">
            <v>818</v>
          </cell>
          <cell r="O1580" t="str">
            <v>10.117.199.31</v>
          </cell>
          <cell r="P1580" t="str">
            <v>10.117.199.1</v>
          </cell>
          <cell r="Q1580" t="str">
            <v>/27</v>
          </cell>
          <cell r="R1580">
            <v>828</v>
          </cell>
        </row>
        <row r="1581">
          <cell r="E1581" t="str">
            <v>AC221</v>
          </cell>
          <cell r="G1581" t="str">
            <v>10.117.193.224</v>
          </cell>
          <cell r="H1581" t="str">
            <v>10.117.193.225</v>
          </cell>
          <cell r="I1581" t="str">
            <v>/27</v>
          </cell>
          <cell r="J1581">
            <v>802</v>
          </cell>
          <cell r="K1581" t="str">
            <v>10.117.196.224</v>
          </cell>
          <cell r="L1581" t="str">
            <v>10.117.196.225</v>
          </cell>
          <cell r="M1581" t="str">
            <v>/27</v>
          </cell>
          <cell r="N1581">
            <v>812</v>
          </cell>
          <cell r="O1581" t="str">
            <v>10.117.199.224</v>
          </cell>
          <cell r="P1581" t="str">
            <v>10.117.199.225</v>
          </cell>
          <cell r="Q1581" t="str">
            <v>/27</v>
          </cell>
          <cell r="R1581">
            <v>822</v>
          </cell>
        </row>
        <row r="1582">
          <cell r="E1582" t="str">
            <v>AC221</v>
          </cell>
          <cell r="G1582" t="str">
            <v>10.117.193.225</v>
          </cell>
          <cell r="H1582" t="str">
            <v>10.117.193.225</v>
          </cell>
          <cell r="I1582" t="str">
            <v>/27</v>
          </cell>
          <cell r="J1582">
            <v>802</v>
          </cell>
          <cell r="K1582" t="str">
            <v>10.117.196.225</v>
          </cell>
          <cell r="L1582" t="str">
            <v>10.117.196.225</v>
          </cell>
          <cell r="M1582" t="str">
            <v>/27</v>
          </cell>
          <cell r="N1582">
            <v>812</v>
          </cell>
          <cell r="O1582" t="str">
            <v>10.117.199.225</v>
          </cell>
          <cell r="P1582" t="str">
            <v>10.117.199.225</v>
          </cell>
          <cell r="Q1582" t="str">
            <v>/27</v>
          </cell>
          <cell r="R1582">
            <v>822</v>
          </cell>
        </row>
        <row r="1583">
          <cell r="E1583" t="str">
            <v>AC221</v>
          </cell>
          <cell r="G1583" t="str">
            <v>10.117.193.226</v>
          </cell>
          <cell r="H1583" t="str">
            <v>10.117.193.225</v>
          </cell>
          <cell r="I1583" t="str">
            <v>/27</v>
          </cell>
          <cell r="J1583">
            <v>802</v>
          </cell>
          <cell r="K1583" t="str">
            <v>10.117.196.226</v>
          </cell>
          <cell r="L1583" t="str">
            <v>10.117.196.225</v>
          </cell>
          <cell r="M1583" t="str">
            <v>/27</v>
          </cell>
          <cell r="N1583">
            <v>812</v>
          </cell>
          <cell r="O1583" t="str">
            <v>10.117.199.226</v>
          </cell>
          <cell r="P1583" t="str">
            <v>10.117.199.225</v>
          </cell>
          <cell r="Q1583" t="str">
            <v>/27</v>
          </cell>
          <cell r="R1583">
            <v>822</v>
          </cell>
        </row>
        <row r="1584">
          <cell r="E1584" t="str">
            <v>AC221</v>
          </cell>
          <cell r="G1584" t="str">
            <v>10.117.193.227</v>
          </cell>
          <cell r="H1584" t="str">
            <v>10.117.193.225</v>
          </cell>
          <cell r="I1584" t="str">
            <v>/27</v>
          </cell>
          <cell r="J1584">
            <v>802</v>
          </cell>
          <cell r="K1584" t="str">
            <v>10.117.196.227</v>
          </cell>
          <cell r="L1584" t="str">
            <v>10.117.196.225</v>
          </cell>
          <cell r="M1584" t="str">
            <v>/27</v>
          </cell>
          <cell r="N1584">
            <v>812</v>
          </cell>
          <cell r="O1584" t="str">
            <v>10.117.199.227</v>
          </cell>
          <cell r="P1584" t="str">
            <v>10.117.199.225</v>
          </cell>
          <cell r="Q1584" t="str">
            <v>/27</v>
          </cell>
          <cell r="R1584">
            <v>822</v>
          </cell>
        </row>
        <row r="1585">
          <cell r="E1585" t="str">
            <v>AC221</v>
          </cell>
          <cell r="F1585" t="str">
            <v>AC221</v>
          </cell>
          <cell r="G1585" t="str">
            <v>10.117.193.228</v>
          </cell>
          <cell r="H1585" t="str">
            <v>10.117.193.225</v>
          </cell>
          <cell r="I1585" t="str">
            <v>/27</v>
          </cell>
          <cell r="J1585">
            <v>802</v>
          </cell>
          <cell r="K1585" t="str">
            <v>10.117.196.228</v>
          </cell>
          <cell r="L1585" t="str">
            <v>10.117.196.225</v>
          </cell>
          <cell r="M1585" t="str">
            <v>/27</v>
          </cell>
          <cell r="N1585">
            <v>812</v>
          </cell>
          <cell r="O1585" t="str">
            <v>10.117.199.228</v>
          </cell>
          <cell r="P1585" t="str">
            <v>10.117.199.225</v>
          </cell>
          <cell r="Q1585" t="str">
            <v>/27</v>
          </cell>
          <cell r="R1585">
            <v>822</v>
          </cell>
        </row>
        <row r="1586">
          <cell r="E1586" t="str">
            <v>AC221</v>
          </cell>
          <cell r="G1586" t="str">
            <v>10.117.193.229</v>
          </cell>
          <cell r="H1586" t="str">
            <v>10.117.193.225</v>
          </cell>
          <cell r="I1586" t="str">
            <v>/27</v>
          </cell>
          <cell r="J1586">
            <v>802</v>
          </cell>
          <cell r="K1586" t="str">
            <v>10.117.196.229</v>
          </cell>
          <cell r="L1586" t="str">
            <v>10.117.196.225</v>
          </cell>
          <cell r="M1586" t="str">
            <v>/27</v>
          </cell>
          <cell r="N1586">
            <v>812</v>
          </cell>
          <cell r="O1586" t="str">
            <v>10.117.199.229</v>
          </cell>
          <cell r="P1586" t="str">
            <v>10.117.199.225</v>
          </cell>
          <cell r="Q1586" t="str">
            <v>/27</v>
          </cell>
          <cell r="R1586">
            <v>822</v>
          </cell>
        </row>
        <row r="1587">
          <cell r="E1587" t="str">
            <v>AC221</v>
          </cell>
          <cell r="F1587" t="str">
            <v>AC769</v>
          </cell>
          <cell r="G1587" t="str">
            <v>10.117.193.230</v>
          </cell>
          <cell r="H1587" t="str">
            <v>10.117.193.225</v>
          </cell>
          <cell r="I1587" t="str">
            <v>/27</v>
          </cell>
          <cell r="J1587">
            <v>802</v>
          </cell>
          <cell r="K1587" t="str">
            <v>10.117.196.230</v>
          </cell>
          <cell r="L1587" t="str">
            <v>10.117.196.225</v>
          </cell>
          <cell r="M1587" t="str">
            <v>/27</v>
          </cell>
          <cell r="N1587">
            <v>812</v>
          </cell>
          <cell r="O1587" t="str">
            <v>10.117.199.230</v>
          </cell>
          <cell r="P1587" t="str">
            <v>10.117.199.225</v>
          </cell>
          <cell r="Q1587" t="str">
            <v>/27</v>
          </cell>
          <cell r="R1587">
            <v>822</v>
          </cell>
        </row>
        <row r="1588">
          <cell r="E1588" t="str">
            <v>AC221</v>
          </cell>
          <cell r="G1588" t="str">
            <v>10.117.193.231</v>
          </cell>
          <cell r="H1588" t="str">
            <v>10.117.193.225</v>
          </cell>
          <cell r="I1588" t="str">
            <v>/27</v>
          </cell>
          <cell r="J1588">
            <v>802</v>
          </cell>
          <cell r="K1588" t="str">
            <v>10.117.196.231</v>
          </cell>
          <cell r="L1588" t="str">
            <v>10.117.196.225</v>
          </cell>
          <cell r="M1588" t="str">
            <v>/27</v>
          </cell>
          <cell r="N1588">
            <v>812</v>
          </cell>
          <cell r="O1588" t="str">
            <v>10.117.199.231</v>
          </cell>
          <cell r="P1588" t="str">
            <v>10.117.199.225</v>
          </cell>
          <cell r="Q1588" t="str">
            <v>/27</v>
          </cell>
          <cell r="R1588">
            <v>822</v>
          </cell>
        </row>
        <row r="1589">
          <cell r="E1589" t="str">
            <v>AC221</v>
          </cell>
          <cell r="F1589" t="str">
            <v>ET197</v>
          </cell>
          <cell r="G1589" t="str">
            <v>10.117.193.232</v>
          </cell>
          <cell r="H1589" t="str">
            <v>10.117.193.225</v>
          </cell>
          <cell r="I1589" t="str">
            <v>/27</v>
          </cell>
          <cell r="J1589">
            <v>802</v>
          </cell>
          <cell r="K1589" t="str">
            <v>10.117.196.232</v>
          </cell>
          <cell r="L1589" t="str">
            <v>10.117.196.225</v>
          </cell>
          <cell r="M1589" t="str">
            <v>/27</v>
          </cell>
          <cell r="N1589">
            <v>812</v>
          </cell>
          <cell r="O1589" t="str">
            <v>10.117.199.232</v>
          </cell>
          <cell r="P1589" t="str">
            <v>10.117.199.225</v>
          </cell>
          <cell r="Q1589" t="str">
            <v>/27</v>
          </cell>
          <cell r="R1589">
            <v>822</v>
          </cell>
        </row>
        <row r="1590">
          <cell r="E1590" t="str">
            <v>AC221</v>
          </cell>
          <cell r="G1590" t="str">
            <v>10.117.193.233</v>
          </cell>
          <cell r="H1590" t="str">
            <v>10.117.193.225</v>
          </cell>
          <cell r="I1590" t="str">
            <v>/27</v>
          </cell>
          <cell r="J1590">
            <v>802</v>
          </cell>
          <cell r="K1590" t="str">
            <v>10.117.196.233</v>
          </cell>
          <cell r="L1590" t="str">
            <v>10.117.196.225</v>
          </cell>
          <cell r="M1590" t="str">
            <v>/27</v>
          </cell>
          <cell r="N1590">
            <v>812</v>
          </cell>
          <cell r="O1590" t="str">
            <v>10.117.199.233</v>
          </cell>
          <cell r="P1590" t="str">
            <v>10.117.199.225</v>
          </cell>
          <cell r="Q1590" t="str">
            <v>/27</v>
          </cell>
          <cell r="R1590">
            <v>822</v>
          </cell>
        </row>
        <row r="1591">
          <cell r="E1591" t="str">
            <v>AC221</v>
          </cell>
          <cell r="G1591" t="str">
            <v>10.117.193.234</v>
          </cell>
          <cell r="H1591" t="str">
            <v>10.117.193.225</v>
          </cell>
          <cell r="I1591" t="str">
            <v>/27</v>
          </cell>
          <cell r="J1591">
            <v>802</v>
          </cell>
          <cell r="K1591" t="str">
            <v>10.117.196.234</v>
          </cell>
          <cell r="L1591" t="str">
            <v>10.117.196.225</v>
          </cell>
          <cell r="M1591" t="str">
            <v>/27</v>
          </cell>
          <cell r="N1591">
            <v>812</v>
          </cell>
          <cell r="O1591" t="str">
            <v>10.117.199.234</v>
          </cell>
          <cell r="P1591" t="str">
            <v>10.117.199.225</v>
          </cell>
          <cell r="Q1591" t="str">
            <v>/27</v>
          </cell>
          <cell r="R1591">
            <v>822</v>
          </cell>
        </row>
        <row r="1592">
          <cell r="E1592" t="str">
            <v>AC221</v>
          </cell>
          <cell r="G1592" t="str">
            <v>10.117.193.235</v>
          </cell>
          <cell r="H1592" t="str">
            <v>10.117.193.225</v>
          </cell>
          <cell r="I1592" t="str">
            <v>/27</v>
          </cell>
          <cell r="J1592">
            <v>802</v>
          </cell>
          <cell r="K1592" t="str">
            <v>10.117.196.235</v>
          </cell>
          <cell r="L1592" t="str">
            <v>10.117.196.225</v>
          </cell>
          <cell r="M1592" t="str">
            <v>/27</v>
          </cell>
          <cell r="N1592">
            <v>812</v>
          </cell>
          <cell r="O1592" t="str">
            <v>10.117.199.235</v>
          </cell>
          <cell r="P1592" t="str">
            <v>10.117.199.225</v>
          </cell>
          <cell r="Q1592" t="str">
            <v>/27</v>
          </cell>
          <cell r="R1592">
            <v>822</v>
          </cell>
        </row>
        <row r="1593">
          <cell r="E1593" t="str">
            <v>AC221</v>
          </cell>
          <cell r="G1593" t="str">
            <v>10.117.193.236</v>
          </cell>
          <cell r="H1593" t="str">
            <v>10.117.193.225</v>
          </cell>
          <cell r="I1593" t="str">
            <v>/27</v>
          </cell>
          <cell r="J1593">
            <v>802</v>
          </cell>
          <cell r="K1593" t="str">
            <v>10.117.196.236</v>
          </cell>
          <cell r="L1593" t="str">
            <v>10.117.196.225</v>
          </cell>
          <cell r="M1593" t="str">
            <v>/27</v>
          </cell>
          <cell r="N1593">
            <v>812</v>
          </cell>
          <cell r="O1593" t="str">
            <v>10.117.199.236</v>
          </cell>
          <cell r="P1593" t="str">
            <v>10.117.199.225</v>
          </cell>
          <cell r="Q1593" t="str">
            <v>/27</v>
          </cell>
          <cell r="R1593">
            <v>822</v>
          </cell>
        </row>
        <row r="1594">
          <cell r="E1594" t="str">
            <v>AC221</v>
          </cell>
          <cell r="G1594" t="str">
            <v>10.117.193.237</v>
          </cell>
          <cell r="H1594" t="str">
            <v>10.117.193.225</v>
          </cell>
          <cell r="I1594" t="str">
            <v>/27</v>
          </cell>
          <cell r="J1594">
            <v>802</v>
          </cell>
          <cell r="K1594" t="str">
            <v>10.117.196.237</v>
          </cell>
          <cell r="L1594" t="str">
            <v>10.117.196.225</v>
          </cell>
          <cell r="M1594" t="str">
            <v>/27</v>
          </cell>
          <cell r="N1594">
            <v>812</v>
          </cell>
          <cell r="O1594" t="str">
            <v>10.117.199.237</v>
          </cell>
          <cell r="P1594" t="str">
            <v>10.117.199.225</v>
          </cell>
          <cell r="Q1594" t="str">
            <v>/27</v>
          </cell>
          <cell r="R1594">
            <v>822</v>
          </cell>
        </row>
        <row r="1595">
          <cell r="E1595" t="str">
            <v>AC221</v>
          </cell>
          <cell r="G1595" t="str">
            <v>10.117.193.238</v>
          </cell>
          <cell r="H1595" t="str">
            <v>10.117.193.225</v>
          </cell>
          <cell r="I1595" t="str">
            <v>/27</v>
          </cell>
          <cell r="J1595">
            <v>802</v>
          </cell>
          <cell r="K1595" t="str">
            <v>10.117.196.238</v>
          </cell>
          <cell r="L1595" t="str">
            <v>10.117.196.225</v>
          </cell>
          <cell r="M1595" t="str">
            <v>/27</v>
          </cell>
          <cell r="N1595">
            <v>812</v>
          </cell>
          <cell r="O1595" t="str">
            <v>10.117.199.238</v>
          </cell>
          <cell r="P1595" t="str">
            <v>10.117.199.225</v>
          </cell>
          <cell r="Q1595" t="str">
            <v>/27</v>
          </cell>
          <cell r="R1595">
            <v>822</v>
          </cell>
        </row>
        <row r="1596">
          <cell r="E1596" t="str">
            <v>AC221</v>
          </cell>
          <cell r="G1596" t="str">
            <v>10.117.193.239</v>
          </cell>
          <cell r="H1596" t="str">
            <v>10.117.193.225</v>
          </cell>
          <cell r="I1596" t="str">
            <v>/27</v>
          </cell>
          <cell r="J1596">
            <v>802</v>
          </cell>
          <cell r="K1596" t="str">
            <v>10.117.196.239</v>
          </cell>
          <cell r="L1596" t="str">
            <v>10.117.196.225</v>
          </cell>
          <cell r="M1596" t="str">
            <v>/27</v>
          </cell>
          <cell r="N1596">
            <v>812</v>
          </cell>
          <cell r="O1596" t="str">
            <v>10.117.199.239</v>
          </cell>
          <cell r="P1596" t="str">
            <v>10.117.199.225</v>
          </cell>
          <cell r="Q1596" t="str">
            <v>/27</v>
          </cell>
          <cell r="R1596">
            <v>822</v>
          </cell>
        </row>
        <row r="1597">
          <cell r="E1597" t="str">
            <v>AC221</v>
          </cell>
          <cell r="G1597" t="str">
            <v>10.117.193.240</v>
          </cell>
          <cell r="H1597" t="str">
            <v>10.117.193.225</v>
          </cell>
          <cell r="I1597" t="str">
            <v>/27</v>
          </cell>
          <cell r="J1597">
            <v>802</v>
          </cell>
          <cell r="K1597" t="str">
            <v>10.117.196.240</v>
          </cell>
          <cell r="L1597" t="str">
            <v>10.117.196.225</v>
          </cell>
          <cell r="M1597" t="str">
            <v>/27</v>
          </cell>
          <cell r="N1597">
            <v>812</v>
          </cell>
          <cell r="O1597" t="str">
            <v>10.117.199.240</v>
          </cell>
          <cell r="P1597" t="str">
            <v>10.117.199.225</v>
          </cell>
          <cell r="Q1597" t="str">
            <v>/27</v>
          </cell>
          <cell r="R1597">
            <v>822</v>
          </cell>
        </row>
        <row r="1598">
          <cell r="E1598" t="str">
            <v>AC221</v>
          </cell>
          <cell r="G1598" t="str">
            <v>10.117.193.241</v>
          </cell>
          <cell r="H1598" t="str">
            <v>10.117.193.225</v>
          </cell>
          <cell r="I1598" t="str">
            <v>/27</v>
          </cell>
          <cell r="J1598">
            <v>802</v>
          </cell>
          <cell r="K1598" t="str">
            <v>10.117.196.241</v>
          </cell>
          <cell r="L1598" t="str">
            <v>10.117.196.225</v>
          </cell>
          <cell r="M1598" t="str">
            <v>/27</v>
          </cell>
          <cell r="N1598">
            <v>812</v>
          </cell>
          <cell r="O1598" t="str">
            <v>10.117.199.241</v>
          </cell>
          <cell r="P1598" t="str">
            <v>10.117.199.225</v>
          </cell>
          <cell r="Q1598" t="str">
            <v>/27</v>
          </cell>
          <cell r="R1598">
            <v>822</v>
          </cell>
        </row>
        <row r="1599">
          <cell r="E1599" t="str">
            <v>AC221</v>
          </cell>
          <cell r="G1599" t="str">
            <v>10.117.193.242</v>
          </cell>
          <cell r="H1599" t="str">
            <v>10.117.193.225</v>
          </cell>
          <cell r="I1599" t="str">
            <v>/27</v>
          </cell>
          <cell r="J1599">
            <v>802</v>
          </cell>
          <cell r="K1599" t="str">
            <v>10.117.196.242</v>
          </cell>
          <cell r="L1599" t="str">
            <v>10.117.196.225</v>
          </cell>
          <cell r="M1599" t="str">
            <v>/27</v>
          </cell>
          <cell r="N1599">
            <v>812</v>
          </cell>
          <cell r="O1599" t="str">
            <v>10.117.199.242</v>
          </cell>
          <cell r="P1599" t="str">
            <v>10.117.199.225</v>
          </cell>
          <cell r="Q1599" t="str">
            <v>/27</v>
          </cell>
          <cell r="R1599">
            <v>822</v>
          </cell>
        </row>
        <row r="1600">
          <cell r="E1600" t="str">
            <v>AC221</v>
          </cell>
          <cell r="G1600" t="str">
            <v>10.117.193.243</v>
          </cell>
          <cell r="H1600" t="str">
            <v>10.117.193.225</v>
          </cell>
          <cell r="I1600" t="str">
            <v>/27</v>
          </cell>
          <cell r="J1600">
            <v>802</v>
          </cell>
          <cell r="K1600" t="str">
            <v>10.117.196.243</v>
          </cell>
          <cell r="L1600" t="str">
            <v>10.117.196.225</v>
          </cell>
          <cell r="M1600" t="str">
            <v>/27</v>
          </cell>
          <cell r="N1600">
            <v>812</v>
          </cell>
          <cell r="O1600" t="str">
            <v>10.117.199.243</v>
          </cell>
          <cell r="P1600" t="str">
            <v>10.117.199.225</v>
          </cell>
          <cell r="Q1600" t="str">
            <v>/27</v>
          </cell>
          <cell r="R1600">
            <v>822</v>
          </cell>
        </row>
        <row r="1601">
          <cell r="E1601" t="str">
            <v>AC221</v>
          </cell>
          <cell r="G1601" t="str">
            <v>10.117.193.244</v>
          </cell>
          <cell r="H1601" t="str">
            <v>10.117.193.225</v>
          </cell>
          <cell r="I1601" t="str">
            <v>/27</v>
          </cell>
          <cell r="J1601">
            <v>802</v>
          </cell>
          <cell r="K1601" t="str">
            <v>10.117.196.244</v>
          </cell>
          <cell r="L1601" t="str">
            <v>10.117.196.225</v>
          </cell>
          <cell r="M1601" t="str">
            <v>/27</v>
          </cell>
          <cell r="N1601">
            <v>812</v>
          </cell>
          <cell r="O1601" t="str">
            <v>10.117.199.244</v>
          </cell>
          <cell r="P1601" t="str">
            <v>10.117.199.225</v>
          </cell>
          <cell r="Q1601" t="str">
            <v>/27</v>
          </cell>
          <cell r="R1601">
            <v>822</v>
          </cell>
        </row>
        <row r="1602">
          <cell r="E1602" t="str">
            <v>AC221</v>
          </cell>
          <cell r="G1602" t="str">
            <v>10.117.193.245</v>
          </cell>
          <cell r="H1602" t="str">
            <v>10.117.193.225</v>
          </cell>
          <cell r="I1602" t="str">
            <v>/27</v>
          </cell>
          <cell r="J1602">
            <v>802</v>
          </cell>
          <cell r="K1602" t="str">
            <v>10.117.196.245</v>
          </cell>
          <cell r="L1602" t="str">
            <v>10.117.196.225</v>
          </cell>
          <cell r="M1602" t="str">
            <v>/27</v>
          </cell>
          <cell r="N1602">
            <v>812</v>
          </cell>
          <cell r="O1602" t="str">
            <v>10.117.199.245</v>
          </cell>
          <cell r="P1602" t="str">
            <v>10.117.199.225</v>
          </cell>
          <cell r="Q1602" t="str">
            <v>/27</v>
          </cell>
          <cell r="R1602">
            <v>822</v>
          </cell>
        </row>
        <row r="1603">
          <cell r="E1603" t="str">
            <v>AC221</v>
          </cell>
          <cell r="G1603" t="str">
            <v>10.117.193.246</v>
          </cell>
          <cell r="H1603" t="str">
            <v>10.117.193.225</v>
          </cell>
          <cell r="I1603" t="str">
            <v>/27</v>
          </cell>
          <cell r="J1603">
            <v>802</v>
          </cell>
          <cell r="K1603" t="str">
            <v>10.117.196.246</v>
          </cell>
          <cell r="L1603" t="str">
            <v>10.117.196.225</v>
          </cell>
          <cell r="M1603" t="str">
            <v>/27</v>
          </cell>
          <cell r="N1603">
            <v>812</v>
          </cell>
          <cell r="O1603" t="str">
            <v>10.117.199.246</v>
          </cell>
          <cell r="P1603" t="str">
            <v>10.117.199.225</v>
          </cell>
          <cell r="Q1603" t="str">
            <v>/27</v>
          </cell>
          <cell r="R1603">
            <v>822</v>
          </cell>
        </row>
        <row r="1604">
          <cell r="E1604" t="str">
            <v>AC221</v>
          </cell>
          <cell r="G1604" t="str">
            <v>10.117.193.247</v>
          </cell>
          <cell r="H1604" t="str">
            <v>10.117.193.225</v>
          </cell>
          <cell r="I1604" t="str">
            <v>/27</v>
          </cell>
          <cell r="J1604">
            <v>802</v>
          </cell>
          <cell r="K1604" t="str">
            <v>10.117.196.247</v>
          </cell>
          <cell r="L1604" t="str">
            <v>10.117.196.225</v>
          </cell>
          <cell r="M1604" t="str">
            <v>/27</v>
          </cell>
          <cell r="N1604">
            <v>812</v>
          </cell>
          <cell r="O1604" t="str">
            <v>10.117.199.247</v>
          </cell>
          <cell r="P1604" t="str">
            <v>10.117.199.225</v>
          </cell>
          <cell r="Q1604" t="str">
            <v>/27</v>
          </cell>
          <cell r="R1604">
            <v>822</v>
          </cell>
        </row>
        <row r="1605">
          <cell r="E1605" t="str">
            <v>AC221</v>
          </cell>
          <cell r="G1605" t="str">
            <v>10.117.193.248</v>
          </cell>
          <cell r="H1605" t="str">
            <v>10.117.193.225</v>
          </cell>
          <cell r="I1605" t="str">
            <v>/27</v>
          </cell>
          <cell r="J1605">
            <v>802</v>
          </cell>
          <cell r="K1605" t="str">
            <v>10.117.196.248</v>
          </cell>
          <cell r="L1605" t="str">
            <v>10.117.196.225</v>
          </cell>
          <cell r="M1605" t="str">
            <v>/27</v>
          </cell>
          <cell r="N1605">
            <v>812</v>
          </cell>
          <cell r="O1605" t="str">
            <v>10.117.199.248</v>
          </cell>
          <cell r="P1605" t="str">
            <v>10.117.199.225</v>
          </cell>
          <cell r="Q1605" t="str">
            <v>/27</v>
          </cell>
          <cell r="R1605">
            <v>822</v>
          </cell>
        </row>
        <row r="1606">
          <cell r="E1606" t="str">
            <v>AC221</v>
          </cell>
          <cell r="G1606" t="str">
            <v>10.117.193.249</v>
          </cell>
          <cell r="H1606" t="str">
            <v>10.117.193.225</v>
          </cell>
          <cell r="I1606" t="str">
            <v>/27</v>
          </cell>
          <cell r="J1606">
            <v>802</v>
          </cell>
          <cell r="K1606" t="str">
            <v>10.117.196.249</v>
          </cell>
          <cell r="L1606" t="str">
            <v>10.117.196.225</v>
          </cell>
          <cell r="M1606" t="str">
            <v>/27</v>
          </cell>
          <cell r="N1606">
            <v>812</v>
          </cell>
          <cell r="O1606" t="str">
            <v>10.117.199.249</v>
          </cell>
          <cell r="P1606" t="str">
            <v>10.117.199.225</v>
          </cell>
          <cell r="Q1606" t="str">
            <v>/27</v>
          </cell>
          <cell r="R1606">
            <v>822</v>
          </cell>
        </row>
        <row r="1607">
          <cell r="E1607" t="str">
            <v>AC221</v>
          </cell>
          <cell r="G1607" t="str">
            <v>10.117.193.250</v>
          </cell>
          <cell r="H1607" t="str">
            <v>10.117.193.225</v>
          </cell>
          <cell r="I1607" t="str">
            <v>/27</v>
          </cell>
          <cell r="J1607">
            <v>802</v>
          </cell>
          <cell r="K1607" t="str">
            <v>10.117.196.250</v>
          </cell>
          <cell r="L1607" t="str">
            <v>10.117.196.225</v>
          </cell>
          <cell r="M1607" t="str">
            <v>/27</v>
          </cell>
          <cell r="N1607">
            <v>812</v>
          </cell>
          <cell r="O1607" t="str">
            <v>10.117.199.250</v>
          </cell>
          <cell r="P1607" t="str">
            <v>10.117.199.225</v>
          </cell>
          <cell r="Q1607" t="str">
            <v>/27</v>
          </cell>
          <cell r="R1607">
            <v>822</v>
          </cell>
        </row>
        <row r="1608">
          <cell r="E1608" t="str">
            <v>AC221</v>
          </cell>
          <cell r="G1608" t="str">
            <v>10.117.193.251</v>
          </cell>
          <cell r="H1608" t="str">
            <v>10.117.193.225</v>
          </cell>
          <cell r="I1608" t="str">
            <v>/27</v>
          </cell>
          <cell r="J1608">
            <v>802</v>
          </cell>
          <cell r="K1608" t="str">
            <v>10.117.196.251</v>
          </cell>
          <cell r="L1608" t="str">
            <v>10.117.196.225</v>
          </cell>
          <cell r="M1608" t="str">
            <v>/27</v>
          </cell>
          <cell r="N1608">
            <v>812</v>
          </cell>
          <cell r="O1608" t="str">
            <v>10.117.199.251</v>
          </cell>
          <cell r="P1608" t="str">
            <v>10.117.199.225</v>
          </cell>
          <cell r="Q1608" t="str">
            <v>/27</v>
          </cell>
          <cell r="R1608">
            <v>822</v>
          </cell>
        </row>
        <row r="1609">
          <cell r="E1609" t="str">
            <v>AC221</v>
          </cell>
          <cell r="G1609" t="str">
            <v>10.117.193.252</v>
          </cell>
          <cell r="H1609" t="str">
            <v>10.117.193.225</v>
          </cell>
          <cell r="I1609" t="str">
            <v>/27</v>
          </cell>
          <cell r="J1609">
            <v>802</v>
          </cell>
          <cell r="K1609" t="str">
            <v>10.117.196.252</v>
          </cell>
          <cell r="L1609" t="str">
            <v>10.117.196.225</v>
          </cell>
          <cell r="M1609" t="str">
            <v>/27</v>
          </cell>
          <cell r="N1609">
            <v>812</v>
          </cell>
          <cell r="O1609" t="str">
            <v>10.117.199.252</v>
          </cell>
          <cell r="P1609" t="str">
            <v>10.117.199.225</v>
          </cell>
          <cell r="Q1609" t="str">
            <v>/27</v>
          </cell>
          <cell r="R1609">
            <v>822</v>
          </cell>
        </row>
        <row r="1610">
          <cell r="E1610" t="str">
            <v>AC221</v>
          </cell>
          <cell r="G1610" t="str">
            <v>10.117.193.253</v>
          </cell>
          <cell r="H1610" t="str">
            <v>10.117.193.225</v>
          </cell>
          <cell r="I1610" t="str">
            <v>/27</v>
          </cell>
          <cell r="J1610">
            <v>802</v>
          </cell>
          <cell r="K1610" t="str">
            <v>10.117.196.253</v>
          </cell>
          <cell r="L1610" t="str">
            <v>10.117.196.225</v>
          </cell>
          <cell r="M1610" t="str">
            <v>/27</v>
          </cell>
          <cell r="N1610">
            <v>812</v>
          </cell>
          <cell r="O1610" t="str">
            <v>10.117.199.253</v>
          </cell>
          <cell r="P1610" t="str">
            <v>10.117.199.225</v>
          </cell>
          <cell r="Q1610" t="str">
            <v>/27</v>
          </cell>
          <cell r="R1610">
            <v>822</v>
          </cell>
        </row>
        <row r="1611">
          <cell r="E1611" t="str">
            <v>AC221</v>
          </cell>
          <cell r="G1611" t="str">
            <v>10.117.193.254</v>
          </cell>
          <cell r="H1611" t="str">
            <v>10.117.193.225</v>
          </cell>
          <cell r="I1611" t="str">
            <v>/27</v>
          </cell>
          <cell r="J1611">
            <v>802</v>
          </cell>
          <cell r="K1611" t="str">
            <v>10.117.196.254</v>
          </cell>
          <cell r="L1611" t="str">
            <v>10.117.196.225</v>
          </cell>
          <cell r="M1611" t="str">
            <v>/27</v>
          </cell>
          <cell r="N1611">
            <v>812</v>
          </cell>
          <cell r="O1611" t="str">
            <v>10.117.199.254</v>
          </cell>
          <cell r="P1611" t="str">
            <v>10.117.199.225</v>
          </cell>
          <cell r="Q1611" t="str">
            <v>/27</v>
          </cell>
          <cell r="R1611">
            <v>822</v>
          </cell>
        </row>
        <row r="1612">
          <cell r="E1612" t="str">
            <v>AC221</v>
          </cell>
          <cell r="G1612" t="str">
            <v>10.117.193.255</v>
          </cell>
          <cell r="H1612" t="str">
            <v>10.117.193.225</v>
          </cell>
          <cell r="I1612" t="str">
            <v>/27</v>
          </cell>
          <cell r="J1612">
            <v>802</v>
          </cell>
          <cell r="K1612" t="str">
            <v>10.117.196.255</v>
          </cell>
          <cell r="L1612" t="str">
            <v>10.117.196.225</v>
          </cell>
          <cell r="M1612" t="str">
            <v>/27</v>
          </cell>
          <cell r="N1612">
            <v>812</v>
          </cell>
          <cell r="O1612" t="str">
            <v>10.117.199.255</v>
          </cell>
          <cell r="P1612" t="str">
            <v>10.117.199.225</v>
          </cell>
          <cell r="Q1612" t="str">
            <v>/27</v>
          </cell>
          <cell r="R1612">
            <v>822</v>
          </cell>
        </row>
        <row r="1613">
          <cell r="E1613" t="str">
            <v>ET369</v>
          </cell>
          <cell r="G1613" t="str">
            <v>10.117.193.192</v>
          </cell>
          <cell r="H1613" t="str">
            <v>10.117.193.193</v>
          </cell>
          <cell r="I1613" t="str">
            <v>/27</v>
          </cell>
          <cell r="J1613">
            <v>804</v>
          </cell>
          <cell r="K1613" t="str">
            <v>10.117.196.192</v>
          </cell>
          <cell r="L1613" t="str">
            <v>10.117.196.193</v>
          </cell>
          <cell r="M1613" t="str">
            <v>/27</v>
          </cell>
          <cell r="N1613">
            <v>814</v>
          </cell>
          <cell r="O1613" t="str">
            <v>10.117.199.192</v>
          </cell>
          <cell r="P1613" t="str">
            <v>10.117.199.193</v>
          </cell>
          <cell r="Q1613" t="str">
            <v>/27</v>
          </cell>
          <cell r="R1613">
            <v>824</v>
          </cell>
        </row>
        <row r="1614">
          <cell r="E1614" t="str">
            <v>ET369</v>
          </cell>
          <cell r="G1614" t="str">
            <v>10.117.193.193</v>
          </cell>
          <cell r="H1614" t="str">
            <v>10.117.193.193</v>
          </cell>
          <cell r="I1614" t="str">
            <v>/27</v>
          </cell>
          <cell r="J1614">
            <v>804</v>
          </cell>
          <cell r="K1614" t="str">
            <v>10.117.196.193</v>
          </cell>
          <cell r="L1614" t="str">
            <v>10.117.196.193</v>
          </cell>
          <cell r="M1614" t="str">
            <v>/27</v>
          </cell>
          <cell r="N1614">
            <v>814</v>
          </cell>
          <cell r="O1614" t="str">
            <v>10.117.199.193</v>
          </cell>
          <cell r="P1614" t="str">
            <v>10.117.199.193</v>
          </cell>
          <cell r="Q1614" t="str">
            <v>/27</v>
          </cell>
          <cell r="R1614">
            <v>824</v>
          </cell>
        </row>
        <row r="1615">
          <cell r="E1615" t="str">
            <v>ET369</v>
          </cell>
          <cell r="G1615" t="str">
            <v>10.117.193.194</v>
          </cell>
          <cell r="H1615" t="str">
            <v>10.117.193.193</v>
          </cell>
          <cell r="I1615" t="str">
            <v>/27</v>
          </cell>
          <cell r="J1615">
            <v>804</v>
          </cell>
          <cell r="K1615" t="str">
            <v>10.117.196.194</v>
          </cell>
          <cell r="L1615" t="str">
            <v>10.117.196.193</v>
          </cell>
          <cell r="M1615" t="str">
            <v>/27</v>
          </cell>
          <cell r="N1615">
            <v>814</v>
          </cell>
          <cell r="O1615" t="str">
            <v>10.117.199.194</v>
          </cell>
          <cell r="P1615" t="str">
            <v>10.117.199.193</v>
          </cell>
          <cell r="Q1615" t="str">
            <v>/27</v>
          </cell>
          <cell r="R1615">
            <v>824</v>
          </cell>
        </row>
        <row r="1616">
          <cell r="E1616" t="str">
            <v>ET369</v>
          </cell>
          <cell r="G1616" t="str">
            <v>10.117.193.195</v>
          </cell>
          <cell r="H1616" t="str">
            <v>10.117.193.193</v>
          </cell>
          <cell r="I1616" t="str">
            <v>/27</v>
          </cell>
          <cell r="J1616">
            <v>804</v>
          </cell>
          <cell r="K1616" t="str">
            <v>10.117.196.195</v>
          </cell>
          <cell r="L1616" t="str">
            <v>10.117.196.193</v>
          </cell>
          <cell r="M1616" t="str">
            <v>/27</v>
          </cell>
          <cell r="N1616">
            <v>814</v>
          </cell>
          <cell r="O1616" t="str">
            <v>10.117.199.195</v>
          </cell>
          <cell r="P1616" t="str">
            <v>10.117.199.193</v>
          </cell>
          <cell r="Q1616" t="str">
            <v>/27</v>
          </cell>
          <cell r="R1616">
            <v>824</v>
          </cell>
        </row>
        <row r="1617">
          <cell r="E1617" t="str">
            <v>ET369</v>
          </cell>
          <cell r="G1617" t="str">
            <v>10.117.193.196</v>
          </cell>
          <cell r="H1617" t="str">
            <v>10.117.193.193</v>
          </cell>
          <cell r="I1617" t="str">
            <v>/27</v>
          </cell>
          <cell r="J1617">
            <v>804</v>
          </cell>
          <cell r="K1617" t="str">
            <v>10.117.196.196</v>
          </cell>
          <cell r="L1617" t="str">
            <v>10.117.196.193</v>
          </cell>
          <cell r="M1617" t="str">
            <v>/27</v>
          </cell>
          <cell r="N1617">
            <v>814</v>
          </cell>
          <cell r="O1617" t="str">
            <v>10.117.199.196</v>
          </cell>
          <cell r="P1617" t="str">
            <v>10.117.199.193</v>
          </cell>
          <cell r="Q1617" t="str">
            <v>/27</v>
          </cell>
          <cell r="R1617">
            <v>824</v>
          </cell>
        </row>
        <row r="1618">
          <cell r="E1618" t="str">
            <v>ET369</v>
          </cell>
          <cell r="F1618" t="str">
            <v>ET369</v>
          </cell>
          <cell r="G1618" t="str">
            <v>10.117.193.197</v>
          </cell>
          <cell r="H1618" t="str">
            <v>10.117.193.193</v>
          </cell>
          <cell r="I1618" t="str">
            <v>/27</v>
          </cell>
          <cell r="J1618">
            <v>804</v>
          </cell>
          <cell r="K1618" t="str">
            <v>10.117.196.197</v>
          </cell>
          <cell r="L1618" t="str">
            <v>10.117.196.193</v>
          </cell>
          <cell r="M1618" t="str">
            <v>/27</v>
          </cell>
          <cell r="N1618">
            <v>814</v>
          </cell>
          <cell r="O1618" t="str">
            <v>10.117.199.197</v>
          </cell>
          <cell r="P1618" t="str">
            <v>10.117.199.193</v>
          </cell>
          <cell r="Q1618" t="str">
            <v>/27</v>
          </cell>
          <cell r="R1618">
            <v>824</v>
          </cell>
        </row>
        <row r="1619">
          <cell r="E1619" t="str">
            <v>ET369</v>
          </cell>
          <cell r="F1619" t="str">
            <v>ET598</v>
          </cell>
          <cell r="G1619" t="str">
            <v>10.117.193.198</v>
          </cell>
          <cell r="H1619" t="str">
            <v>10.117.193.193</v>
          </cell>
          <cell r="I1619" t="str">
            <v>/27</v>
          </cell>
          <cell r="J1619">
            <v>804</v>
          </cell>
          <cell r="K1619" t="str">
            <v>10.117.196.198</v>
          </cell>
          <cell r="L1619" t="str">
            <v>10.117.196.193</v>
          </cell>
          <cell r="M1619" t="str">
            <v>/27</v>
          </cell>
          <cell r="N1619">
            <v>814</v>
          </cell>
          <cell r="O1619" t="str">
            <v>10.117.199.198</v>
          </cell>
          <cell r="P1619" t="str">
            <v>10.117.199.193</v>
          </cell>
          <cell r="Q1619" t="str">
            <v>/27</v>
          </cell>
          <cell r="R1619">
            <v>824</v>
          </cell>
        </row>
        <row r="1620">
          <cell r="E1620" t="str">
            <v>ET369</v>
          </cell>
          <cell r="G1620" t="str">
            <v>10.117.193.199</v>
          </cell>
          <cell r="H1620" t="str">
            <v>10.117.193.193</v>
          </cell>
          <cell r="I1620" t="str">
            <v>/27</v>
          </cell>
          <cell r="J1620">
            <v>804</v>
          </cell>
          <cell r="K1620" t="str">
            <v>10.117.196.199</v>
          </cell>
          <cell r="L1620" t="str">
            <v>10.117.196.193</v>
          </cell>
          <cell r="M1620" t="str">
            <v>/27</v>
          </cell>
          <cell r="N1620">
            <v>814</v>
          </cell>
          <cell r="O1620" t="str">
            <v>10.117.199.199</v>
          </cell>
          <cell r="P1620" t="str">
            <v>10.117.199.193</v>
          </cell>
          <cell r="Q1620" t="str">
            <v>/27</v>
          </cell>
          <cell r="R1620">
            <v>824</v>
          </cell>
        </row>
        <row r="1621">
          <cell r="E1621" t="str">
            <v>ET369</v>
          </cell>
          <cell r="F1621" t="str">
            <v>ET370</v>
          </cell>
          <cell r="G1621" t="str">
            <v>10.117.193.200</v>
          </cell>
          <cell r="H1621" t="str">
            <v>10.117.193.193</v>
          </cell>
          <cell r="I1621" t="str">
            <v>/27</v>
          </cell>
          <cell r="J1621">
            <v>804</v>
          </cell>
          <cell r="K1621" t="str">
            <v>10.117.196.200</v>
          </cell>
          <cell r="L1621" t="str">
            <v>10.117.196.193</v>
          </cell>
          <cell r="M1621" t="str">
            <v>/27</v>
          </cell>
          <cell r="N1621">
            <v>814</v>
          </cell>
          <cell r="O1621" t="str">
            <v>10.117.199.200</v>
          </cell>
          <cell r="P1621" t="str">
            <v>10.117.199.193</v>
          </cell>
          <cell r="Q1621" t="str">
            <v>/27</v>
          </cell>
          <cell r="R1621">
            <v>824</v>
          </cell>
        </row>
        <row r="1622">
          <cell r="E1622" t="str">
            <v>ET369</v>
          </cell>
          <cell r="G1622" t="str">
            <v>10.117.193.201</v>
          </cell>
          <cell r="H1622" t="str">
            <v>10.117.193.193</v>
          </cell>
          <cell r="I1622" t="str">
            <v>/27</v>
          </cell>
          <cell r="J1622">
            <v>804</v>
          </cell>
          <cell r="K1622" t="str">
            <v>10.117.196.201</v>
          </cell>
          <cell r="L1622" t="str">
            <v>10.117.196.193</v>
          </cell>
          <cell r="M1622" t="str">
            <v>/27</v>
          </cell>
          <cell r="N1622">
            <v>814</v>
          </cell>
          <cell r="O1622" t="str">
            <v>10.117.199.201</v>
          </cell>
          <cell r="P1622" t="str">
            <v>10.117.199.193</v>
          </cell>
          <cell r="Q1622" t="str">
            <v>/27</v>
          </cell>
          <cell r="R1622">
            <v>824</v>
          </cell>
        </row>
        <row r="1623">
          <cell r="E1623" t="str">
            <v>ET369</v>
          </cell>
          <cell r="F1623" t="str">
            <v>AC159</v>
          </cell>
          <cell r="G1623" t="str">
            <v>10.117.193.202</v>
          </cell>
          <cell r="H1623" t="str">
            <v>10.117.193.193</v>
          </cell>
          <cell r="I1623" t="str">
            <v>/27</v>
          </cell>
          <cell r="J1623">
            <v>804</v>
          </cell>
          <cell r="K1623" t="str">
            <v>10.117.196.202</v>
          </cell>
          <cell r="L1623" t="str">
            <v>10.117.196.193</v>
          </cell>
          <cell r="M1623" t="str">
            <v>/27</v>
          </cell>
          <cell r="N1623">
            <v>814</v>
          </cell>
          <cell r="O1623" t="str">
            <v>10.117.199.202</v>
          </cell>
          <cell r="P1623" t="str">
            <v>10.117.199.193</v>
          </cell>
          <cell r="Q1623" t="str">
            <v>/27</v>
          </cell>
          <cell r="R1623">
            <v>824</v>
          </cell>
        </row>
        <row r="1624">
          <cell r="E1624" t="str">
            <v>ET369</v>
          </cell>
          <cell r="G1624" t="str">
            <v>10.117.193.203</v>
          </cell>
          <cell r="H1624" t="str">
            <v>10.117.193.193</v>
          </cell>
          <cell r="I1624" t="str">
            <v>/27</v>
          </cell>
          <cell r="J1624">
            <v>804</v>
          </cell>
          <cell r="K1624" t="str">
            <v>10.117.196.203</v>
          </cell>
          <cell r="L1624" t="str">
            <v>10.117.196.193</v>
          </cell>
          <cell r="M1624" t="str">
            <v>/27</v>
          </cell>
          <cell r="N1624">
            <v>814</v>
          </cell>
          <cell r="O1624" t="str">
            <v>10.117.199.203</v>
          </cell>
          <cell r="P1624" t="str">
            <v>10.117.199.193</v>
          </cell>
          <cell r="Q1624" t="str">
            <v>/27</v>
          </cell>
          <cell r="R1624">
            <v>824</v>
          </cell>
        </row>
        <row r="1625">
          <cell r="E1625" t="str">
            <v>ET369</v>
          </cell>
          <cell r="G1625" t="str">
            <v>10.117.193.204</v>
          </cell>
          <cell r="H1625" t="str">
            <v>10.117.193.193</v>
          </cell>
          <cell r="I1625" t="str">
            <v>/27</v>
          </cell>
          <cell r="J1625">
            <v>804</v>
          </cell>
          <cell r="K1625" t="str">
            <v>10.117.196.204</v>
          </cell>
          <cell r="L1625" t="str">
            <v>10.117.196.193</v>
          </cell>
          <cell r="M1625" t="str">
            <v>/27</v>
          </cell>
          <cell r="N1625">
            <v>814</v>
          </cell>
          <cell r="O1625" t="str">
            <v>10.117.199.204</v>
          </cell>
          <cell r="P1625" t="str">
            <v>10.117.199.193</v>
          </cell>
          <cell r="Q1625" t="str">
            <v>/27</v>
          </cell>
          <cell r="R1625">
            <v>824</v>
          </cell>
        </row>
        <row r="1626">
          <cell r="E1626" t="str">
            <v>ET369</v>
          </cell>
          <cell r="G1626" t="str">
            <v>10.117.193.205</v>
          </cell>
          <cell r="H1626" t="str">
            <v>10.117.193.193</v>
          </cell>
          <cell r="I1626" t="str">
            <v>/27</v>
          </cell>
          <cell r="J1626">
            <v>804</v>
          </cell>
          <cell r="K1626" t="str">
            <v>10.117.196.205</v>
          </cell>
          <cell r="L1626" t="str">
            <v>10.117.196.193</v>
          </cell>
          <cell r="M1626" t="str">
            <v>/27</v>
          </cell>
          <cell r="N1626">
            <v>814</v>
          </cell>
          <cell r="O1626" t="str">
            <v>10.117.199.205</v>
          </cell>
          <cell r="P1626" t="str">
            <v>10.117.199.193</v>
          </cell>
          <cell r="Q1626" t="str">
            <v>/27</v>
          </cell>
          <cell r="R1626">
            <v>824</v>
          </cell>
        </row>
        <row r="1627">
          <cell r="E1627" t="str">
            <v>ET369</v>
          </cell>
          <cell r="G1627" t="str">
            <v>10.117.193.206</v>
          </cell>
          <cell r="H1627" t="str">
            <v>10.117.193.193</v>
          </cell>
          <cell r="I1627" t="str">
            <v>/27</v>
          </cell>
          <cell r="J1627">
            <v>804</v>
          </cell>
          <cell r="K1627" t="str">
            <v>10.117.196.206</v>
          </cell>
          <cell r="L1627" t="str">
            <v>10.117.196.193</v>
          </cell>
          <cell r="M1627" t="str">
            <v>/27</v>
          </cell>
          <cell r="N1627">
            <v>814</v>
          </cell>
          <cell r="O1627" t="str">
            <v>10.117.199.206</v>
          </cell>
          <cell r="P1627" t="str">
            <v>10.117.199.193</v>
          </cell>
          <cell r="Q1627" t="str">
            <v>/27</v>
          </cell>
          <cell r="R1627">
            <v>824</v>
          </cell>
        </row>
        <row r="1628">
          <cell r="E1628" t="str">
            <v>ET369</v>
          </cell>
          <cell r="G1628" t="str">
            <v>10.117.193.207</v>
          </cell>
          <cell r="H1628" t="str">
            <v>10.117.193.193</v>
          </cell>
          <cell r="I1628" t="str">
            <v>/27</v>
          </cell>
          <cell r="J1628">
            <v>804</v>
          </cell>
          <cell r="K1628" t="str">
            <v>10.117.196.207</v>
          </cell>
          <cell r="L1628" t="str">
            <v>10.117.196.193</v>
          </cell>
          <cell r="M1628" t="str">
            <v>/27</v>
          </cell>
          <cell r="N1628">
            <v>814</v>
          </cell>
          <cell r="O1628" t="str">
            <v>10.117.199.207</v>
          </cell>
          <cell r="P1628" t="str">
            <v>10.117.199.193</v>
          </cell>
          <cell r="Q1628" t="str">
            <v>/27</v>
          </cell>
          <cell r="R1628">
            <v>824</v>
          </cell>
        </row>
        <row r="1629">
          <cell r="E1629" t="str">
            <v>ET369</v>
          </cell>
          <cell r="G1629" t="str">
            <v>10.117.193.208</v>
          </cell>
          <cell r="H1629" t="str">
            <v>10.117.193.193</v>
          </cell>
          <cell r="I1629" t="str">
            <v>/27</v>
          </cell>
          <cell r="J1629">
            <v>804</v>
          </cell>
          <cell r="K1629" t="str">
            <v>10.117.196.208</v>
          </cell>
          <cell r="L1629" t="str">
            <v>10.117.196.193</v>
          </cell>
          <cell r="M1629" t="str">
            <v>/27</v>
          </cell>
          <cell r="N1629">
            <v>814</v>
          </cell>
          <cell r="O1629" t="str">
            <v>10.117.199.208</v>
          </cell>
          <cell r="P1629" t="str">
            <v>10.117.199.193</v>
          </cell>
          <cell r="Q1629" t="str">
            <v>/27</v>
          </cell>
          <cell r="R1629">
            <v>824</v>
          </cell>
        </row>
        <row r="1630">
          <cell r="E1630" t="str">
            <v>ET369</v>
          </cell>
          <cell r="G1630" t="str">
            <v>10.117.193.209</v>
          </cell>
          <cell r="H1630" t="str">
            <v>10.117.193.193</v>
          </cell>
          <cell r="I1630" t="str">
            <v>/27</v>
          </cell>
          <cell r="J1630">
            <v>804</v>
          </cell>
          <cell r="K1630" t="str">
            <v>10.117.196.209</v>
          </cell>
          <cell r="L1630" t="str">
            <v>10.117.196.193</v>
          </cell>
          <cell r="M1630" t="str">
            <v>/27</v>
          </cell>
          <cell r="N1630">
            <v>814</v>
          </cell>
          <cell r="O1630" t="str">
            <v>10.117.199.209</v>
          </cell>
          <cell r="P1630" t="str">
            <v>10.117.199.193</v>
          </cell>
          <cell r="Q1630" t="str">
            <v>/27</v>
          </cell>
          <cell r="R1630">
            <v>824</v>
          </cell>
        </row>
        <row r="1631">
          <cell r="E1631" t="str">
            <v>ET369</v>
          </cell>
          <cell r="G1631" t="str">
            <v>10.117.193.210</v>
          </cell>
          <cell r="H1631" t="str">
            <v>10.117.193.193</v>
          </cell>
          <cell r="I1631" t="str">
            <v>/27</v>
          </cell>
          <cell r="J1631">
            <v>804</v>
          </cell>
          <cell r="K1631" t="str">
            <v>10.117.196.210</v>
          </cell>
          <cell r="L1631" t="str">
            <v>10.117.196.193</v>
          </cell>
          <cell r="M1631" t="str">
            <v>/27</v>
          </cell>
          <cell r="N1631">
            <v>814</v>
          </cell>
          <cell r="O1631" t="str">
            <v>10.117.199.210</v>
          </cell>
          <cell r="P1631" t="str">
            <v>10.117.199.193</v>
          </cell>
          <cell r="Q1631" t="str">
            <v>/27</v>
          </cell>
          <cell r="R1631">
            <v>824</v>
          </cell>
        </row>
        <row r="1632">
          <cell r="E1632" t="str">
            <v>ET369</v>
          </cell>
          <cell r="G1632" t="str">
            <v>10.117.193.211</v>
          </cell>
          <cell r="H1632" t="str">
            <v>10.117.193.193</v>
          </cell>
          <cell r="I1632" t="str">
            <v>/27</v>
          </cell>
          <cell r="J1632">
            <v>804</v>
          </cell>
          <cell r="K1632" t="str">
            <v>10.117.196.211</v>
          </cell>
          <cell r="L1632" t="str">
            <v>10.117.196.193</v>
          </cell>
          <cell r="M1632" t="str">
            <v>/27</v>
          </cell>
          <cell r="N1632">
            <v>814</v>
          </cell>
          <cell r="O1632" t="str">
            <v>10.117.199.211</v>
          </cell>
          <cell r="P1632" t="str">
            <v>10.117.199.193</v>
          </cell>
          <cell r="Q1632" t="str">
            <v>/27</v>
          </cell>
          <cell r="R1632">
            <v>824</v>
          </cell>
        </row>
        <row r="1633">
          <cell r="E1633" t="str">
            <v>ET369</v>
          </cell>
          <cell r="G1633" t="str">
            <v>10.117.193.212</v>
          </cell>
          <cell r="H1633" t="str">
            <v>10.117.193.193</v>
          </cell>
          <cell r="I1633" t="str">
            <v>/27</v>
          </cell>
          <cell r="J1633">
            <v>804</v>
          </cell>
          <cell r="K1633" t="str">
            <v>10.117.196.212</v>
          </cell>
          <cell r="L1633" t="str">
            <v>10.117.196.193</v>
          </cell>
          <cell r="M1633" t="str">
            <v>/27</v>
          </cell>
          <cell r="N1633">
            <v>814</v>
          </cell>
          <cell r="O1633" t="str">
            <v>10.117.199.212</v>
          </cell>
          <cell r="P1633" t="str">
            <v>10.117.199.193</v>
          </cell>
          <cell r="Q1633" t="str">
            <v>/27</v>
          </cell>
          <cell r="R1633">
            <v>824</v>
          </cell>
        </row>
        <row r="1634">
          <cell r="E1634" t="str">
            <v>ET369</v>
          </cell>
          <cell r="G1634" t="str">
            <v>10.117.193.213</v>
          </cell>
          <cell r="H1634" t="str">
            <v>10.117.193.193</v>
          </cell>
          <cell r="I1634" t="str">
            <v>/27</v>
          </cell>
          <cell r="J1634">
            <v>804</v>
          </cell>
          <cell r="K1634" t="str">
            <v>10.117.196.213</v>
          </cell>
          <cell r="L1634" t="str">
            <v>10.117.196.193</v>
          </cell>
          <cell r="M1634" t="str">
            <v>/27</v>
          </cell>
          <cell r="N1634">
            <v>814</v>
          </cell>
          <cell r="O1634" t="str">
            <v>10.117.199.213</v>
          </cell>
          <cell r="P1634" t="str">
            <v>10.117.199.193</v>
          </cell>
          <cell r="Q1634" t="str">
            <v>/27</v>
          </cell>
          <cell r="R1634">
            <v>824</v>
          </cell>
        </row>
        <row r="1635">
          <cell r="E1635" t="str">
            <v>ET369</v>
          </cell>
          <cell r="G1635" t="str">
            <v>10.117.193.214</v>
          </cell>
          <cell r="H1635" t="str">
            <v>10.117.193.193</v>
          </cell>
          <cell r="I1635" t="str">
            <v>/27</v>
          </cell>
          <cell r="J1635">
            <v>804</v>
          </cell>
          <cell r="K1635" t="str">
            <v>10.117.196.214</v>
          </cell>
          <cell r="L1635" t="str">
            <v>10.117.196.193</v>
          </cell>
          <cell r="M1635" t="str">
            <v>/27</v>
          </cell>
          <cell r="N1635">
            <v>814</v>
          </cell>
          <cell r="O1635" t="str">
            <v>10.117.199.214</v>
          </cell>
          <cell r="P1635" t="str">
            <v>10.117.199.193</v>
          </cell>
          <cell r="Q1635" t="str">
            <v>/27</v>
          </cell>
          <cell r="R1635">
            <v>824</v>
          </cell>
        </row>
        <row r="1636">
          <cell r="E1636" t="str">
            <v>ET369</v>
          </cell>
          <cell r="G1636" t="str">
            <v>10.117.193.215</v>
          </cell>
          <cell r="H1636" t="str">
            <v>10.117.193.193</v>
          </cell>
          <cell r="I1636" t="str">
            <v>/27</v>
          </cell>
          <cell r="J1636">
            <v>804</v>
          </cell>
          <cell r="K1636" t="str">
            <v>10.117.196.215</v>
          </cell>
          <cell r="L1636" t="str">
            <v>10.117.196.193</v>
          </cell>
          <cell r="M1636" t="str">
            <v>/27</v>
          </cell>
          <cell r="N1636">
            <v>814</v>
          </cell>
          <cell r="O1636" t="str">
            <v>10.117.199.215</v>
          </cell>
          <cell r="P1636" t="str">
            <v>10.117.199.193</v>
          </cell>
          <cell r="Q1636" t="str">
            <v>/27</v>
          </cell>
          <cell r="R1636">
            <v>824</v>
          </cell>
        </row>
        <row r="1637">
          <cell r="E1637" t="str">
            <v>ET369</v>
          </cell>
          <cell r="G1637" t="str">
            <v>10.117.193.216</v>
          </cell>
          <cell r="H1637" t="str">
            <v>10.117.193.193</v>
          </cell>
          <cell r="I1637" t="str">
            <v>/27</v>
          </cell>
          <cell r="J1637">
            <v>804</v>
          </cell>
          <cell r="K1637" t="str">
            <v>10.117.196.216</v>
          </cell>
          <cell r="L1637" t="str">
            <v>10.117.196.193</v>
          </cell>
          <cell r="M1637" t="str">
            <v>/27</v>
          </cell>
          <cell r="N1637">
            <v>814</v>
          </cell>
          <cell r="O1637" t="str">
            <v>10.117.199.216</v>
          </cell>
          <cell r="P1637" t="str">
            <v>10.117.199.193</v>
          </cell>
          <cell r="Q1637" t="str">
            <v>/27</v>
          </cell>
          <cell r="R1637">
            <v>824</v>
          </cell>
        </row>
        <row r="1638">
          <cell r="E1638" t="str">
            <v>ET369</v>
          </cell>
          <cell r="G1638" t="str">
            <v>10.117.193.217</v>
          </cell>
          <cell r="H1638" t="str">
            <v>10.117.193.193</v>
          </cell>
          <cell r="I1638" t="str">
            <v>/27</v>
          </cell>
          <cell r="J1638">
            <v>804</v>
          </cell>
          <cell r="K1638" t="str">
            <v>10.117.196.217</v>
          </cell>
          <cell r="L1638" t="str">
            <v>10.117.196.193</v>
          </cell>
          <cell r="M1638" t="str">
            <v>/27</v>
          </cell>
          <cell r="N1638">
            <v>814</v>
          </cell>
          <cell r="O1638" t="str">
            <v>10.117.199.217</v>
          </cell>
          <cell r="P1638" t="str">
            <v>10.117.199.193</v>
          </cell>
          <cell r="Q1638" t="str">
            <v>/27</v>
          </cell>
          <cell r="R1638">
            <v>824</v>
          </cell>
        </row>
        <row r="1639">
          <cell r="E1639" t="str">
            <v>ET369</v>
          </cell>
          <cell r="G1639" t="str">
            <v>10.117.193.218</v>
          </cell>
          <cell r="H1639" t="str">
            <v>10.117.193.193</v>
          </cell>
          <cell r="I1639" t="str">
            <v>/27</v>
          </cell>
          <cell r="J1639">
            <v>804</v>
          </cell>
          <cell r="K1639" t="str">
            <v>10.117.196.218</v>
          </cell>
          <cell r="L1639" t="str">
            <v>10.117.196.193</v>
          </cell>
          <cell r="M1639" t="str">
            <v>/27</v>
          </cell>
          <cell r="N1639">
            <v>814</v>
          </cell>
          <cell r="O1639" t="str">
            <v>10.117.199.218</v>
          </cell>
          <cell r="P1639" t="str">
            <v>10.117.199.193</v>
          </cell>
          <cell r="Q1639" t="str">
            <v>/27</v>
          </cell>
          <cell r="R1639">
            <v>824</v>
          </cell>
        </row>
        <row r="1640">
          <cell r="E1640" t="str">
            <v>ET369</v>
          </cell>
          <cell r="G1640" t="str">
            <v>10.117.193.219</v>
          </cell>
          <cell r="H1640" t="str">
            <v>10.117.193.193</v>
          </cell>
          <cell r="I1640" t="str">
            <v>/27</v>
          </cell>
          <cell r="J1640">
            <v>804</v>
          </cell>
          <cell r="K1640" t="str">
            <v>10.117.196.219</v>
          </cell>
          <cell r="L1640" t="str">
            <v>10.117.196.193</v>
          </cell>
          <cell r="M1640" t="str">
            <v>/27</v>
          </cell>
          <cell r="N1640">
            <v>814</v>
          </cell>
          <cell r="O1640" t="str">
            <v>10.117.199.219</v>
          </cell>
          <cell r="P1640" t="str">
            <v>10.117.199.193</v>
          </cell>
          <cell r="Q1640" t="str">
            <v>/27</v>
          </cell>
          <cell r="R1640">
            <v>824</v>
          </cell>
        </row>
        <row r="1641">
          <cell r="E1641" t="str">
            <v>ET369</v>
          </cell>
          <cell r="G1641" t="str">
            <v>10.117.193.220</v>
          </cell>
          <cell r="H1641" t="str">
            <v>10.117.193.193</v>
          </cell>
          <cell r="I1641" t="str">
            <v>/27</v>
          </cell>
          <cell r="J1641">
            <v>804</v>
          </cell>
          <cell r="K1641" t="str">
            <v>10.117.196.220</v>
          </cell>
          <cell r="L1641" t="str">
            <v>10.117.196.193</v>
          </cell>
          <cell r="M1641" t="str">
            <v>/27</v>
          </cell>
          <cell r="N1641">
            <v>814</v>
          </cell>
          <cell r="O1641" t="str">
            <v>10.117.199.220</v>
          </cell>
          <cell r="P1641" t="str">
            <v>10.117.199.193</v>
          </cell>
          <cell r="Q1641" t="str">
            <v>/27</v>
          </cell>
          <cell r="R1641">
            <v>824</v>
          </cell>
        </row>
        <row r="1642">
          <cell r="E1642" t="str">
            <v>ET369</v>
          </cell>
          <cell r="G1642" t="str">
            <v>10.117.193.221</v>
          </cell>
          <cell r="H1642" t="str">
            <v>10.117.193.193</v>
          </cell>
          <cell r="I1642" t="str">
            <v>/27</v>
          </cell>
          <cell r="J1642">
            <v>804</v>
          </cell>
          <cell r="K1642" t="str">
            <v>10.117.196.221</v>
          </cell>
          <cell r="L1642" t="str">
            <v>10.117.196.193</v>
          </cell>
          <cell r="M1642" t="str">
            <v>/27</v>
          </cell>
          <cell r="N1642">
            <v>814</v>
          </cell>
          <cell r="O1642" t="str">
            <v>10.117.199.221</v>
          </cell>
          <cell r="P1642" t="str">
            <v>10.117.199.193</v>
          </cell>
          <cell r="Q1642" t="str">
            <v>/27</v>
          </cell>
          <cell r="R1642">
            <v>824</v>
          </cell>
        </row>
        <row r="1643">
          <cell r="E1643" t="str">
            <v>ET369</v>
          </cell>
          <cell r="G1643" t="str">
            <v>10.117.193.222</v>
          </cell>
          <cell r="H1643" t="str">
            <v>10.117.193.193</v>
          </cell>
          <cell r="I1643" t="str">
            <v>/27</v>
          </cell>
          <cell r="J1643">
            <v>804</v>
          </cell>
          <cell r="K1643" t="str">
            <v>10.117.196.222</v>
          </cell>
          <cell r="L1643" t="str">
            <v>10.117.196.193</v>
          </cell>
          <cell r="M1643" t="str">
            <v>/27</v>
          </cell>
          <cell r="N1643">
            <v>814</v>
          </cell>
          <cell r="O1643" t="str">
            <v>10.117.199.222</v>
          </cell>
          <cell r="P1643" t="str">
            <v>10.117.199.193</v>
          </cell>
          <cell r="Q1643" t="str">
            <v>/27</v>
          </cell>
          <cell r="R1643">
            <v>824</v>
          </cell>
        </row>
        <row r="1644">
          <cell r="E1644" t="str">
            <v>ET369</v>
          </cell>
          <cell r="G1644" t="str">
            <v>10.117.193.223</v>
          </cell>
          <cell r="H1644" t="str">
            <v>10.117.193.193</v>
          </cell>
          <cell r="I1644" t="str">
            <v>/27</v>
          </cell>
          <cell r="J1644">
            <v>804</v>
          </cell>
          <cell r="K1644" t="str">
            <v>10.117.196.223</v>
          </cell>
          <cell r="L1644" t="str">
            <v>10.117.196.193</v>
          </cell>
          <cell r="M1644" t="str">
            <v>/27</v>
          </cell>
          <cell r="N1644">
            <v>814</v>
          </cell>
          <cell r="O1644" t="str">
            <v>10.117.199.223</v>
          </cell>
          <cell r="P1644" t="str">
            <v>10.117.199.193</v>
          </cell>
          <cell r="Q1644" t="str">
            <v>/27</v>
          </cell>
          <cell r="R1644">
            <v>824</v>
          </cell>
        </row>
        <row r="1645">
          <cell r="E1645" t="str">
            <v>AC163</v>
          </cell>
          <cell r="G1645" t="str">
            <v>10.117.193.96</v>
          </cell>
          <cell r="H1645" t="str">
            <v>10.117.193.97</v>
          </cell>
          <cell r="I1645" t="str">
            <v>/28</v>
          </cell>
          <cell r="J1645">
            <v>800</v>
          </cell>
          <cell r="K1645" t="str">
            <v>10.117.196.96</v>
          </cell>
          <cell r="L1645" t="str">
            <v>10.117.196.97</v>
          </cell>
          <cell r="M1645" t="str">
            <v>/28</v>
          </cell>
          <cell r="N1645">
            <v>810</v>
          </cell>
          <cell r="O1645" t="str">
            <v>10.117.199.96</v>
          </cell>
          <cell r="P1645" t="str">
            <v>10.117.199.97</v>
          </cell>
          <cell r="Q1645" t="str">
            <v>/28</v>
          </cell>
          <cell r="R1645">
            <v>820</v>
          </cell>
        </row>
        <row r="1646">
          <cell r="E1646" t="str">
            <v>AC163</v>
          </cell>
          <cell r="G1646" t="str">
            <v>10.117.193.97</v>
          </cell>
          <cell r="H1646" t="str">
            <v>10.117.193.97</v>
          </cell>
          <cell r="I1646" t="str">
            <v>/28</v>
          </cell>
          <cell r="J1646">
            <v>800</v>
          </cell>
          <cell r="K1646" t="str">
            <v>10.117.196.97</v>
          </cell>
          <cell r="L1646" t="str">
            <v>10.117.196.97</v>
          </cell>
          <cell r="M1646" t="str">
            <v>/28</v>
          </cell>
          <cell r="N1646">
            <v>810</v>
          </cell>
          <cell r="O1646" t="str">
            <v>10.117.199.97</v>
          </cell>
          <cell r="P1646" t="str">
            <v>10.117.199.97</v>
          </cell>
          <cell r="Q1646" t="str">
            <v>/28</v>
          </cell>
          <cell r="R1646">
            <v>820</v>
          </cell>
        </row>
        <row r="1647">
          <cell r="E1647" t="str">
            <v>AC163</v>
          </cell>
          <cell r="G1647" t="str">
            <v>10.117.193.98</v>
          </cell>
          <cell r="H1647" t="str">
            <v>10.117.193.97</v>
          </cell>
          <cell r="I1647" t="str">
            <v>/28</v>
          </cell>
          <cell r="J1647">
            <v>800</v>
          </cell>
          <cell r="K1647" t="str">
            <v>10.117.196.98</v>
          </cell>
          <cell r="L1647" t="str">
            <v>10.117.196.97</v>
          </cell>
          <cell r="M1647" t="str">
            <v>/28</v>
          </cell>
          <cell r="N1647">
            <v>810</v>
          </cell>
          <cell r="O1647" t="str">
            <v>10.117.199.98</v>
          </cell>
          <cell r="P1647" t="str">
            <v>10.117.199.97</v>
          </cell>
          <cell r="Q1647" t="str">
            <v>/28</v>
          </cell>
          <cell r="R1647">
            <v>820</v>
          </cell>
        </row>
        <row r="1648">
          <cell r="E1648" t="str">
            <v>AC163</v>
          </cell>
          <cell r="G1648" t="str">
            <v>10.117.193.99</v>
          </cell>
          <cell r="H1648" t="str">
            <v>10.117.193.97</v>
          </cell>
          <cell r="I1648" t="str">
            <v>/28</v>
          </cell>
          <cell r="J1648">
            <v>800</v>
          </cell>
          <cell r="K1648" t="str">
            <v>10.117.196.99</v>
          </cell>
          <cell r="L1648" t="str">
            <v>10.117.196.97</v>
          </cell>
          <cell r="M1648" t="str">
            <v>/28</v>
          </cell>
          <cell r="N1648">
            <v>810</v>
          </cell>
          <cell r="O1648" t="str">
            <v>10.117.199.99</v>
          </cell>
          <cell r="P1648" t="str">
            <v>10.117.199.97</v>
          </cell>
          <cell r="Q1648" t="str">
            <v>/28</v>
          </cell>
          <cell r="R1648">
            <v>820</v>
          </cell>
        </row>
        <row r="1649">
          <cell r="E1649" t="str">
            <v>AC163</v>
          </cell>
          <cell r="F1649" t="str">
            <v>AC163</v>
          </cell>
          <cell r="G1649" t="str">
            <v>10.117.193.100</v>
          </cell>
          <cell r="H1649" t="str">
            <v>10.117.193.97</v>
          </cell>
          <cell r="I1649" t="str">
            <v>/28</v>
          </cell>
          <cell r="J1649">
            <v>800</v>
          </cell>
          <cell r="K1649" t="str">
            <v>10.117.196.100</v>
          </cell>
          <cell r="L1649" t="str">
            <v>10.117.196.97</v>
          </cell>
          <cell r="M1649" t="str">
            <v>/28</v>
          </cell>
          <cell r="N1649">
            <v>810</v>
          </cell>
          <cell r="O1649" t="str">
            <v>10.117.199.100</v>
          </cell>
          <cell r="P1649" t="str">
            <v>10.117.199.97</v>
          </cell>
          <cell r="Q1649" t="str">
            <v>/28</v>
          </cell>
          <cell r="R1649">
            <v>820</v>
          </cell>
        </row>
        <row r="1650">
          <cell r="E1650" t="str">
            <v>AC163</v>
          </cell>
          <cell r="G1650" t="str">
            <v>10.117.193.101</v>
          </cell>
          <cell r="H1650" t="str">
            <v>10.117.193.97</v>
          </cell>
          <cell r="I1650" t="str">
            <v>/28</v>
          </cell>
          <cell r="J1650">
            <v>800</v>
          </cell>
          <cell r="K1650" t="str">
            <v>10.117.196.101</v>
          </cell>
          <cell r="L1650" t="str">
            <v>10.117.196.97</v>
          </cell>
          <cell r="M1650" t="str">
            <v>/28</v>
          </cell>
          <cell r="N1650">
            <v>810</v>
          </cell>
          <cell r="O1650" t="str">
            <v>10.117.199.101</v>
          </cell>
          <cell r="P1650" t="str">
            <v>10.117.199.97</v>
          </cell>
          <cell r="Q1650" t="str">
            <v>/28</v>
          </cell>
          <cell r="R1650">
            <v>820</v>
          </cell>
        </row>
        <row r="1651">
          <cell r="E1651" t="str">
            <v>AC163</v>
          </cell>
          <cell r="F1651" t="str">
            <v>ET583</v>
          </cell>
          <cell r="G1651" t="str">
            <v>10.117.193.102</v>
          </cell>
          <cell r="H1651" t="str">
            <v>10.117.193.97</v>
          </cell>
          <cell r="I1651" t="str">
            <v>/28</v>
          </cell>
          <cell r="J1651">
            <v>800</v>
          </cell>
          <cell r="K1651" t="str">
            <v>10.117.196.102</v>
          </cell>
          <cell r="L1651" t="str">
            <v>10.117.196.97</v>
          </cell>
          <cell r="M1651" t="str">
            <v>/28</v>
          </cell>
          <cell r="N1651">
            <v>810</v>
          </cell>
          <cell r="O1651" t="str">
            <v>10.117.199.102</v>
          </cell>
          <cell r="P1651" t="str">
            <v>10.117.199.97</v>
          </cell>
          <cell r="Q1651" t="str">
            <v>/28</v>
          </cell>
          <cell r="R1651">
            <v>820</v>
          </cell>
        </row>
        <row r="1652">
          <cell r="E1652" t="str">
            <v>AC163</v>
          </cell>
          <cell r="F1652" t="str">
            <v>ET583</v>
          </cell>
          <cell r="G1652" t="str">
            <v>10.117.193.103</v>
          </cell>
          <cell r="H1652" t="str">
            <v>10.117.193.97</v>
          </cell>
          <cell r="I1652" t="str">
            <v>/28</v>
          </cell>
          <cell r="J1652">
            <v>800</v>
          </cell>
          <cell r="K1652" t="str">
            <v>10.117.196.103</v>
          </cell>
          <cell r="L1652" t="str">
            <v>10.117.196.97</v>
          </cell>
          <cell r="M1652" t="str">
            <v>/28</v>
          </cell>
          <cell r="N1652">
            <v>810</v>
          </cell>
          <cell r="O1652" t="str">
            <v>10.117.199.103</v>
          </cell>
          <cell r="P1652" t="str">
            <v>10.117.199.97</v>
          </cell>
          <cell r="Q1652" t="str">
            <v>/28</v>
          </cell>
          <cell r="R1652">
            <v>820</v>
          </cell>
        </row>
        <row r="1653">
          <cell r="E1653" t="str">
            <v>AC163</v>
          </cell>
          <cell r="F1653" t="str">
            <v>ET554</v>
          </cell>
          <cell r="G1653" t="str">
            <v>10.117.193.104</v>
          </cell>
          <cell r="H1653" t="str">
            <v>10.117.193.97</v>
          </cell>
          <cell r="I1653" t="str">
            <v>/28</v>
          </cell>
          <cell r="J1653">
            <v>800</v>
          </cell>
          <cell r="K1653" t="str">
            <v>10.117.196.104</v>
          </cell>
          <cell r="L1653" t="str">
            <v>10.117.196.97</v>
          </cell>
          <cell r="M1653" t="str">
            <v>/28</v>
          </cell>
          <cell r="N1653">
            <v>810</v>
          </cell>
          <cell r="O1653" t="str">
            <v>10.117.199.104</v>
          </cell>
          <cell r="P1653" t="str">
            <v>10.117.199.97</v>
          </cell>
          <cell r="Q1653" t="str">
            <v>/28</v>
          </cell>
          <cell r="R1653">
            <v>820</v>
          </cell>
        </row>
        <row r="1654">
          <cell r="E1654" t="str">
            <v>AC163</v>
          </cell>
          <cell r="F1654" t="str">
            <v>ET554</v>
          </cell>
          <cell r="G1654" t="str">
            <v>10.117.193.105</v>
          </cell>
          <cell r="H1654" t="str">
            <v>10.117.193.97</v>
          </cell>
          <cell r="I1654" t="str">
            <v>/28</v>
          </cell>
          <cell r="J1654">
            <v>800</v>
          </cell>
          <cell r="K1654" t="str">
            <v>10.117.196.105</v>
          </cell>
          <cell r="L1654" t="str">
            <v>10.117.196.97</v>
          </cell>
          <cell r="M1654" t="str">
            <v>/28</v>
          </cell>
          <cell r="N1654">
            <v>810</v>
          </cell>
          <cell r="O1654" t="str">
            <v>10.117.199.105</v>
          </cell>
          <cell r="P1654" t="str">
            <v>10.117.199.97</v>
          </cell>
          <cell r="Q1654" t="str">
            <v>/28</v>
          </cell>
          <cell r="R1654">
            <v>820</v>
          </cell>
        </row>
        <row r="1655">
          <cell r="E1655" t="str">
            <v>AC163</v>
          </cell>
          <cell r="G1655" t="str">
            <v>10.117.193.106</v>
          </cell>
          <cell r="H1655" t="str">
            <v>10.117.193.97</v>
          </cell>
          <cell r="I1655" t="str">
            <v>/28</v>
          </cell>
          <cell r="J1655">
            <v>800</v>
          </cell>
          <cell r="K1655" t="str">
            <v>10.117.196.106</v>
          </cell>
          <cell r="L1655" t="str">
            <v>10.117.196.97</v>
          </cell>
          <cell r="M1655" t="str">
            <v>/28</v>
          </cell>
          <cell r="N1655">
            <v>810</v>
          </cell>
          <cell r="O1655" t="str">
            <v>10.117.199.106</v>
          </cell>
          <cell r="P1655" t="str">
            <v>10.117.199.97</v>
          </cell>
          <cell r="Q1655" t="str">
            <v>/28</v>
          </cell>
          <cell r="R1655">
            <v>820</v>
          </cell>
        </row>
        <row r="1656">
          <cell r="E1656" t="str">
            <v>AC163</v>
          </cell>
          <cell r="G1656" t="str">
            <v>10.117.193.107</v>
          </cell>
          <cell r="H1656" t="str">
            <v>10.117.193.97</v>
          </cell>
          <cell r="I1656" t="str">
            <v>/28</v>
          </cell>
          <cell r="J1656">
            <v>800</v>
          </cell>
          <cell r="K1656" t="str">
            <v>10.117.196.107</v>
          </cell>
          <cell r="L1656" t="str">
            <v>10.117.196.97</v>
          </cell>
          <cell r="M1656" t="str">
            <v>/28</v>
          </cell>
          <cell r="N1656">
            <v>810</v>
          </cell>
          <cell r="O1656" t="str">
            <v>10.117.199.107</v>
          </cell>
          <cell r="P1656" t="str">
            <v>10.117.199.97</v>
          </cell>
          <cell r="Q1656" t="str">
            <v>/28</v>
          </cell>
          <cell r="R1656">
            <v>820</v>
          </cell>
        </row>
        <row r="1657">
          <cell r="E1657" t="str">
            <v>AC163</v>
          </cell>
          <cell r="G1657" t="str">
            <v>10.117.193.108</v>
          </cell>
          <cell r="H1657" t="str">
            <v>10.117.193.97</v>
          </cell>
          <cell r="I1657" t="str">
            <v>/28</v>
          </cell>
          <cell r="J1657">
            <v>800</v>
          </cell>
          <cell r="K1657" t="str">
            <v>10.117.196.108</v>
          </cell>
          <cell r="L1657" t="str">
            <v>10.117.196.97</v>
          </cell>
          <cell r="M1657" t="str">
            <v>/28</v>
          </cell>
          <cell r="N1657">
            <v>810</v>
          </cell>
          <cell r="O1657" t="str">
            <v>10.117.199.108</v>
          </cell>
          <cell r="P1657" t="str">
            <v>10.117.199.97</v>
          </cell>
          <cell r="Q1657" t="str">
            <v>/28</v>
          </cell>
          <cell r="R1657">
            <v>820</v>
          </cell>
        </row>
        <row r="1658">
          <cell r="E1658" t="str">
            <v>AC163</v>
          </cell>
          <cell r="G1658" t="str">
            <v>10.117.193.109</v>
          </cell>
          <cell r="H1658" t="str">
            <v>10.117.193.97</v>
          </cell>
          <cell r="I1658" t="str">
            <v>/28</v>
          </cell>
          <cell r="J1658">
            <v>800</v>
          </cell>
          <cell r="K1658" t="str">
            <v>10.117.196.109</v>
          </cell>
          <cell r="L1658" t="str">
            <v>10.117.196.97</v>
          </cell>
          <cell r="M1658" t="str">
            <v>/28</v>
          </cell>
          <cell r="N1658">
            <v>810</v>
          </cell>
          <cell r="O1658" t="str">
            <v>10.117.199.109</v>
          </cell>
          <cell r="P1658" t="str">
            <v>10.117.199.97</v>
          </cell>
          <cell r="Q1658" t="str">
            <v>/28</v>
          </cell>
          <cell r="R1658">
            <v>820</v>
          </cell>
        </row>
        <row r="1659">
          <cell r="E1659" t="str">
            <v>AC163</v>
          </cell>
          <cell r="G1659" t="str">
            <v>10.117.193.110</v>
          </cell>
          <cell r="H1659" t="str">
            <v>10.117.193.97</v>
          </cell>
          <cell r="I1659" t="str">
            <v>/28</v>
          </cell>
          <cell r="J1659">
            <v>800</v>
          </cell>
          <cell r="K1659" t="str">
            <v>10.117.196.110</v>
          </cell>
          <cell r="L1659" t="str">
            <v>10.117.196.97</v>
          </cell>
          <cell r="M1659" t="str">
            <v>/28</v>
          </cell>
          <cell r="N1659">
            <v>810</v>
          </cell>
          <cell r="O1659" t="str">
            <v>10.117.199.110</v>
          </cell>
          <cell r="P1659" t="str">
            <v>10.117.199.97</v>
          </cell>
          <cell r="Q1659" t="str">
            <v>/28</v>
          </cell>
          <cell r="R1659">
            <v>820</v>
          </cell>
        </row>
        <row r="1660">
          <cell r="E1660" t="str">
            <v>AC163</v>
          </cell>
          <cell r="G1660" t="str">
            <v>10.117.193.111</v>
          </cell>
          <cell r="H1660" t="str">
            <v>10.117.193.97</v>
          </cell>
          <cell r="I1660" t="str">
            <v>/28</v>
          </cell>
          <cell r="J1660">
            <v>800</v>
          </cell>
          <cell r="K1660" t="str">
            <v>10.117.196.111</v>
          </cell>
          <cell r="L1660" t="str">
            <v>10.117.196.97</v>
          </cell>
          <cell r="M1660" t="str">
            <v>/28</v>
          </cell>
          <cell r="N1660">
            <v>810</v>
          </cell>
          <cell r="O1660" t="str">
            <v>10.117.199.111</v>
          </cell>
          <cell r="P1660" t="str">
            <v>10.117.199.97</v>
          </cell>
          <cell r="Q1660" t="str">
            <v>/28</v>
          </cell>
          <cell r="R1660">
            <v>820</v>
          </cell>
        </row>
        <row r="1661">
          <cell r="E1661" t="str">
            <v>AC218</v>
          </cell>
          <cell r="G1661" t="str">
            <v>10.187.209.128</v>
          </cell>
          <cell r="H1661" t="str">
            <v>10.187.209.129</v>
          </cell>
          <cell r="I1661" t="str">
            <v>/27</v>
          </cell>
          <cell r="J1661">
            <v>804</v>
          </cell>
          <cell r="K1661" t="str">
            <v>10.187.209.160</v>
          </cell>
          <cell r="L1661" t="str">
            <v>10.187.209.161</v>
          </cell>
          <cell r="M1661" t="str">
            <v>/27</v>
          </cell>
          <cell r="N1661">
            <v>814</v>
          </cell>
          <cell r="O1661" t="str">
            <v>10.187.209.192</v>
          </cell>
          <cell r="P1661" t="str">
            <v>10.187.209.193</v>
          </cell>
          <cell r="Q1661" t="str">
            <v>/27</v>
          </cell>
          <cell r="R1661">
            <v>824</v>
          </cell>
        </row>
        <row r="1662">
          <cell r="E1662" t="str">
            <v>AC218</v>
          </cell>
          <cell r="G1662" t="str">
            <v>10.187.209.129</v>
          </cell>
          <cell r="H1662" t="str">
            <v>10.187.209.129</v>
          </cell>
          <cell r="I1662" t="str">
            <v>/27</v>
          </cell>
          <cell r="J1662">
            <v>804</v>
          </cell>
          <cell r="K1662" t="str">
            <v>10.187.209.161</v>
          </cell>
          <cell r="L1662" t="str">
            <v>10.187.209.161</v>
          </cell>
          <cell r="M1662" t="str">
            <v>/27</v>
          </cell>
          <cell r="N1662">
            <v>814</v>
          </cell>
          <cell r="O1662" t="str">
            <v>10.187.209.193</v>
          </cell>
          <cell r="P1662" t="str">
            <v>10.187.209.193</v>
          </cell>
          <cell r="Q1662" t="str">
            <v>/27</v>
          </cell>
          <cell r="R1662">
            <v>824</v>
          </cell>
        </row>
        <row r="1663">
          <cell r="E1663" t="str">
            <v>AC218</v>
          </cell>
          <cell r="G1663" t="str">
            <v>10.187.209.130</v>
          </cell>
          <cell r="H1663" t="str">
            <v>10.187.209.129</v>
          </cell>
          <cell r="I1663" t="str">
            <v>/27</v>
          </cell>
          <cell r="J1663">
            <v>804</v>
          </cell>
          <cell r="K1663" t="str">
            <v>10.187.209.162</v>
          </cell>
          <cell r="L1663" t="str">
            <v>10.187.209.161</v>
          </cell>
          <cell r="M1663" t="str">
            <v>/27</v>
          </cell>
          <cell r="N1663">
            <v>814</v>
          </cell>
          <cell r="O1663" t="str">
            <v>10.187.209.194</v>
          </cell>
          <cell r="P1663" t="str">
            <v>10.187.209.193</v>
          </cell>
          <cell r="Q1663" t="str">
            <v>/27</v>
          </cell>
          <cell r="R1663">
            <v>824</v>
          </cell>
        </row>
        <row r="1664">
          <cell r="E1664" t="str">
            <v>AC218</v>
          </cell>
          <cell r="G1664" t="str">
            <v>10.187.209.131</v>
          </cell>
          <cell r="H1664" t="str">
            <v>10.187.209.129</v>
          </cell>
          <cell r="I1664" t="str">
            <v>/27</v>
          </cell>
          <cell r="J1664">
            <v>804</v>
          </cell>
          <cell r="K1664" t="str">
            <v>10.187.209.163</v>
          </cell>
          <cell r="L1664" t="str">
            <v>10.187.209.161</v>
          </cell>
          <cell r="M1664" t="str">
            <v>/27</v>
          </cell>
          <cell r="N1664">
            <v>814</v>
          </cell>
          <cell r="O1664" t="str">
            <v>10.187.209.195</v>
          </cell>
          <cell r="P1664" t="str">
            <v>10.187.209.193</v>
          </cell>
          <cell r="Q1664" t="str">
            <v>/27</v>
          </cell>
          <cell r="R1664">
            <v>824</v>
          </cell>
        </row>
        <row r="1665">
          <cell r="E1665" t="str">
            <v>AC218</v>
          </cell>
          <cell r="F1665" t="str">
            <v>AC218</v>
          </cell>
          <cell r="G1665" t="str">
            <v>10.187.209.132</v>
          </cell>
          <cell r="H1665" t="str">
            <v>10.187.209.129</v>
          </cell>
          <cell r="I1665" t="str">
            <v>/27</v>
          </cell>
          <cell r="J1665">
            <v>804</v>
          </cell>
          <cell r="K1665" t="str">
            <v>10.187.209.164</v>
          </cell>
          <cell r="L1665" t="str">
            <v>10.187.209.161</v>
          </cell>
          <cell r="M1665" t="str">
            <v>/27</v>
          </cell>
          <cell r="N1665">
            <v>814</v>
          </cell>
          <cell r="O1665" t="str">
            <v>10.187.209.196</v>
          </cell>
          <cell r="P1665" t="str">
            <v>10.187.209.193</v>
          </cell>
          <cell r="Q1665" t="str">
            <v>/27</v>
          </cell>
          <cell r="R1665">
            <v>824</v>
          </cell>
        </row>
        <row r="1666">
          <cell r="E1666" t="str">
            <v>AC218</v>
          </cell>
          <cell r="F1666" t="str">
            <v>AC218</v>
          </cell>
          <cell r="G1666" t="str">
            <v>10.187.209.133</v>
          </cell>
          <cell r="H1666" t="str">
            <v>10.187.209.129</v>
          </cell>
          <cell r="I1666" t="str">
            <v>/27</v>
          </cell>
          <cell r="J1666">
            <v>804</v>
          </cell>
          <cell r="K1666" t="str">
            <v>10.187.209.165</v>
          </cell>
          <cell r="L1666" t="str">
            <v>10.187.209.161</v>
          </cell>
          <cell r="M1666" t="str">
            <v>/27</v>
          </cell>
          <cell r="N1666">
            <v>814</v>
          </cell>
          <cell r="O1666" t="str">
            <v>10.187.209.197</v>
          </cell>
          <cell r="P1666" t="str">
            <v>10.187.209.193</v>
          </cell>
          <cell r="Q1666" t="str">
            <v>/27</v>
          </cell>
          <cell r="R1666">
            <v>824</v>
          </cell>
        </row>
        <row r="1667">
          <cell r="E1667" t="str">
            <v>AC218</v>
          </cell>
          <cell r="F1667" t="str">
            <v>ET293</v>
          </cell>
          <cell r="G1667" t="str">
            <v>10.187.209.134</v>
          </cell>
          <cell r="H1667" t="str">
            <v>10.187.209.129</v>
          </cell>
          <cell r="I1667" t="str">
            <v>/27</v>
          </cell>
          <cell r="J1667">
            <v>804</v>
          </cell>
          <cell r="K1667" t="str">
            <v>10.187.209.166</v>
          </cell>
          <cell r="L1667" t="str">
            <v>10.187.209.161</v>
          </cell>
          <cell r="M1667" t="str">
            <v>/27</v>
          </cell>
          <cell r="N1667">
            <v>814</v>
          </cell>
          <cell r="O1667" t="str">
            <v>10.187.209.198</v>
          </cell>
          <cell r="P1667" t="str">
            <v>10.187.209.193</v>
          </cell>
          <cell r="Q1667" t="str">
            <v>/27</v>
          </cell>
          <cell r="R1667">
            <v>824</v>
          </cell>
        </row>
        <row r="1668">
          <cell r="E1668" t="str">
            <v>AC218</v>
          </cell>
          <cell r="F1668" t="str">
            <v>ET293</v>
          </cell>
          <cell r="G1668" t="str">
            <v>10.187.209.135</v>
          </cell>
          <cell r="H1668" t="str">
            <v>10.187.209.129</v>
          </cell>
          <cell r="I1668" t="str">
            <v>/27</v>
          </cell>
          <cell r="J1668">
            <v>804</v>
          </cell>
          <cell r="K1668" t="str">
            <v>10.187.209.167</v>
          </cell>
          <cell r="L1668" t="str">
            <v>10.187.209.161</v>
          </cell>
          <cell r="M1668" t="str">
            <v>/27</v>
          </cell>
          <cell r="N1668">
            <v>814</v>
          </cell>
          <cell r="O1668" t="str">
            <v>10.187.209.199</v>
          </cell>
          <cell r="P1668" t="str">
            <v>10.187.209.193</v>
          </cell>
          <cell r="Q1668" t="str">
            <v>/27</v>
          </cell>
          <cell r="R1668">
            <v>824</v>
          </cell>
        </row>
        <row r="1669">
          <cell r="E1669" t="str">
            <v>AC218</v>
          </cell>
          <cell r="F1669" t="str">
            <v>ET754</v>
          </cell>
          <cell r="G1669" t="str">
            <v>10.187.209.136</v>
          </cell>
          <cell r="H1669" t="str">
            <v>10.187.209.129</v>
          </cell>
          <cell r="I1669" t="str">
            <v>/27</v>
          </cell>
          <cell r="J1669">
            <v>804</v>
          </cell>
          <cell r="K1669" t="str">
            <v>10.187.209.168</v>
          </cell>
          <cell r="L1669" t="str">
            <v>10.187.209.161</v>
          </cell>
          <cell r="M1669" t="str">
            <v>/27</v>
          </cell>
          <cell r="N1669">
            <v>814</v>
          </cell>
          <cell r="O1669" t="str">
            <v>10.187.209.200</v>
          </cell>
          <cell r="P1669" t="str">
            <v>10.187.209.193</v>
          </cell>
          <cell r="Q1669" t="str">
            <v>/27</v>
          </cell>
          <cell r="R1669">
            <v>824</v>
          </cell>
        </row>
        <row r="1670">
          <cell r="E1670" t="str">
            <v>AC218</v>
          </cell>
          <cell r="F1670" t="str">
            <v>ET754</v>
          </cell>
          <cell r="G1670" t="str">
            <v>10.187.209.137</v>
          </cell>
          <cell r="H1670" t="str">
            <v>10.187.209.129</v>
          </cell>
          <cell r="I1670" t="str">
            <v>/27</v>
          </cell>
          <cell r="J1670">
            <v>804</v>
          </cell>
          <cell r="K1670" t="str">
            <v>10.187.209.169</v>
          </cell>
          <cell r="L1670" t="str">
            <v>10.187.209.161</v>
          </cell>
          <cell r="M1670" t="str">
            <v>/27</v>
          </cell>
          <cell r="N1670">
            <v>814</v>
          </cell>
          <cell r="O1670" t="str">
            <v>10.187.209.201</v>
          </cell>
          <cell r="P1670" t="str">
            <v>10.187.209.193</v>
          </cell>
          <cell r="Q1670" t="str">
            <v>/27</v>
          </cell>
          <cell r="R1670">
            <v>824</v>
          </cell>
        </row>
        <row r="1671">
          <cell r="E1671" t="str">
            <v>AC218</v>
          </cell>
          <cell r="F1671" t="str">
            <v>ET867</v>
          </cell>
          <cell r="G1671" t="str">
            <v>10.187.209.138</v>
          </cell>
          <cell r="H1671" t="str">
            <v>10.187.209.129</v>
          </cell>
          <cell r="I1671" t="str">
            <v>/27</v>
          </cell>
          <cell r="J1671">
            <v>804</v>
          </cell>
          <cell r="K1671" t="str">
            <v>10.187.209.170</v>
          </cell>
          <cell r="L1671" t="str">
            <v>10.187.209.161</v>
          </cell>
          <cell r="M1671" t="str">
            <v>/27</v>
          </cell>
          <cell r="N1671">
            <v>814</v>
          </cell>
          <cell r="O1671" t="str">
            <v>10.187.209.202</v>
          </cell>
          <cell r="P1671" t="str">
            <v>10.187.209.193</v>
          </cell>
          <cell r="Q1671" t="str">
            <v>/27</v>
          </cell>
          <cell r="R1671">
            <v>824</v>
          </cell>
        </row>
        <row r="1672">
          <cell r="E1672" t="str">
            <v>AC218</v>
          </cell>
          <cell r="F1672" t="str">
            <v>ET867</v>
          </cell>
          <cell r="G1672" t="str">
            <v>10.187.209.139</v>
          </cell>
          <cell r="H1672" t="str">
            <v>10.187.209.129</v>
          </cell>
          <cell r="I1672" t="str">
            <v>/27</v>
          </cell>
          <cell r="J1672">
            <v>804</v>
          </cell>
          <cell r="K1672" t="str">
            <v>10.187.209.171</v>
          </cell>
          <cell r="L1672" t="str">
            <v>10.187.209.161</v>
          </cell>
          <cell r="M1672" t="str">
            <v>/27</v>
          </cell>
          <cell r="N1672">
            <v>814</v>
          </cell>
          <cell r="O1672" t="str">
            <v>10.187.209.203</v>
          </cell>
          <cell r="P1672" t="str">
            <v>10.187.209.193</v>
          </cell>
          <cell r="Q1672" t="str">
            <v>/27</v>
          </cell>
          <cell r="R1672">
            <v>824</v>
          </cell>
        </row>
        <row r="1673">
          <cell r="E1673" t="str">
            <v>AC218</v>
          </cell>
          <cell r="F1673" t="str">
            <v>IM037</v>
          </cell>
          <cell r="G1673" t="str">
            <v>10.187.209.140</v>
          </cell>
          <cell r="H1673" t="str">
            <v>10.187.209.129</v>
          </cell>
          <cell r="I1673" t="str">
            <v>/27</v>
          </cell>
          <cell r="J1673">
            <v>804</v>
          </cell>
          <cell r="K1673" t="str">
            <v>10.187.209.172</v>
          </cell>
          <cell r="L1673" t="str">
            <v>10.187.209.161</v>
          </cell>
          <cell r="M1673" t="str">
            <v>/27</v>
          </cell>
          <cell r="N1673">
            <v>814</v>
          </cell>
          <cell r="O1673" t="str">
            <v>10.187.209.204</v>
          </cell>
          <cell r="P1673" t="str">
            <v>10.187.209.193</v>
          </cell>
          <cell r="Q1673" t="str">
            <v>/27</v>
          </cell>
          <cell r="R1673">
            <v>824</v>
          </cell>
        </row>
        <row r="1674">
          <cell r="E1674" t="str">
            <v>AC218</v>
          </cell>
          <cell r="F1674" t="str">
            <v>IM037</v>
          </cell>
          <cell r="G1674" t="str">
            <v>10.187.209.141</v>
          </cell>
          <cell r="H1674" t="str">
            <v>10.187.209.129</v>
          </cell>
          <cell r="I1674" t="str">
            <v>/27</v>
          </cell>
          <cell r="J1674">
            <v>804</v>
          </cell>
          <cell r="K1674" t="str">
            <v>10.187.209.173</v>
          </cell>
          <cell r="L1674" t="str">
            <v>10.187.209.161</v>
          </cell>
          <cell r="M1674" t="str">
            <v>/27</v>
          </cell>
          <cell r="N1674">
            <v>814</v>
          </cell>
          <cell r="O1674" t="str">
            <v>10.187.209.205</v>
          </cell>
          <cell r="P1674" t="str">
            <v>10.187.209.193</v>
          </cell>
          <cell r="Q1674" t="str">
            <v>/27</v>
          </cell>
          <cell r="R1674">
            <v>824</v>
          </cell>
        </row>
        <row r="1675">
          <cell r="E1675" t="str">
            <v>AC218</v>
          </cell>
          <cell r="F1675" t="str">
            <v>IM254</v>
          </cell>
          <cell r="G1675" t="str">
            <v>10.187.209.142</v>
          </cell>
          <cell r="H1675" t="str">
            <v>10.187.209.129</v>
          </cell>
          <cell r="I1675" t="str">
            <v>/27</v>
          </cell>
          <cell r="J1675">
            <v>804</v>
          </cell>
          <cell r="K1675" t="str">
            <v>10.187.209.174</v>
          </cell>
          <cell r="L1675" t="str">
            <v>10.187.209.161</v>
          </cell>
          <cell r="M1675" t="str">
            <v>/27</v>
          </cell>
          <cell r="N1675">
            <v>814</v>
          </cell>
          <cell r="O1675" t="str">
            <v>10.187.209.206</v>
          </cell>
          <cell r="P1675" t="str">
            <v>10.187.209.193</v>
          </cell>
          <cell r="Q1675" t="str">
            <v>/27</v>
          </cell>
          <cell r="R1675">
            <v>824</v>
          </cell>
        </row>
        <row r="1676">
          <cell r="E1676" t="str">
            <v>AC218</v>
          </cell>
          <cell r="F1676" t="str">
            <v>IM254</v>
          </cell>
          <cell r="G1676" t="str">
            <v>10.187.209.143</v>
          </cell>
          <cell r="H1676" t="str">
            <v>10.187.209.129</v>
          </cell>
          <cell r="I1676" t="str">
            <v>/27</v>
          </cell>
          <cell r="J1676">
            <v>804</v>
          </cell>
          <cell r="K1676" t="str">
            <v>10.187.209.175</v>
          </cell>
          <cell r="L1676" t="str">
            <v>10.187.209.161</v>
          </cell>
          <cell r="M1676" t="str">
            <v>/27</v>
          </cell>
          <cell r="N1676">
            <v>814</v>
          </cell>
          <cell r="O1676" t="str">
            <v>10.187.209.207</v>
          </cell>
          <cell r="P1676" t="str">
            <v>10.187.209.193</v>
          </cell>
          <cell r="Q1676" t="str">
            <v>/27</v>
          </cell>
          <cell r="R1676">
            <v>824</v>
          </cell>
        </row>
        <row r="1677">
          <cell r="E1677" t="str">
            <v>AC218</v>
          </cell>
          <cell r="G1677" t="str">
            <v>10.187.209.144</v>
          </cell>
          <cell r="H1677" t="str">
            <v>10.187.209.129</v>
          </cell>
          <cell r="I1677" t="str">
            <v>/27</v>
          </cell>
          <cell r="J1677">
            <v>804</v>
          </cell>
          <cell r="K1677" t="str">
            <v>10.187.209.176</v>
          </cell>
          <cell r="L1677" t="str">
            <v>10.187.209.161</v>
          </cell>
          <cell r="M1677" t="str">
            <v>/27</v>
          </cell>
          <cell r="N1677">
            <v>814</v>
          </cell>
          <cell r="O1677" t="str">
            <v>10.187.209.208</v>
          </cell>
          <cell r="P1677" t="str">
            <v>10.187.209.193</v>
          </cell>
          <cell r="Q1677" t="str">
            <v>/27</v>
          </cell>
          <cell r="R1677">
            <v>824</v>
          </cell>
        </row>
        <row r="1678">
          <cell r="E1678" t="str">
            <v>AC218</v>
          </cell>
          <cell r="G1678" t="str">
            <v>10.187.209.145</v>
          </cell>
          <cell r="H1678" t="str">
            <v>10.187.209.129</v>
          </cell>
          <cell r="I1678" t="str">
            <v>/27</v>
          </cell>
          <cell r="J1678">
            <v>804</v>
          </cell>
          <cell r="K1678" t="str">
            <v>10.187.209.177</v>
          </cell>
          <cell r="L1678" t="str">
            <v>10.187.209.161</v>
          </cell>
          <cell r="M1678" t="str">
            <v>/27</v>
          </cell>
          <cell r="N1678">
            <v>814</v>
          </cell>
          <cell r="O1678" t="str">
            <v>10.187.209.209</v>
          </cell>
          <cell r="P1678" t="str">
            <v>10.187.209.193</v>
          </cell>
          <cell r="Q1678" t="str">
            <v>/27</v>
          </cell>
          <cell r="R1678">
            <v>824</v>
          </cell>
        </row>
        <row r="1679">
          <cell r="E1679" t="str">
            <v>AC218</v>
          </cell>
          <cell r="G1679" t="str">
            <v>10.187.209.146</v>
          </cell>
          <cell r="H1679" t="str">
            <v>10.187.209.129</v>
          </cell>
          <cell r="I1679" t="str">
            <v>/27</v>
          </cell>
          <cell r="J1679">
            <v>804</v>
          </cell>
          <cell r="K1679" t="str">
            <v>10.187.209.178</v>
          </cell>
          <cell r="L1679" t="str">
            <v>10.187.209.161</v>
          </cell>
          <cell r="M1679" t="str">
            <v>/27</v>
          </cell>
          <cell r="N1679">
            <v>814</v>
          </cell>
          <cell r="O1679" t="str">
            <v>10.187.209.210</v>
          </cell>
          <cell r="P1679" t="str">
            <v>10.187.209.193</v>
          </cell>
          <cell r="Q1679" t="str">
            <v>/27</v>
          </cell>
          <cell r="R1679">
            <v>824</v>
          </cell>
        </row>
        <row r="1680">
          <cell r="E1680" t="str">
            <v>AC218</v>
          </cell>
          <cell r="G1680" t="str">
            <v>10.187.209.147</v>
          </cell>
          <cell r="H1680" t="str">
            <v>10.187.209.129</v>
          </cell>
          <cell r="I1680" t="str">
            <v>/27</v>
          </cell>
          <cell r="J1680">
            <v>804</v>
          </cell>
          <cell r="K1680" t="str">
            <v>10.187.209.179</v>
          </cell>
          <cell r="L1680" t="str">
            <v>10.187.209.161</v>
          </cell>
          <cell r="M1680" t="str">
            <v>/27</v>
          </cell>
          <cell r="N1680">
            <v>814</v>
          </cell>
          <cell r="O1680" t="str">
            <v>10.187.209.211</v>
          </cell>
          <cell r="P1680" t="str">
            <v>10.187.209.193</v>
          </cell>
          <cell r="Q1680" t="str">
            <v>/27</v>
          </cell>
          <cell r="R1680">
            <v>824</v>
          </cell>
        </row>
        <row r="1681">
          <cell r="E1681" t="str">
            <v>AC218</v>
          </cell>
          <cell r="G1681" t="str">
            <v>10.187.209.148</v>
          </cell>
          <cell r="H1681" t="str">
            <v>10.187.209.129</v>
          </cell>
          <cell r="I1681" t="str">
            <v>/27</v>
          </cell>
          <cell r="J1681">
            <v>804</v>
          </cell>
          <cell r="K1681" t="str">
            <v>10.187.209.180</v>
          </cell>
          <cell r="L1681" t="str">
            <v>10.187.209.161</v>
          </cell>
          <cell r="M1681" t="str">
            <v>/27</v>
          </cell>
          <cell r="N1681">
            <v>814</v>
          </cell>
          <cell r="O1681" t="str">
            <v>10.187.209.212</v>
          </cell>
          <cell r="P1681" t="str">
            <v>10.187.209.193</v>
          </cell>
          <cell r="Q1681" t="str">
            <v>/27</v>
          </cell>
          <cell r="R1681">
            <v>824</v>
          </cell>
        </row>
        <row r="1682">
          <cell r="E1682" t="str">
            <v>AC218</v>
          </cell>
          <cell r="G1682" t="str">
            <v>10.187.209.149</v>
          </cell>
          <cell r="H1682" t="str">
            <v>10.187.209.129</v>
          </cell>
          <cell r="I1682" t="str">
            <v>/27</v>
          </cell>
          <cell r="J1682">
            <v>804</v>
          </cell>
          <cell r="K1682" t="str">
            <v>10.187.209.181</v>
          </cell>
          <cell r="L1682" t="str">
            <v>10.187.209.161</v>
          </cell>
          <cell r="M1682" t="str">
            <v>/27</v>
          </cell>
          <cell r="N1682">
            <v>814</v>
          </cell>
          <cell r="O1682" t="str">
            <v>10.187.209.213</v>
          </cell>
          <cell r="P1682" t="str">
            <v>10.187.209.193</v>
          </cell>
          <cell r="Q1682" t="str">
            <v>/27</v>
          </cell>
          <cell r="R1682">
            <v>824</v>
          </cell>
        </row>
        <row r="1683">
          <cell r="E1683" t="str">
            <v>AC218</v>
          </cell>
          <cell r="G1683" t="str">
            <v>10.187.209.150</v>
          </cell>
          <cell r="H1683" t="str">
            <v>10.187.209.129</v>
          </cell>
          <cell r="I1683" t="str">
            <v>/27</v>
          </cell>
          <cell r="J1683">
            <v>804</v>
          </cell>
          <cell r="K1683" t="str">
            <v>10.187.209.182</v>
          </cell>
          <cell r="L1683" t="str">
            <v>10.187.209.161</v>
          </cell>
          <cell r="M1683" t="str">
            <v>/27</v>
          </cell>
          <cell r="N1683">
            <v>814</v>
          </cell>
          <cell r="O1683" t="str">
            <v>10.187.209.214</v>
          </cell>
          <cell r="P1683" t="str">
            <v>10.187.209.193</v>
          </cell>
          <cell r="Q1683" t="str">
            <v>/27</v>
          </cell>
          <cell r="R1683">
            <v>824</v>
          </cell>
        </row>
        <row r="1684">
          <cell r="E1684" t="str">
            <v>AC218</v>
          </cell>
          <cell r="G1684" t="str">
            <v>10.187.209.151</v>
          </cell>
          <cell r="H1684" t="str">
            <v>10.187.209.129</v>
          </cell>
          <cell r="I1684" t="str">
            <v>/27</v>
          </cell>
          <cell r="J1684">
            <v>804</v>
          </cell>
          <cell r="K1684" t="str">
            <v>10.187.209.183</v>
          </cell>
          <cell r="L1684" t="str">
            <v>10.187.209.161</v>
          </cell>
          <cell r="M1684" t="str">
            <v>/27</v>
          </cell>
          <cell r="N1684">
            <v>814</v>
          </cell>
          <cell r="O1684" t="str">
            <v>10.187.209.215</v>
          </cell>
          <cell r="P1684" t="str">
            <v>10.187.209.193</v>
          </cell>
          <cell r="Q1684" t="str">
            <v>/27</v>
          </cell>
          <cell r="R1684">
            <v>824</v>
          </cell>
        </row>
        <row r="1685">
          <cell r="E1685" t="str">
            <v>AC218</v>
          </cell>
          <cell r="G1685" t="str">
            <v>10.187.209.152</v>
          </cell>
          <cell r="H1685" t="str">
            <v>10.187.209.129</v>
          </cell>
          <cell r="I1685" t="str">
            <v>/27</v>
          </cell>
          <cell r="J1685">
            <v>804</v>
          </cell>
          <cell r="K1685" t="str">
            <v>10.187.209.184</v>
          </cell>
          <cell r="L1685" t="str">
            <v>10.187.209.161</v>
          </cell>
          <cell r="M1685" t="str">
            <v>/27</v>
          </cell>
          <cell r="N1685">
            <v>814</v>
          </cell>
          <cell r="O1685" t="str">
            <v>10.187.209.216</v>
          </cell>
          <cell r="P1685" t="str">
            <v>10.187.209.193</v>
          </cell>
          <cell r="Q1685" t="str">
            <v>/27</v>
          </cell>
          <cell r="R1685">
            <v>824</v>
          </cell>
        </row>
        <row r="1686">
          <cell r="E1686" t="str">
            <v>AC218</v>
          </cell>
          <cell r="G1686" t="str">
            <v>10.187.209.153</v>
          </cell>
          <cell r="H1686" t="str">
            <v>10.187.209.129</v>
          </cell>
          <cell r="I1686" t="str">
            <v>/27</v>
          </cell>
          <cell r="J1686">
            <v>804</v>
          </cell>
          <cell r="K1686" t="str">
            <v>10.187.209.185</v>
          </cell>
          <cell r="L1686" t="str">
            <v>10.187.209.161</v>
          </cell>
          <cell r="M1686" t="str">
            <v>/27</v>
          </cell>
          <cell r="N1686">
            <v>814</v>
          </cell>
          <cell r="O1686" t="str">
            <v>10.187.209.217</v>
          </cell>
          <cell r="P1686" t="str">
            <v>10.187.209.193</v>
          </cell>
          <cell r="Q1686" t="str">
            <v>/27</v>
          </cell>
          <cell r="R1686">
            <v>824</v>
          </cell>
        </row>
        <row r="1687">
          <cell r="E1687" t="str">
            <v>AC218</v>
          </cell>
          <cell r="G1687" t="str">
            <v>10.187.209.154</v>
          </cell>
          <cell r="H1687" t="str">
            <v>10.187.209.129</v>
          </cell>
          <cell r="I1687" t="str">
            <v>/27</v>
          </cell>
          <cell r="J1687">
            <v>804</v>
          </cell>
          <cell r="K1687" t="str">
            <v>10.187.209.186</v>
          </cell>
          <cell r="L1687" t="str">
            <v>10.187.209.161</v>
          </cell>
          <cell r="M1687" t="str">
            <v>/27</v>
          </cell>
          <cell r="N1687">
            <v>814</v>
          </cell>
          <cell r="O1687" t="str">
            <v>10.187.209.218</v>
          </cell>
          <cell r="P1687" t="str">
            <v>10.187.209.193</v>
          </cell>
          <cell r="Q1687" t="str">
            <v>/27</v>
          </cell>
          <cell r="R1687">
            <v>824</v>
          </cell>
        </row>
        <row r="1688">
          <cell r="E1688" t="str">
            <v>AC218</v>
          </cell>
          <cell r="G1688" t="str">
            <v>10.187.209.155</v>
          </cell>
          <cell r="H1688" t="str">
            <v>10.187.209.129</v>
          </cell>
          <cell r="I1688" t="str">
            <v>/27</v>
          </cell>
          <cell r="J1688">
            <v>804</v>
          </cell>
          <cell r="K1688" t="str">
            <v>10.187.209.187</v>
          </cell>
          <cell r="L1688" t="str">
            <v>10.187.209.161</v>
          </cell>
          <cell r="M1688" t="str">
            <v>/27</v>
          </cell>
          <cell r="N1688">
            <v>814</v>
          </cell>
          <cell r="O1688" t="str">
            <v>10.187.209.219</v>
          </cell>
          <cell r="P1688" t="str">
            <v>10.187.209.193</v>
          </cell>
          <cell r="Q1688" t="str">
            <v>/27</v>
          </cell>
          <cell r="R1688">
            <v>824</v>
          </cell>
        </row>
        <row r="1689">
          <cell r="E1689" t="str">
            <v>AC218</v>
          </cell>
          <cell r="G1689" t="str">
            <v>10.187.209.156</v>
          </cell>
          <cell r="H1689" t="str">
            <v>10.187.209.129</v>
          </cell>
          <cell r="I1689" t="str">
            <v>/27</v>
          </cell>
          <cell r="J1689">
            <v>804</v>
          </cell>
          <cell r="K1689" t="str">
            <v>10.187.209.188</v>
          </cell>
          <cell r="L1689" t="str">
            <v>10.187.209.161</v>
          </cell>
          <cell r="M1689" t="str">
            <v>/27</v>
          </cell>
          <cell r="N1689">
            <v>814</v>
          </cell>
          <cell r="O1689" t="str">
            <v>10.187.209.220</v>
          </cell>
          <cell r="P1689" t="str">
            <v>10.187.209.193</v>
          </cell>
          <cell r="Q1689" t="str">
            <v>/27</v>
          </cell>
          <cell r="R1689">
            <v>824</v>
          </cell>
        </row>
        <row r="1690">
          <cell r="E1690" t="str">
            <v>AC218</v>
          </cell>
          <cell r="G1690" t="str">
            <v>10.187.209.157</v>
          </cell>
          <cell r="H1690" t="str">
            <v>10.187.209.129</v>
          </cell>
          <cell r="I1690" t="str">
            <v>/27</v>
          </cell>
          <cell r="J1690">
            <v>804</v>
          </cell>
          <cell r="K1690" t="str">
            <v>10.187.209.189</v>
          </cell>
          <cell r="L1690" t="str">
            <v>10.187.209.161</v>
          </cell>
          <cell r="M1690" t="str">
            <v>/27</v>
          </cell>
          <cell r="N1690">
            <v>814</v>
          </cell>
          <cell r="O1690" t="str">
            <v>10.187.209.221</v>
          </cell>
          <cell r="P1690" t="str">
            <v>10.187.209.193</v>
          </cell>
          <cell r="Q1690" t="str">
            <v>/27</v>
          </cell>
          <cell r="R1690">
            <v>824</v>
          </cell>
        </row>
        <row r="1691">
          <cell r="E1691" t="str">
            <v>AC218</v>
          </cell>
          <cell r="G1691" t="str">
            <v>10.187.209.158</v>
          </cell>
          <cell r="H1691" t="str">
            <v>10.187.209.129</v>
          </cell>
          <cell r="I1691" t="str">
            <v>/27</v>
          </cell>
          <cell r="J1691">
            <v>804</v>
          </cell>
          <cell r="K1691" t="str">
            <v>10.187.209.190</v>
          </cell>
          <cell r="L1691" t="str">
            <v>10.187.209.161</v>
          </cell>
          <cell r="M1691" t="str">
            <v>/27</v>
          </cell>
          <cell r="N1691">
            <v>814</v>
          </cell>
          <cell r="O1691" t="str">
            <v>10.187.209.222</v>
          </cell>
          <cell r="P1691" t="str">
            <v>10.187.209.193</v>
          </cell>
          <cell r="Q1691" t="str">
            <v>/27</v>
          </cell>
          <cell r="R1691">
            <v>824</v>
          </cell>
        </row>
        <row r="1692">
          <cell r="E1692" t="str">
            <v>AC218</v>
          </cell>
          <cell r="G1692" t="str">
            <v>10.187.209.159</v>
          </cell>
          <cell r="H1692" t="str">
            <v>10.187.209.129</v>
          </cell>
          <cell r="I1692" t="str">
            <v>/27</v>
          </cell>
          <cell r="J1692">
            <v>804</v>
          </cell>
          <cell r="K1692" t="str">
            <v>10.187.209.191</v>
          </cell>
          <cell r="L1692" t="str">
            <v>10.187.209.161</v>
          </cell>
          <cell r="M1692" t="str">
            <v>/27</v>
          </cell>
          <cell r="N1692">
            <v>814</v>
          </cell>
          <cell r="O1692" t="str">
            <v>10.187.209.223</v>
          </cell>
          <cell r="P1692" t="str">
            <v>10.187.209.193</v>
          </cell>
          <cell r="Q1692" t="str">
            <v>/27</v>
          </cell>
          <cell r="R1692">
            <v>824</v>
          </cell>
        </row>
        <row r="1693">
          <cell r="E1693" t="str">
            <v>AC288</v>
          </cell>
          <cell r="G1693" t="str">
            <v>10.189.89.48</v>
          </cell>
          <cell r="H1693" t="str">
            <v>10.189.89.49</v>
          </cell>
          <cell r="I1693" t="str">
            <v>/28</v>
          </cell>
          <cell r="J1693">
            <v>2650</v>
          </cell>
          <cell r="K1693" t="str">
            <v>10.189.109.48</v>
          </cell>
          <cell r="L1693" t="str">
            <v>10.189.109.49</v>
          </cell>
          <cell r="M1693" t="str">
            <v>/28</v>
          </cell>
          <cell r="N1693">
            <v>2950</v>
          </cell>
          <cell r="O1693" t="str">
            <v>10.189.129.48</v>
          </cell>
          <cell r="P1693" t="str">
            <v>10.189.129.49</v>
          </cell>
          <cell r="Q1693" t="str">
            <v>/28</v>
          </cell>
          <cell r="R1693">
            <v>3450</v>
          </cell>
        </row>
        <row r="1694">
          <cell r="E1694" t="str">
            <v>AC288</v>
          </cell>
          <cell r="G1694" t="str">
            <v>10.189.89.49</v>
          </cell>
          <cell r="H1694" t="str">
            <v>10.189.89.49</v>
          </cell>
          <cell r="I1694" t="str">
            <v>/28</v>
          </cell>
          <cell r="J1694">
            <v>2650</v>
          </cell>
          <cell r="K1694" t="str">
            <v>10.189.109.49</v>
          </cell>
          <cell r="L1694" t="str">
            <v>10.189.109.49</v>
          </cell>
          <cell r="M1694" t="str">
            <v>/28</v>
          </cell>
          <cell r="N1694">
            <v>2950</v>
          </cell>
          <cell r="O1694" t="str">
            <v>10.189.129.49</v>
          </cell>
          <cell r="P1694" t="str">
            <v>10.189.129.49</v>
          </cell>
          <cell r="Q1694" t="str">
            <v>/28</v>
          </cell>
          <cell r="R1694">
            <v>3450</v>
          </cell>
        </row>
        <row r="1695">
          <cell r="E1695" t="str">
            <v>AC288</v>
          </cell>
          <cell r="G1695" t="str">
            <v>10.189.89.50</v>
          </cell>
          <cell r="H1695" t="str">
            <v>10.189.89.49</v>
          </cell>
          <cell r="I1695" t="str">
            <v>/28</v>
          </cell>
          <cell r="J1695">
            <v>2650</v>
          </cell>
          <cell r="K1695" t="str">
            <v>10.189.109.50</v>
          </cell>
          <cell r="L1695" t="str">
            <v>10.189.109.49</v>
          </cell>
          <cell r="M1695" t="str">
            <v>/28</v>
          </cell>
          <cell r="N1695">
            <v>2950</v>
          </cell>
          <cell r="O1695" t="str">
            <v>10.189.129.50</v>
          </cell>
          <cell r="P1695" t="str">
            <v>10.189.129.49</v>
          </cell>
          <cell r="Q1695" t="str">
            <v>/28</v>
          </cell>
          <cell r="R1695">
            <v>3450</v>
          </cell>
        </row>
        <row r="1696">
          <cell r="E1696" t="str">
            <v>AC288</v>
          </cell>
          <cell r="G1696" t="str">
            <v>10.189.89.51</v>
          </cell>
          <cell r="H1696" t="str">
            <v>10.189.89.49</v>
          </cell>
          <cell r="I1696" t="str">
            <v>/28</v>
          </cell>
          <cell r="J1696">
            <v>2650</v>
          </cell>
          <cell r="K1696" t="str">
            <v>10.189.109.51</v>
          </cell>
          <cell r="L1696" t="str">
            <v>10.189.109.49</v>
          </cell>
          <cell r="M1696" t="str">
            <v>/28</v>
          </cell>
          <cell r="N1696">
            <v>2950</v>
          </cell>
          <cell r="O1696" t="str">
            <v>10.189.129.51</v>
          </cell>
          <cell r="P1696" t="str">
            <v>10.189.129.49</v>
          </cell>
          <cell r="Q1696" t="str">
            <v>/28</v>
          </cell>
          <cell r="R1696">
            <v>3450</v>
          </cell>
        </row>
        <row r="1697">
          <cell r="E1697" t="str">
            <v>AC288</v>
          </cell>
          <cell r="G1697" t="str">
            <v>10.189.89.52</v>
          </cell>
          <cell r="H1697" t="str">
            <v>10.189.89.49</v>
          </cell>
          <cell r="I1697" t="str">
            <v>/28</v>
          </cell>
          <cell r="J1697">
            <v>2650</v>
          </cell>
          <cell r="K1697" t="str">
            <v>10.189.109.52</v>
          </cell>
          <cell r="L1697" t="str">
            <v>10.189.109.49</v>
          </cell>
          <cell r="M1697" t="str">
            <v>/28</v>
          </cell>
          <cell r="N1697">
            <v>2950</v>
          </cell>
          <cell r="O1697" t="str">
            <v>10.189.129.52</v>
          </cell>
          <cell r="P1697" t="str">
            <v>10.189.129.49</v>
          </cell>
          <cell r="Q1697" t="str">
            <v>/28</v>
          </cell>
          <cell r="R1697">
            <v>3450</v>
          </cell>
        </row>
        <row r="1698">
          <cell r="E1698" t="str">
            <v>AC288</v>
          </cell>
          <cell r="G1698" t="str">
            <v>10.189.89.53</v>
          </cell>
          <cell r="H1698" t="str">
            <v>10.189.89.49</v>
          </cell>
          <cell r="I1698" t="str">
            <v>/28</v>
          </cell>
          <cell r="J1698">
            <v>2650</v>
          </cell>
          <cell r="K1698" t="str">
            <v>10.189.109.53</v>
          </cell>
          <cell r="L1698" t="str">
            <v>10.189.109.49</v>
          </cell>
          <cell r="M1698" t="str">
            <v>/28</v>
          </cell>
          <cell r="N1698">
            <v>2950</v>
          </cell>
          <cell r="O1698" t="str">
            <v>10.189.129.53</v>
          </cell>
          <cell r="P1698" t="str">
            <v>10.189.129.49</v>
          </cell>
          <cell r="Q1698" t="str">
            <v>/28</v>
          </cell>
          <cell r="R1698">
            <v>3450</v>
          </cell>
        </row>
        <row r="1699">
          <cell r="E1699" t="str">
            <v>AC288</v>
          </cell>
          <cell r="G1699" t="str">
            <v>10.189.89.54</v>
          </cell>
          <cell r="H1699" t="str">
            <v>10.189.89.49</v>
          </cell>
          <cell r="I1699" t="str">
            <v>/28</v>
          </cell>
          <cell r="J1699">
            <v>2650</v>
          </cell>
          <cell r="K1699" t="str">
            <v>10.189.109.54</v>
          </cell>
          <cell r="L1699" t="str">
            <v>10.189.109.49</v>
          </cell>
          <cell r="M1699" t="str">
            <v>/28</v>
          </cell>
          <cell r="N1699">
            <v>2950</v>
          </cell>
          <cell r="O1699" t="str">
            <v>10.189.129.54</v>
          </cell>
          <cell r="P1699" t="str">
            <v>10.189.129.49</v>
          </cell>
          <cell r="Q1699" t="str">
            <v>/28</v>
          </cell>
          <cell r="R1699">
            <v>3450</v>
          </cell>
        </row>
        <row r="1700">
          <cell r="E1700" t="str">
            <v>AC288</v>
          </cell>
          <cell r="G1700" t="str">
            <v>10.189.89.55</v>
          </cell>
          <cell r="H1700" t="str">
            <v>10.189.89.49</v>
          </cell>
          <cell r="I1700" t="str">
            <v>/28</v>
          </cell>
          <cell r="J1700">
            <v>2650</v>
          </cell>
          <cell r="K1700" t="str">
            <v>10.189.109.55</v>
          </cell>
          <cell r="L1700" t="str">
            <v>10.189.109.49</v>
          </cell>
          <cell r="M1700" t="str">
            <v>/28</v>
          </cell>
          <cell r="N1700">
            <v>2950</v>
          </cell>
          <cell r="O1700" t="str">
            <v>10.189.129.55</v>
          </cell>
          <cell r="P1700" t="str">
            <v>10.189.129.49</v>
          </cell>
          <cell r="Q1700" t="str">
            <v>/28</v>
          </cell>
          <cell r="R1700">
            <v>3450</v>
          </cell>
        </row>
        <row r="1701">
          <cell r="E1701" t="str">
            <v>AC288</v>
          </cell>
          <cell r="G1701" t="str">
            <v>10.189.89.56</v>
          </cell>
          <cell r="H1701" t="str">
            <v>10.189.89.49</v>
          </cell>
          <cell r="I1701" t="str">
            <v>/28</v>
          </cell>
          <cell r="J1701">
            <v>2650</v>
          </cell>
          <cell r="K1701" t="str">
            <v>10.189.109.56</v>
          </cell>
          <cell r="L1701" t="str">
            <v>10.189.109.49</v>
          </cell>
          <cell r="M1701" t="str">
            <v>/28</v>
          </cell>
          <cell r="N1701">
            <v>2950</v>
          </cell>
          <cell r="O1701" t="str">
            <v>10.189.129.56</v>
          </cell>
          <cell r="P1701" t="str">
            <v>10.189.129.49</v>
          </cell>
          <cell r="Q1701" t="str">
            <v>/28</v>
          </cell>
          <cell r="R1701">
            <v>3450</v>
          </cell>
        </row>
        <row r="1702">
          <cell r="E1702" t="str">
            <v>AC288</v>
          </cell>
          <cell r="G1702" t="str">
            <v>10.189.89.57</v>
          </cell>
          <cell r="H1702" t="str">
            <v>10.189.89.49</v>
          </cell>
          <cell r="I1702" t="str">
            <v>/28</v>
          </cell>
          <cell r="J1702">
            <v>2650</v>
          </cell>
          <cell r="K1702" t="str">
            <v>10.189.109.57</v>
          </cell>
          <cell r="L1702" t="str">
            <v>10.189.109.49</v>
          </cell>
          <cell r="M1702" t="str">
            <v>/28</v>
          </cell>
          <cell r="N1702">
            <v>2950</v>
          </cell>
          <cell r="O1702" t="str">
            <v>10.189.129.57</v>
          </cell>
          <cell r="P1702" t="str">
            <v>10.189.129.49</v>
          </cell>
          <cell r="Q1702" t="str">
            <v>/28</v>
          </cell>
          <cell r="R1702">
            <v>3450</v>
          </cell>
        </row>
        <row r="1703">
          <cell r="E1703" t="str">
            <v>AC288</v>
          </cell>
          <cell r="G1703" t="str">
            <v>10.189.89.58</v>
          </cell>
          <cell r="H1703" t="str">
            <v>10.189.89.49</v>
          </cell>
          <cell r="I1703" t="str">
            <v>/28</v>
          </cell>
          <cell r="J1703">
            <v>2650</v>
          </cell>
          <cell r="K1703" t="str">
            <v>10.189.109.58</v>
          </cell>
          <cell r="L1703" t="str">
            <v>10.189.109.49</v>
          </cell>
          <cell r="M1703" t="str">
            <v>/28</v>
          </cell>
          <cell r="N1703">
            <v>2950</v>
          </cell>
          <cell r="O1703" t="str">
            <v>10.189.129.58</v>
          </cell>
          <cell r="P1703" t="str">
            <v>10.189.129.49</v>
          </cell>
          <cell r="Q1703" t="str">
            <v>/28</v>
          </cell>
          <cell r="R1703">
            <v>3450</v>
          </cell>
        </row>
        <row r="1704">
          <cell r="E1704" t="str">
            <v>AC288</v>
          </cell>
          <cell r="G1704" t="str">
            <v>10.189.89.59</v>
          </cell>
          <cell r="H1704" t="str">
            <v>10.189.89.49</v>
          </cell>
          <cell r="I1704" t="str">
            <v>/28</v>
          </cell>
          <cell r="J1704">
            <v>2650</v>
          </cell>
          <cell r="K1704" t="str">
            <v>10.189.109.59</v>
          </cell>
          <cell r="L1704" t="str">
            <v>10.189.109.49</v>
          </cell>
          <cell r="M1704" t="str">
            <v>/28</v>
          </cell>
          <cell r="N1704">
            <v>2950</v>
          </cell>
          <cell r="O1704" t="str">
            <v>10.189.129.59</v>
          </cell>
          <cell r="P1704" t="str">
            <v>10.189.129.49</v>
          </cell>
          <cell r="Q1704" t="str">
            <v>/28</v>
          </cell>
          <cell r="R1704">
            <v>3450</v>
          </cell>
        </row>
        <row r="1705">
          <cell r="E1705" t="str">
            <v>AC288</v>
          </cell>
          <cell r="G1705" t="str">
            <v>10.189.89.60</v>
          </cell>
          <cell r="H1705" t="str">
            <v>10.189.89.49</v>
          </cell>
          <cell r="I1705" t="str">
            <v>/28</v>
          </cell>
          <cell r="J1705">
            <v>2650</v>
          </cell>
          <cell r="K1705" t="str">
            <v>10.189.109.60</v>
          </cell>
          <cell r="L1705" t="str">
            <v>10.189.109.49</v>
          </cell>
          <cell r="M1705" t="str">
            <v>/28</v>
          </cell>
          <cell r="N1705">
            <v>2950</v>
          </cell>
          <cell r="O1705" t="str">
            <v>10.189.129.60</v>
          </cell>
          <cell r="P1705" t="str">
            <v>10.189.129.49</v>
          </cell>
          <cell r="Q1705" t="str">
            <v>/28</v>
          </cell>
          <cell r="R1705">
            <v>3450</v>
          </cell>
        </row>
        <row r="1706">
          <cell r="E1706" t="str">
            <v>AC288</v>
          </cell>
          <cell r="G1706" t="str">
            <v>10.189.89.61</v>
          </cell>
          <cell r="H1706" t="str">
            <v>10.189.89.49</v>
          </cell>
          <cell r="I1706" t="str">
            <v>/28</v>
          </cell>
          <cell r="J1706">
            <v>2650</v>
          </cell>
          <cell r="K1706" t="str">
            <v>10.189.109.61</v>
          </cell>
          <cell r="L1706" t="str">
            <v>10.189.109.49</v>
          </cell>
          <cell r="M1706" t="str">
            <v>/28</v>
          </cell>
          <cell r="N1706">
            <v>2950</v>
          </cell>
          <cell r="O1706" t="str">
            <v>10.189.129.61</v>
          </cell>
          <cell r="P1706" t="str">
            <v>10.189.129.49</v>
          </cell>
          <cell r="Q1706" t="str">
            <v>/28</v>
          </cell>
          <cell r="R1706">
            <v>3450</v>
          </cell>
        </row>
        <row r="1707">
          <cell r="E1707" t="str">
            <v>AC288</v>
          </cell>
          <cell r="G1707" t="str">
            <v>10.189.89.62</v>
          </cell>
          <cell r="H1707" t="str">
            <v>10.189.89.49</v>
          </cell>
          <cell r="I1707" t="str">
            <v>/28</v>
          </cell>
          <cell r="J1707">
            <v>2650</v>
          </cell>
          <cell r="K1707" t="str">
            <v>10.189.109.62</v>
          </cell>
          <cell r="L1707" t="str">
            <v>10.189.109.49</v>
          </cell>
          <cell r="M1707" t="str">
            <v>/28</v>
          </cell>
          <cell r="N1707">
            <v>2950</v>
          </cell>
          <cell r="O1707" t="str">
            <v>10.189.129.62</v>
          </cell>
          <cell r="P1707" t="str">
            <v>10.189.129.49</v>
          </cell>
          <cell r="Q1707" t="str">
            <v>/28</v>
          </cell>
          <cell r="R1707">
            <v>3450</v>
          </cell>
        </row>
        <row r="1708">
          <cell r="E1708" t="str">
            <v>AC288</v>
          </cell>
          <cell r="G1708" t="str">
            <v>10.189.89.63</v>
          </cell>
          <cell r="H1708" t="str">
            <v>10.189.89.49</v>
          </cell>
          <cell r="I1708" t="str">
            <v>/28</v>
          </cell>
          <cell r="J1708">
            <v>2650</v>
          </cell>
          <cell r="K1708" t="str">
            <v>10.189.109.63</v>
          </cell>
          <cell r="L1708" t="str">
            <v>10.189.109.49</v>
          </cell>
          <cell r="M1708" t="str">
            <v>/28</v>
          </cell>
          <cell r="N1708">
            <v>2950</v>
          </cell>
          <cell r="O1708" t="str">
            <v>10.189.129.63</v>
          </cell>
          <cell r="P1708" t="str">
            <v>10.189.129.49</v>
          </cell>
          <cell r="Q1708" t="str">
            <v>/28</v>
          </cell>
          <cell r="R1708">
            <v>3450</v>
          </cell>
        </row>
        <row r="1709">
          <cell r="E1709" t="str">
            <v>AC288</v>
          </cell>
          <cell r="G1709" t="str">
            <v>10.189.89.64</v>
          </cell>
          <cell r="H1709" t="str">
            <v>10.189.89.65</v>
          </cell>
          <cell r="I1709" t="str">
            <v>/28</v>
          </cell>
          <cell r="J1709">
            <v>2651</v>
          </cell>
          <cell r="K1709" t="str">
            <v>10.189.109.64</v>
          </cell>
          <cell r="L1709" t="str">
            <v>10.189.109.65</v>
          </cell>
          <cell r="M1709" t="str">
            <v>/28</v>
          </cell>
          <cell r="N1709">
            <v>2951</v>
          </cell>
          <cell r="O1709" t="str">
            <v>10.189.129.64</v>
          </cell>
          <cell r="P1709" t="str">
            <v>10.189.129.65</v>
          </cell>
          <cell r="Q1709" t="str">
            <v>/28</v>
          </cell>
          <cell r="R1709">
            <v>3451</v>
          </cell>
        </row>
        <row r="1710">
          <cell r="E1710" t="str">
            <v>AC288</v>
          </cell>
          <cell r="G1710" t="str">
            <v>10.189.89.65</v>
          </cell>
          <cell r="H1710" t="str">
            <v>10.189.89.65</v>
          </cell>
          <cell r="I1710" t="str">
            <v>/28</v>
          </cell>
          <cell r="J1710">
            <v>2651</v>
          </cell>
          <cell r="K1710" t="str">
            <v>10.189.109.65</v>
          </cell>
          <cell r="L1710" t="str">
            <v>10.189.109.65</v>
          </cell>
          <cell r="M1710" t="str">
            <v>/28</v>
          </cell>
          <cell r="N1710">
            <v>2951</v>
          </cell>
          <cell r="O1710" t="str">
            <v>10.189.129.65</v>
          </cell>
          <cell r="P1710" t="str">
            <v>10.189.129.65</v>
          </cell>
          <cell r="Q1710" t="str">
            <v>/28</v>
          </cell>
          <cell r="R1710">
            <v>3451</v>
          </cell>
        </row>
        <row r="1711">
          <cell r="E1711" t="str">
            <v>AC288</v>
          </cell>
          <cell r="G1711" t="str">
            <v>10.189.89.66</v>
          </cell>
          <cell r="H1711" t="str">
            <v>10.189.89.65</v>
          </cell>
          <cell r="I1711" t="str">
            <v>/28</v>
          </cell>
          <cell r="J1711">
            <v>2651</v>
          </cell>
          <cell r="K1711" t="str">
            <v>10.189.109.66</v>
          </cell>
          <cell r="L1711" t="str">
            <v>10.189.109.65</v>
          </cell>
          <cell r="M1711" t="str">
            <v>/28</v>
          </cell>
          <cell r="N1711">
            <v>2951</v>
          </cell>
          <cell r="O1711" t="str">
            <v>10.189.129.66</v>
          </cell>
          <cell r="P1711" t="str">
            <v>10.189.129.65</v>
          </cell>
          <cell r="Q1711" t="str">
            <v>/28</v>
          </cell>
          <cell r="R1711">
            <v>3451</v>
          </cell>
        </row>
        <row r="1712">
          <cell r="E1712" t="str">
            <v>AC288</v>
          </cell>
          <cell r="G1712" t="str">
            <v>10.189.89.67</v>
          </cell>
          <cell r="H1712" t="str">
            <v>10.189.89.65</v>
          </cell>
          <cell r="I1712" t="str">
            <v>/28</v>
          </cell>
          <cell r="J1712">
            <v>2651</v>
          </cell>
          <cell r="K1712" t="str">
            <v>10.189.109.67</v>
          </cell>
          <cell r="L1712" t="str">
            <v>10.189.109.65</v>
          </cell>
          <cell r="M1712" t="str">
            <v>/28</v>
          </cell>
          <cell r="N1712">
            <v>2951</v>
          </cell>
          <cell r="O1712" t="str">
            <v>10.189.129.67</v>
          </cell>
          <cell r="P1712" t="str">
            <v>10.189.129.65</v>
          </cell>
          <cell r="Q1712" t="str">
            <v>/28</v>
          </cell>
          <cell r="R1712">
            <v>3451</v>
          </cell>
        </row>
        <row r="1713">
          <cell r="E1713" t="str">
            <v>AC288</v>
          </cell>
          <cell r="G1713" t="str">
            <v>10.189.89.68</v>
          </cell>
          <cell r="H1713" t="str">
            <v>10.189.89.65</v>
          </cell>
          <cell r="I1713" t="str">
            <v>/28</v>
          </cell>
          <cell r="J1713">
            <v>2651</v>
          </cell>
          <cell r="K1713" t="str">
            <v>10.189.109.68</v>
          </cell>
          <cell r="L1713" t="str">
            <v>10.189.109.65</v>
          </cell>
          <cell r="M1713" t="str">
            <v>/28</v>
          </cell>
          <cell r="N1713">
            <v>2951</v>
          </cell>
          <cell r="O1713" t="str">
            <v>10.189.129.68</v>
          </cell>
          <cell r="P1713" t="str">
            <v>10.189.129.65</v>
          </cell>
          <cell r="Q1713" t="str">
            <v>/28</v>
          </cell>
          <cell r="R1713">
            <v>3451</v>
          </cell>
        </row>
        <row r="1714">
          <cell r="E1714" t="str">
            <v>AC288</v>
          </cell>
          <cell r="G1714" t="str">
            <v>10.189.89.69</v>
          </cell>
          <cell r="H1714" t="str">
            <v>10.189.89.65</v>
          </cell>
          <cell r="I1714" t="str">
            <v>/28</v>
          </cell>
          <cell r="J1714">
            <v>2651</v>
          </cell>
          <cell r="K1714" t="str">
            <v>10.189.109.69</v>
          </cell>
          <cell r="L1714" t="str">
            <v>10.189.109.65</v>
          </cell>
          <cell r="M1714" t="str">
            <v>/28</v>
          </cell>
          <cell r="N1714">
            <v>2951</v>
          </cell>
          <cell r="O1714" t="str">
            <v>10.189.129.69</v>
          </cell>
          <cell r="P1714" t="str">
            <v>10.189.129.65</v>
          </cell>
          <cell r="Q1714" t="str">
            <v>/28</v>
          </cell>
          <cell r="R1714">
            <v>3451</v>
          </cell>
        </row>
        <row r="1715">
          <cell r="E1715" t="str">
            <v>AC288</v>
          </cell>
          <cell r="G1715" t="str">
            <v>10.189.89.70</v>
          </cell>
          <cell r="H1715" t="str">
            <v>10.189.89.65</v>
          </cell>
          <cell r="I1715" t="str">
            <v>/28</v>
          </cell>
          <cell r="J1715">
            <v>2651</v>
          </cell>
          <cell r="K1715" t="str">
            <v>10.189.109.70</v>
          </cell>
          <cell r="L1715" t="str">
            <v>10.189.109.65</v>
          </cell>
          <cell r="M1715" t="str">
            <v>/28</v>
          </cell>
          <cell r="N1715">
            <v>2951</v>
          </cell>
          <cell r="O1715" t="str">
            <v>10.189.129.70</v>
          </cell>
          <cell r="P1715" t="str">
            <v>10.189.129.65</v>
          </cell>
          <cell r="Q1715" t="str">
            <v>/28</v>
          </cell>
          <cell r="R1715">
            <v>3451</v>
          </cell>
        </row>
        <row r="1716">
          <cell r="E1716" t="str">
            <v>AC288</v>
          </cell>
          <cell r="G1716" t="str">
            <v>10.189.89.71</v>
          </cell>
          <cell r="H1716" t="str">
            <v>10.189.89.65</v>
          </cell>
          <cell r="I1716" t="str">
            <v>/28</v>
          </cell>
          <cell r="J1716">
            <v>2651</v>
          </cell>
          <cell r="K1716" t="str">
            <v>10.189.109.71</v>
          </cell>
          <cell r="L1716" t="str">
            <v>10.189.109.65</v>
          </cell>
          <cell r="M1716" t="str">
            <v>/28</v>
          </cell>
          <cell r="N1716">
            <v>2951</v>
          </cell>
          <cell r="O1716" t="str">
            <v>10.189.129.71</v>
          </cell>
          <cell r="P1716" t="str">
            <v>10.189.129.65</v>
          </cell>
          <cell r="Q1716" t="str">
            <v>/28</v>
          </cell>
          <cell r="R1716">
            <v>3451</v>
          </cell>
        </row>
        <row r="1717">
          <cell r="E1717" t="str">
            <v>AC288</v>
          </cell>
          <cell r="G1717" t="str">
            <v>10.189.89.72</v>
          </cell>
          <cell r="H1717" t="str">
            <v>10.189.89.65</v>
          </cell>
          <cell r="I1717" t="str">
            <v>/28</v>
          </cell>
          <cell r="J1717">
            <v>2651</v>
          </cell>
          <cell r="K1717" t="str">
            <v>10.189.109.72</v>
          </cell>
          <cell r="L1717" t="str">
            <v>10.189.109.65</v>
          </cell>
          <cell r="M1717" t="str">
            <v>/28</v>
          </cell>
          <cell r="N1717">
            <v>2951</v>
          </cell>
          <cell r="O1717" t="str">
            <v>10.189.129.72</v>
          </cell>
          <cell r="P1717" t="str">
            <v>10.189.129.65</v>
          </cell>
          <cell r="Q1717" t="str">
            <v>/28</v>
          </cell>
          <cell r="R1717">
            <v>3451</v>
          </cell>
        </row>
        <row r="1718">
          <cell r="E1718" t="str">
            <v>AC288</v>
          </cell>
          <cell r="G1718" t="str">
            <v>10.189.89.73</v>
          </cell>
          <cell r="H1718" t="str">
            <v>10.189.89.65</v>
          </cell>
          <cell r="I1718" t="str">
            <v>/28</v>
          </cell>
          <cell r="J1718">
            <v>2651</v>
          </cell>
          <cell r="K1718" t="str">
            <v>10.189.109.73</v>
          </cell>
          <cell r="L1718" t="str">
            <v>10.189.109.65</v>
          </cell>
          <cell r="M1718" t="str">
            <v>/28</v>
          </cell>
          <cell r="N1718">
            <v>2951</v>
          </cell>
          <cell r="O1718" t="str">
            <v>10.189.129.73</v>
          </cell>
          <cell r="P1718" t="str">
            <v>10.189.129.65</v>
          </cell>
          <cell r="Q1718" t="str">
            <v>/28</v>
          </cell>
          <cell r="R1718">
            <v>3451</v>
          </cell>
        </row>
        <row r="1719">
          <cell r="E1719" t="str">
            <v>AC288</v>
          </cell>
          <cell r="G1719" t="str">
            <v>10.189.89.74</v>
          </cell>
          <cell r="H1719" t="str">
            <v>10.189.89.65</v>
          </cell>
          <cell r="I1719" t="str">
            <v>/28</v>
          </cell>
          <cell r="J1719">
            <v>2651</v>
          </cell>
          <cell r="K1719" t="str">
            <v>10.189.109.74</v>
          </cell>
          <cell r="L1719" t="str">
            <v>10.189.109.65</v>
          </cell>
          <cell r="M1719" t="str">
            <v>/28</v>
          </cell>
          <cell r="N1719">
            <v>2951</v>
          </cell>
          <cell r="O1719" t="str">
            <v>10.189.129.74</v>
          </cell>
          <cell r="P1719" t="str">
            <v>10.189.129.65</v>
          </cell>
          <cell r="Q1719" t="str">
            <v>/28</v>
          </cell>
          <cell r="R1719">
            <v>3451</v>
          </cell>
        </row>
        <row r="1720">
          <cell r="E1720" t="str">
            <v>AC288</v>
          </cell>
          <cell r="G1720" t="str">
            <v>10.189.89.75</v>
          </cell>
          <cell r="H1720" t="str">
            <v>10.189.89.65</v>
          </cell>
          <cell r="I1720" t="str">
            <v>/28</v>
          </cell>
          <cell r="J1720">
            <v>2651</v>
          </cell>
          <cell r="K1720" t="str">
            <v>10.189.109.75</v>
          </cell>
          <cell r="L1720" t="str">
            <v>10.189.109.65</v>
          </cell>
          <cell r="M1720" t="str">
            <v>/28</v>
          </cell>
          <cell r="N1720">
            <v>2951</v>
          </cell>
          <cell r="O1720" t="str">
            <v>10.189.129.75</v>
          </cell>
          <cell r="P1720" t="str">
            <v>10.189.129.65</v>
          </cell>
          <cell r="Q1720" t="str">
            <v>/28</v>
          </cell>
          <cell r="R1720">
            <v>3451</v>
          </cell>
        </row>
        <row r="1721">
          <cell r="E1721" t="str">
            <v>AC288</v>
          </cell>
          <cell r="G1721" t="str">
            <v>10.189.89.76</v>
          </cell>
          <cell r="H1721" t="str">
            <v>10.189.89.65</v>
          </cell>
          <cell r="I1721" t="str">
            <v>/28</v>
          </cell>
          <cell r="J1721">
            <v>2651</v>
          </cell>
          <cell r="K1721" t="str">
            <v>10.189.109.76</v>
          </cell>
          <cell r="L1721" t="str">
            <v>10.189.109.65</v>
          </cell>
          <cell r="M1721" t="str">
            <v>/28</v>
          </cell>
          <cell r="N1721">
            <v>2951</v>
          </cell>
          <cell r="O1721" t="str">
            <v>10.189.129.76</v>
          </cell>
          <cell r="P1721" t="str">
            <v>10.189.129.65</v>
          </cell>
          <cell r="Q1721" t="str">
            <v>/28</v>
          </cell>
          <cell r="R1721">
            <v>3451</v>
          </cell>
        </row>
        <row r="1722">
          <cell r="E1722" t="str">
            <v>AC288</v>
          </cell>
          <cell r="G1722" t="str">
            <v>10.189.89.77</v>
          </cell>
          <cell r="H1722" t="str">
            <v>10.189.89.65</v>
          </cell>
          <cell r="I1722" t="str">
            <v>/28</v>
          </cell>
          <cell r="J1722">
            <v>2651</v>
          </cell>
          <cell r="K1722" t="str">
            <v>10.189.109.77</v>
          </cell>
          <cell r="L1722" t="str">
            <v>10.189.109.65</v>
          </cell>
          <cell r="M1722" t="str">
            <v>/28</v>
          </cell>
          <cell r="N1722">
            <v>2951</v>
          </cell>
          <cell r="O1722" t="str">
            <v>10.189.129.77</v>
          </cell>
          <cell r="P1722" t="str">
            <v>10.189.129.65</v>
          </cell>
          <cell r="Q1722" t="str">
            <v>/28</v>
          </cell>
          <cell r="R1722">
            <v>3451</v>
          </cell>
        </row>
        <row r="1723">
          <cell r="E1723" t="str">
            <v>AC288</v>
          </cell>
          <cell r="G1723" t="str">
            <v>10.189.89.78</v>
          </cell>
          <cell r="H1723" t="str">
            <v>10.189.89.65</v>
          </cell>
          <cell r="I1723" t="str">
            <v>/28</v>
          </cell>
          <cell r="J1723">
            <v>2651</v>
          </cell>
          <cell r="K1723" t="str">
            <v>10.189.109.78</v>
          </cell>
          <cell r="L1723" t="str">
            <v>10.189.109.65</v>
          </cell>
          <cell r="M1723" t="str">
            <v>/28</v>
          </cell>
          <cell r="N1723">
            <v>2951</v>
          </cell>
          <cell r="O1723" t="str">
            <v>10.189.129.78</v>
          </cell>
          <cell r="P1723" t="str">
            <v>10.189.129.65</v>
          </cell>
          <cell r="Q1723" t="str">
            <v>/28</v>
          </cell>
          <cell r="R1723">
            <v>3451</v>
          </cell>
        </row>
        <row r="1724">
          <cell r="E1724" t="str">
            <v>AC288</v>
          </cell>
          <cell r="G1724" t="str">
            <v>10.189.89.79</v>
          </cell>
          <cell r="H1724" t="str">
            <v>10.189.89.65</v>
          </cell>
          <cell r="I1724" t="str">
            <v>/28</v>
          </cell>
          <cell r="J1724">
            <v>2651</v>
          </cell>
          <cell r="K1724" t="str">
            <v>10.189.109.79</v>
          </cell>
          <cell r="L1724" t="str">
            <v>10.189.109.65</v>
          </cell>
          <cell r="M1724" t="str">
            <v>/28</v>
          </cell>
          <cell r="N1724">
            <v>2951</v>
          </cell>
          <cell r="O1724" t="str">
            <v>10.189.129.79</v>
          </cell>
          <cell r="P1724" t="str">
            <v>10.189.129.65</v>
          </cell>
          <cell r="Q1724" t="str">
            <v>/28</v>
          </cell>
          <cell r="R1724">
            <v>3451</v>
          </cell>
        </row>
        <row r="1725">
          <cell r="E1725" t="str">
            <v>AC974</v>
          </cell>
          <cell r="G1725" t="str">
            <v>10.189.92.240</v>
          </cell>
          <cell r="H1725" t="str">
            <v>10.189.92.241</v>
          </cell>
          <cell r="I1725" t="str">
            <v>/28</v>
          </cell>
          <cell r="J1725">
            <v>2650</v>
          </cell>
          <cell r="K1725" t="str">
            <v>10.189.112.240</v>
          </cell>
          <cell r="L1725" t="str">
            <v>10.189.112.241</v>
          </cell>
          <cell r="M1725" t="str">
            <v>/28</v>
          </cell>
          <cell r="N1725">
            <v>2950</v>
          </cell>
          <cell r="O1725" t="str">
            <v>10.189.132.240</v>
          </cell>
          <cell r="P1725" t="str">
            <v>10.189.132.241</v>
          </cell>
          <cell r="Q1725" t="str">
            <v>/28</v>
          </cell>
          <cell r="R1725">
            <v>3450</v>
          </cell>
        </row>
        <row r="1726">
          <cell r="E1726" t="str">
            <v>AC974</v>
          </cell>
          <cell r="G1726" t="str">
            <v>10.189.92.241</v>
          </cell>
          <cell r="H1726" t="str">
            <v>10.189.92.241</v>
          </cell>
          <cell r="I1726" t="str">
            <v>/28</v>
          </cell>
          <cell r="J1726">
            <v>2650</v>
          </cell>
          <cell r="K1726" t="str">
            <v>10.189.112.241</v>
          </cell>
          <cell r="L1726" t="str">
            <v>10.189.112.241</v>
          </cell>
          <cell r="M1726" t="str">
            <v>/28</v>
          </cell>
          <cell r="N1726">
            <v>2950</v>
          </cell>
          <cell r="O1726" t="str">
            <v>10.189.132.241</v>
          </cell>
          <cell r="P1726" t="str">
            <v>10.189.132.241</v>
          </cell>
          <cell r="Q1726" t="str">
            <v>/28</v>
          </cell>
          <cell r="R1726">
            <v>3450</v>
          </cell>
        </row>
        <row r="1727">
          <cell r="E1727" t="str">
            <v>AC974</v>
          </cell>
          <cell r="G1727" t="str">
            <v>10.189.92.242</v>
          </cell>
          <cell r="H1727" t="str">
            <v>10.189.92.241</v>
          </cell>
          <cell r="I1727" t="str">
            <v>/28</v>
          </cell>
          <cell r="J1727">
            <v>2650</v>
          </cell>
          <cell r="K1727" t="str">
            <v>10.189.112.242</v>
          </cell>
          <cell r="L1727" t="str">
            <v>10.189.112.241</v>
          </cell>
          <cell r="M1727" t="str">
            <v>/28</v>
          </cell>
          <cell r="N1727">
            <v>2950</v>
          </cell>
          <cell r="O1727" t="str">
            <v>10.189.132.242</v>
          </cell>
          <cell r="P1727" t="str">
            <v>10.189.132.241</v>
          </cell>
          <cell r="Q1727" t="str">
            <v>/28</v>
          </cell>
          <cell r="R1727">
            <v>3450</v>
          </cell>
        </row>
        <row r="1728">
          <cell r="E1728" t="str">
            <v>AC974</v>
          </cell>
          <cell r="G1728" t="str">
            <v>10.189.92.243</v>
          </cell>
          <cell r="H1728" t="str">
            <v>10.189.92.241</v>
          </cell>
          <cell r="I1728" t="str">
            <v>/28</v>
          </cell>
          <cell r="J1728">
            <v>2650</v>
          </cell>
          <cell r="K1728" t="str">
            <v>10.189.112.243</v>
          </cell>
          <cell r="L1728" t="str">
            <v>10.189.112.241</v>
          </cell>
          <cell r="M1728" t="str">
            <v>/28</v>
          </cell>
          <cell r="N1728">
            <v>2950</v>
          </cell>
          <cell r="O1728" t="str">
            <v>10.189.132.243</v>
          </cell>
          <cell r="P1728" t="str">
            <v>10.189.132.241</v>
          </cell>
          <cell r="Q1728" t="str">
            <v>/28</v>
          </cell>
          <cell r="R1728">
            <v>3450</v>
          </cell>
        </row>
        <row r="1729">
          <cell r="E1729" t="str">
            <v>AC974</v>
          </cell>
          <cell r="G1729" t="str">
            <v>10.189.92.244</v>
          </cell>
          <cell r="H1729" t="str">
            <v>10.189.92.241</v>
          </cell>
          <cell r="I1729" t="str">
            <v>/28</v>
          </cell>
          <cell r="J1729">
            <v>2650</v>
          </cell>
          <cell r="K1729" t="str">
            <v>10.189.112.244</v>
          </cell>
          <cell r="L1729" t="str">
            <v>10.189.112.241</v>
          </cell>
          <cell r="M1729" t="str">
            <v>/28</v>
          </cell>
          <cell r="N1729">
            <v>2950</v>
          </cell>
          <cell r="O1729" t="str">
            <v>10.189.132.244</v>
          </cell>
          <cell r="P1729" t="str">
            <v>10.189.132.241</v>
          </cell>
          <cell r="Q1729" t="str">
            <v>/28</v>
          </cell>
          <cell r="R1729">
            <v>3450</v>
          </cell>
        </row>
        <row r="1730">
          <cell r="E1730" t="str">
            <v>AC974</v>
          </cell>
          <cell r="G1730" t="str">
            <v>10.189.92.245</v>
          </cell>
          <cell r="H1730" t="str">
            <v>10.189.92.241</v>
          </cell>
          <cell r="I1730" t="str">
            <v>/28</v>
          </cell>
          <cell r="J1730">
            <v>2650</v>
          </cell>
          <cell r="K1730" t="str">
            <v>10.189.112.245</v>
          </cell>
          <cell r="L1730" t="str">
            <v>10.189.112.241</v>
          </cell>
          <cell r="M1730" t="str">
            <v>/28</v>
          </cell>
          <cell r="N1730">
            <v>2950</v>
          </cell>
          <cell r="O1730" t="str">
            <v>10.189.132.245</v>
          </cell>
          <cell r="P1730" t="str">
            <v>10.189.132.241</v>
          </cell>
          <cell r="Q1730" t="str">
            <v>/28</v>
          </cell>
          <cell r="R1730">
            <v>3450</v>
          </cell>
        </row>
        <row r="1731">
          <cell r="E1731" t="str">
            <v>AC974</v>
          </cell>
          <cell r="G1731" t="str">
            <v>10.189.92.246</v>
          </cell>
          <cell r="H1731" t="str">
            <v>10.189.92.241</v>
          </cell>
          <cell r="I1731" t="str">
            <v>/28</v>
          </cell>
          <cell r="J1731">
            <v>2650</v>
          </cell>
          <cell r="K1731" t="str">
            <v>10.189.112.246</v>
          </cell>
          <cell r="L1731" t="str">
            <v>10.189.112.241</v>
          </cell>
          <cell r="M1731" t="str">
            <v>/28</v>
          </cell>
          <cell r="N1731">
            <v>2950</v>
          </cell>
          <cell r="O1731" t="str">
            <v>10.189.132.246</v>
          </cell>
          <cell r="P1731" t="str">
            <v>10.189.132.241</v>
          </cell>
          <cell r="Q1731" t="str">
            <v>/28</v>
          </cell>
          <cell r="R1731">
            <v>3450</v>
          </cell>
        </row>
        <row r="1732">
          <cell r="E1732" t="str">
            <v>AC974</v>
          </cell>
          <cell r="G1732" t="str">
            <v>10.189.92.247</v>
          </cell>
          <cell r="H1732" t="str">
            <v>10.189.92.241</v>
          </cell>
          <cell r="I1732" t="str">
            <v>/28</v>
          </cell>
          <cell r="J1732">
            <v>2650</v>
          </cell>
          <cell r="K1732" t="str">
            <v>10.189.112.247</v>
          </cell>
          <cell r="L1732" t="str">
            <v>10.189.112.241</v>
          </cell>
          <cell r="M1732" t="str">
            <v>/28</v>
          </cell>
          <cell r="N1732">
            <v>2950</v>
          </cell>
          <cell r="O1732" t="str">
            <v>10.189.132.247</v>
          </cell>
          <cell r="P1732" t="str">
            <v>10.189.132.241</v>
          </cell>
          <cell r="Q1732" t="str">
            <v>/28</v>
          </cell>
          <cell r="R1732">
            <v>3450</v>
          </cell>
        </row>
        <row r="1733">
          <cell r="E1733" t="str">
            <v>AC974</v>
          </cell>
          <cell r="G1733" t="str">
            <v>10.189.92.248</v>
          </cell>
          <cell r="H1733" t="str">
            <v>10.189.92.241</v>
          </cell>
          <cell r="I1733" t="str">
            <v>/28</v>
          </cell>
          <cell r="J1733">
            <v>2650</v>
          </cell>
          <cell r="K1733" t="str">
            <v>10.189.112.248</v>
          </cell>
          <cell r="L1733" t="str">
            <v>10.189.112.241</v>
          </cell>
          <cell r="M1733" t="str">
            <v>/28</v>
          </cell>
          <cell r="N1733">
            <v>2950</v>
          </cell>
          <cell r="O1733" t="str">
            <v>10.189.132.248</v>
          </cell>
          <cell r="P1733" t="str">
            <v>10.189.132.241</v>
          </cell>
          <cell r="Q1733" t="str">
            <v>/28</v>
          </cell>
          <cell r="R1733">
            <v>3450</v>
          </cell>
        </row>
        <row r="1734">
          <cell r="E1734" t="str">
            <v>AC974</v>
          </cell>
          <cell r="G1734" t="str">
            <v>10.189.92.249</v>
          </cell>
          <cell r="H1734" t="str">
            <v>10.189.92.241</v>
          </cell>
          <cell r="I1734" t="str">
            <v>/28</v>
          </cell>
          <cell r="J1734">
            <v>2650</v>
          </cell>
          <cell r="K1734" t="str">
            <v>10.189.112.249</v>
          </cell>
          <cell r="L1734" t="str">
            <v>10.189.112.241</v>
          </cell>
          <cell r="M1734" t="str">
            <v>/28</v>
          </cell>
          <cell r="N1734">
            <v>2950</v>
          </cell>
          <cell r="O1734" t="str">
            <v>10.189.132.249</v>
          </cell>
          <cell r="P1734" t="str">
            <v>10.189.132.241</v>
          </cell>
          <cell r="Q1734" t="str">
            <v>/28</v>
          </cell>
          <cell r="R1734">
            <v>3450</v>
          </cell>
        </row>
        <row r="1735">
          <cell r="E1735" t="str">
            <v>AC974</v>
          </cell>
          <cell r="G1735" t="str">
            <v>10.189.92.250</v>
          </cell>
          <cell r="H1735" t="str">
            <v>10.189.92.241</v>
          </cell>
          <cell r="I1735" t="str">
            <v>/28</v>
          </cell>
          <cell r="J1735">
            <v>2650</v>
          </cell>
          <cell r="K1735" t="str">
            <v>10.189.112.250</v>
          </cell>
          <cell r="L1735" t="str">
            <v>10.189.112.241</v>
          </cell>
          <cell r="M1735" t="str">
            <v>/28</v>
          </cell>
          <cell r="N1735">
            <v>2950</v>
          </cell>
          <cell r="O1735" t="str">
            <v>10.189.132.250</v>
          </cell>
          <cell r="P1735" t="str">
            <v>10.189.132.241</v>
          </cell>
          <cell r="Q1735" t="str">
            <v>/28</v>
          </cell>
          <cell r="R1735">
            <v>3450</v>
          </cell>
        </row>
        <row r="1736">
          <cell r="E1736" t="str">
            <v>AC974</v>
          </cell>
          <cell r="G1736" t="str">
            <v>10.189.92.251</v>
          </cell>
          <cell r="H1736" t="str">
            <v>10.189.92.241</v>
          </cell>
          <cell r="I1736" t="str">
            <v>/28</v>
          </cell>
          <cell r="J1736">
            <v>2650</v>
          </cell>
          <cell r="K1736" t="str">
            <v>10.189.112.251</v>
          </cell>
          <cell r="L1736" t="str">
            <v>10.189.112.241</v>
          </cell>
          <cell r="M1736" t="str">
            <v>/28</v>
          </cell>
          <cell r="N1736">
            <v>2950</v>
          </cell>
          <cell r="O1736" t="str">
            <v>10.189.132.251</v>
          </cell>
          <cell r="P1736" t="str">
            <v>10.189.132.241</v>
          </cell>
          <cell r="Q1736" t="str">
            <v>/28</v>
          </cell>
          <cell r="R1736">
            <v>3450</v>
          </cell>
        </row>
        <row r="1737">
          <cell r="E1737" t="str">
            <v>AC974</v>
          </cell>
          <cell r="G1737" t="str">
            <v>10.189.92.252</v>
          </cell>
          <cell r="H1737" t="str">
            <v>10.189.92.241</v>
          </cell>
          <cell r="I1737" t="str">
            <v>/28</v>
          </cell>
          <cell r="J1737">
            <v>2650</v>
          </cell>
          <cell r="K1737" t="str">
            <v>10.189.112.252</v>
          </cell>
          <cell r="L1737" t="str">
            <v>10.189.112.241</v>
          </cell>
          <cell r="M1737" t="str">
            <v>/28</v>
          </cell>
          <cell r="N1737">
            <v>2950</v>
          </cell>
          <cell r="O1737" t="str">
            <v>10.189.132.252</v>
          </cell>
          <cell r="P1737" t="str">
            <v>10.189.132.241</v>
          </cell>
          <cell r="Q1737" t="str">
            <v>/28</v>
          </cell>
          <cell r="R1737">
            <v>3450</v>
          </cell>
        </row>
        <row r="1738">
          <cell r="E1738" t="str">
            <v>AC974</v>
          </cell>
          <cell r="G1738" t="str">
            <v>10.189.92.253</v>
          </cell>
          <cell r="H1738" t="str">
            <v>10.189.92.241</v>
          </cell>
          <cell r="I1738" t="str">
            <v>/28</v>
          </cell>
          <cell r="J1738">
            <v>2650</v>
          </cell>
          <cell r="K1738" t="str">
            <v>10.189.112.253</v>
          </cell>
          <cell r="L1738" t="str">
            <v>10.189.112.241</v>
          </cell>
          <cell r="M1738" t="str">
            <v>/28</v>
          </cell>
          <cell r="N1738">
            <v>2950</v>
          </cell>
          <cell r="O1738" t="str">
            <v>10.189.132.253</v>
          </cell>
          <cell r="P1738" t="str">
            <v>10.189.132.241</v>
          </cell>
          <cell r="Q1738" t="str">
            <v>/28</v>
          </cell>
          <cell r="R1738">
            <v>3450</v>
          </cell>
        </row>
        <row r="1739">
          <cell r="E1739" t="str">
            <v>AC974</v>
          </cell>
          <cell r="G1739" t="str">
            <v>10.189.92.254</v>
          </cell>
          <cell r="H1739" t="str">
            <v>10.189.92.241</v>
          </cell>
          <cell r="I1739" t="str">
            <v>/28</v>
          </cell>
          <cell r="J1739">
            <v>2650</v>
          </cell>
          <cell r="K1739" t="str">
            <v>10.189.112.254</v>
          </cell>
          <cell r="L1739" t="str">
            <v>10.189.112.241</v>
          </cell>
          <cell r="M1739" t="str">
            <v>/28</v>
          </cell>
          <cell r="N1739">
            <v>2950</v>
          </cell>
          <cell r="O1739" t="str">
            <v>10.189.132.254</v>
          </cell>
          <cell r="P1739" t="str">
            <v>10.189.132.241</v>
          </cell>
          <cell r="Q1739" t="str">
            <v>/28</v>
          </cell>
          <cell r="R1739">
            <v>3450</v>
          </cell>
        </row>
        <row r="1740">
          <cell r="E1740" t="str">
            <v>AC974</v>
          </cell>
          <cell r="G1740" t="str">
            <v>10.189.92.255</v>
          </cell>
          <cell r="H1740" t="str">
            <v>10.189.92.241</v>
          </cell>
          <cell r="I1740" t="str">
            <v>/28</v>
          </cell>
          <cell r="J1740">
            <v>2650</v>
          </cell>
          <cell r="K1740" t="str">
            <v>10.189.112.255</v>
          </cell>
          <cell r="L1740" t="str">
            <v>10.189.112.241</v>
          </cell>
          <cell r="M1740" t="str">
            <v>/28</v>
          </cell>
          <cell r="N1740">
            <v>2950</v>
          </cell>
          <cell r="O1740" t="str">
            <v>10.189.132.255</v>
          </cell>
          <cell r="P1740" t="str">
            <v>10.189.132.241</v>
          </cell>
          <cell r="Q1740" t="str">
            <v>/28</v>
          </cell>
          <cell r="R1740">
            <v>3450</v>
          </cell>
        </row>
        <row r="1741">
          <cell r="E1741" t="str">
            <v>AC974</v>
          </cell>
          <cell r="G1741" t="str">
            <v>10.189.89.16</v>
          </cell>
          <cell r="H1741" t="str">
            <v>10.189.89.17</v>
          </cell>
          <cell r="I1741" t="str">
            <v>/28</v>
          </cell>
          <cell r="J1741">
            <v>2651</v>
          </cell>
          <cell r="K1741" t="str">
            <v>10.189.109.16</v>
          </cell>
          <cell r="L1741" t="str">
            <v>10.189.109.17</v>
          </cell>
          <cell r="M1741" t="str">
            <v>/28</v>
          </cell>
          <cell r="N1741">
            <v>2951</v>
          </cell>
          <cell r="O1741" t="str">
            <v>10.189.129.16</v>
          </cell>
          <cell r="P1741" t="str">
            <v>10.189.129.17</v>
          </cell>
          <cell r="Q1741" t="str">
            <v>/28</v>
          </cell>
          <cell r="R1741">
            <v>3451</v>
          </cell>
        </row>
        <row r="1742">
          <cell r="E1742" t="str">
            <v>AC974</v>
          </cell>
          <cell r="G1742" t="str">
            <v>10.189.89.17</v>
          </cell>
          <cell r="H1742" t="str">
            <v>10.189.89.17</v>
          </cell>
          <cell r="I1742" t="str">
            <v>/28</v>
          </cell>
          <cell r="J1742">
            <v>2651</v>
          </cell>
          <cell r="K1742" t="str">
            <v>10.189.109.17</v>
          </cell>
          <cell r="L1742" t="str">
            <v>10.189.109.17</v>
          </cell>
          <cell r="M1742" t="str">
            <v>/28</v>
          </cell>
          <cell r="N1742">
            <v>2951</v>
          </cell>
          <cell r="O1742" t="str">
            <v>10.189.129.17</v>
          </cell>
          <cell r="P1742" t="str">
            <v>10.189.129.17</v>
          </cell>
          <cell r="Q1742" t="str">
            <v>/28</v>
          </cell>
          <cell r="R1742">
            <v>3451</v>
          </cell>
        </row>
        <row r="1743">
          <cell r="E1743" t="str">
            <v>AC974</v>
          </cell>
          <cell r="G1743" t="str">
            <v>10.189.89.18</v>
          </cell>
          <cell r="H1743" t="str">
            <v>10.189.89.17</v>
          </cell>
          <cell r="I1743" t="str">
            <v>/28</v>
          </cell>
          <cell r="J1743">
            <v>2651</v>
          </cell>
          <cell r="K1743" t="str">
            <v>10.189.109.18</v>
          </cell>
          <cell r="L1743" t="str">
            <v>10.189.109.17</v>
          </cell>
          <cell r="M1743" t="str">
            <v>/28</v>
          </cell>
          <cell r="N1743">
            <v>2951</v>
          </cell>
          <cell r="O1743" t="str">
            <v>10.189.129.18</v>
          </cell>
          <cell r="P1743" t="str">
            <v>10.189.129.17</v>
          </cell>
          <cell r="Q1743" t="str">
            <v>/28</v>
          </cell>
          <cell r="R1743">
            <v>3451</v>
          </cell>
        </row>
        <row r="1744">
          <cell r="E1744" t="str">
            <v>AC974</v>
          </cell>
          <cell r="G1744" t="str">
            <v>10.189.89.19</v>
          </cell>
          <cell r="H1744" t="str">
            <v>10.189.89.17</v>
          </cell>
          <cell r="I1744" t="str">
            <v>/28</v>
          </cell>
          <cell r="J1744">
            <v>2651</v>
          </cell>
          <cell r="K1744" t="str">
            <v>10.189.109.19</v>
          </cell>
          <cell r="L1744" t="str">
            <v>10.189.109.17</v>
          </cell>
          <cell r="M1744" t="str">
            <v>/28</v>
          </cell>
          <cell r="N1744">
            <v>2951</v>
          </cell>
          <cell r="O1744" t="str">
            <v>10.189.129.19</v>
          </cell>
          <cell r="P1744" t="str">
            <v>10.189.129.17</v>
          </cell>
          <cell r="Q1744" t="str">
            <v>/28</v>
          </cell>
          <cell r="R1744">
            <v>3451</v>
          </cell>
        </row>
        <row r="1745">
          <cell r="E1745" t="str">
            <v>AC974</v>
          </cell>
          <cell r="G1745" t="str">
            <v>10.189.89.20</v>
          </cell>
          <cell r="H1745" t="str">
            <v>10.189.89.17</v>
          </cell>
          <cell r="I1745" t="str">
            <v>/28</v>
          </cell>
          <cell r="J1745">
            <v>2651</v>
          </cell>
          <cell r="K1745" t="str">
            <v>10.189.109.20</v>
          </cell>
          <cell r="L1745" t="str">
            <v>10.189.109.17</v>
          </cell>
          <cell r="M1745" t="str">
            <v>/28</v>
          </cell>
          <cell r="N1745">
            <v>2951</v>
          </cell>
          <cell r="O1745" t="str">
            <v>10.189.129.20</v>
          </cell>
          <cell r="P1745" t="str">
            <v>10.189.129.17</v>
          </cell>
          <cell r="Q1745" t="str">
            <v>/28</v>
          </cell>
          <cell r="R1745">
            <v>3451</v>
          </cell>
        </row>
        <row r="1746">
          <cell r="E1746" t="str">
            <v>AC974</v>
          </cell>
          <cell r="G1746" t="str">
            <v>10.189.89.21</v>
          </cell>
          <cell r="H1746" t="str">
            <v>10.189.89.17</v>
          </cell>
          <cell r="I1746" t="str">
            <v>/28</v>
          </cell>
          <cell r="J1746">
            <v>2651</v>
          </cell>
          <cell r="K1746" t="str">
            <v>10.189.109.21</v>
          </cell>
          <cell r="L1746" t="str">
            <v>10.189.109.17</v>
          </cell>
          <cell r="M1746" t="str">
            <v>/28</v>
          </cell>
          <cell r="N1746">
            <v>2951</v>
          </cell>
          <cell r="O1746" t="str">
            <v>10.189.129.21</v>
          </cell>
          <cell r="P1746" t="str">
            <v>10.189.129.17</v>
          </cell>
          <cell r="Q1746" t="str">
            <v>/28</v>
          </cell>
          <cell r="R1746">
            <v>3451</v>
          </cell>
        </row>
        <row r="1747">
          <cell r="E1747" t="str">
            <v>AC974</v>
          </cell>
          <cell r="G1747" t="str">
            <v>10.189.89.22</v>
          </cell>
          <cell r="H1747" t="str">
            <v>10.189.89.17</v>
          </cell>
          <cell r="I1747" t="str">
            <v>/28</v>
          </cell>
          <cell r="J1747">
            <v>2651</v>
          </cell>
          <cell r="K1747" t="str">
            <v>10.189.109.22</v>
          </cell>
          <cell r="L1747" t="str">
            <v>10.189.109.17</v>
          </cell>
          <cell r="M1747" t="str">
            <v>/28</v>
          </cell>
          <cell r="N1747">
            <v>2951</v>
          </cell>
          <cell r="O1747" t="str">
            <v>10.189.129.22</v>
          </cell>
          <cell r="P1747" t="str">
            <v>10.189.129.17</v>
          </cell>
          <cell r="Q1747" t="str">
            <v>/28</v>
          </cell>
          <cell r="R1747">
            <v>3451</v>
          </cell>
        </row>
        <row r="1748">
          <cell r="E1748" t="str">
            <v>AC974</v>
          </cell>
          <cell r="G1748" t="str">
            <v>10.189.89.23</v>
          </cell>
          <cell r="H1748" t="str">
            <v>10.189.89.17</v>
          </cell>
          <cell r="I1748" t="str">
            <v>/28</v>
          </cell>
          <cell r="J1748">
            <v>2651</v>
          </cell>
          <cell r="K1748" t="str">
            <v>10.189.109.23</v>
          </cell>
          <cell r="L1748" t="str">
            <v>10.189.109.17</v>
          </cell>
          <cell r="M1748" t="str">
            <v>/28</v>
          </cell>
          <cell r="N1748">
            <v>2951</v>
          </cell>
          <cell r="O1748" t="str">
            <v>10.189.129.23</v>
          </cell>
          <cell r="P1748" t="str">
            <v>10.189.129.17</v>
          </cell>
          <cell r="Q1748" t="str">
            <v>/28</v>
          </cell>
          <cell r="R1748">
            <v>3451</v>
          </cell>
        </row>
        <row r="1749">
          <cell r="E1749" t="str">
            <v>AC974</v>
          </cell>
          <cell r="G1749" t="str">
            <v>10.189.89.24</v>
          </cell>
          <cell r="H1749" t="str">
            <v>10.189.89.17</v>
          </cell>
          <cell r="I1749" t="str">
            <v>/28</v>
          </cell>
          <cell r="J1749">
            <v>2651</v>
          </cell>
          <cell r="K1749" t="str">
            <v>10.189.109.24</v>
          </cell>
          <cell r="L1749" t="str">
            <v>10.189.109.17</v>
          </cell>
          <cell r="M1749" t="str">
            <v>/28</v>
          </cell>
          <cell r="N1749">
            <v>2951</v>
          </cell>
          <cell r="O1749" t="str">
            <v>10.189.129.24</v>
          </cell>
          <cell r="P1749" t="str">
            <v>10.189.129.17</v>
          </cell>
          <cell r="Q1749" t="str">
            <v>/28</v>
          </cell>
          <cell r="R1749">
            <v>3451</v>
          </cell>
        </row>
        <row r="1750">
          <cell r="E1750" t="str">
            <v>AC974</v>
          </cell>
          <cell r="G1750" t="str">
            <v>10.189.89.25</v>
          </cell>
          <cell r="H1750" t="str">
            <v>10.189.89.17</v>
          </cell>
          <cell r="I1750" t="str">
            <v>/28</v>
          </cell>
          <cell r="J1750">
            <v>2651</v>
          </cell>
          <cell r="K1750" t="str">
            <v>10.189.109.25</v>
          </cell>
          <cell r="L1750" t="str">
            <v>10.189.109.17</v>
          </cell>
          <cell r="M1750" t="str">
            <v>/28</v>
          </cell>
          <cell r="N1750">
            <v>2951</v>
          </cell>
          <cell r="O1750" t="str">
            <v>10.189.129.25</v>
          </cell>
          <cell r="P1750" t="str">
            <v>10.189.129.17</v>
          </cell>
          <cell r="Q1750" t="str">
            <v>/28</v>
          </cell>
          <cell r="R1750">
            <v>3451</v>
          </cell>
        </row>
        <row r="1751">
          <cell r="E1751" t="str">
            <v>AC974</v>
          </cell>
          <cell r="G1751" t="str">
            <v>10.189.89.26</v>
          </cell>
          <cell r="H1751" t="str">
            <v>10.189.89.17</v>
          </cell>
          <cell r="I1751" t="str">
            <v>/28</v>
          </cell>
          <cell r="J1751">
            <v>2651</v>
          </cell>
          <cell r="K1751" t="str">
            <v>10.189.109.26</v>
          </cell>
          <cell r="L1751" t="str">
            <v>10.189.109.17</v>
          </cell>
          <cell r="M1751" t="str">
            <v>/28</v>
          </cell>
          <cell r="N1751">
            <v>2951</v>
          </cell>
          <cell r="O1751" t="str">
            <v>10.189.129.26</v>
          </cell>
          <cell r="P1751" t="str">
            <v>10.189.129.17</v>
          </cell>
          <cell r="Q1751" t="str">
            <v>/28</v>
          </cell>
          <cell r="R1751">
            <v>3451</v>
          </cell>
        </row>
        <row r="1752">
          <cell r="E1752" t="str">
            <v>AC974</v>
          </cell>
          <cell r="G1752" t="str">
            <v>10.189.89.27</v>
          </cell>
          <cell r="H1752" t="str">
            <v>10.189.89.17</v>
          </cell>
          <cell r="I1752" t="str">
            <v>/28</v>
          </cell>
          <cell r="J1752">
            <v>2651</v>
          </cell>
          <cell r="K1752" t="str">
            <v>10.189.109.27</v>
          </cell>
          <cell r="L1752" t="str">
            <v>10.189.109.17</v>
          </cell>
          <cell r="M1752" t="str">
            <v>/28</v>
          </cell>
          <cell r="N1752">
            <v>2951</v>
          </cell>
          <cell r="O1752" t="str">
            <v>10.189.129.27</v>
          </cell>
          <cell r="P1752" t="str">
            <v>10.189.129.17</v>
          </cell>
          <cell r="Q1752" t="str">
            <v>/28</v>
          </cell>
          <cell r="R1752">
            <v>3451</v>
          </cell>
        </row>
        <row r="1753">
          <cell r="E1753" t="str">
            <v>AC974</v>
          </cell>
          <cell r="G1753" t="str">
            <v>10.189.89.28</v>
          </cell>
          <cell r="H1753" t="str">
            <v>10.189.89.17</v>
          </cell>
          <cell r="I1753" t="str">
            <v>/28</v>
          </cell>
          <cell r="J1753">
            <v>2651</v>
          </cell>
          <cell r="K1753" t="str">
            <v>10.189.109.28</v>
          </cell>
          <cell r="L1753" t="str">
            <v>10.189.109.17</v>
          </cell>
          <cell r="M1753" t="str">
            <v>/28</v>
          </cell>
          <cell r="N1753">
            <v>2951</v>
          </cell>
          <cell r="O1753" t="str">
            <v>10.189.129.28</v>
          </cell>
          <cell r="P1753" t="str">
            <v>10.189.129.17</v>
          </cell>
          <cell r="Q1753" t="str">
            <v>/28</v>
          </cell>
          <cell r="R1753">
            <v>3451</v>
          </cell>
        </row>
        <row r="1754">
          <cell r="E1754" t="str">
            <v>AC974</v>
          </cell>
          <cell r="G1754" t="str">
            <v>10.189.89.29</v>
          </cell>
          <cell r="H1754" t="str">
            <v>10.189.89.17</v>
          </cell>
          <cell r="I1754" t="str">
            <v>/28</v>
          </cell>
          <cell r="J1754">
            <v>2651</v>
          </cell>
          <cell r="K1754" t="str">
            <v>10.189.109.29</v>
          </cell>
          <cell r="L1754" t="str">
            <v>10.189.109.17</v>
          </cell>
          <cell r="M1754" t="str">
            <v>/28</v>
          </cell>
          <cell r="N1754">
            <v>2951</v>
          </cell>
          <cell r="O1754" t="str">
            <v>10.189.129.29</v>
          </cell>
          <cell r="P1754" t="str">
            <v>10.189.129.17</v>
          </cell>
          <cell r="Q1754" t="str">
            <v>/28</v>
          </cell>
          <cell r="R1754">
            <v>3451</v>
          </cell>
        </row>
        <row r="1755">
          <cell r="E1755" t="str">
            <v>AC974</v>
          </cell>
          <cell r="G1755" t="str">
            <v>10.189.89.30</v>
          </cell>
          <cell r="H1755" t="str">
            <v>10.189.89.17</v>
          </cell>
          <cell r="I1755" t="str">
            <v>/28</v>
          </cell>
          <cell r="J1755">
            <v>2651</v>
          </cell>
          <cell r="K1755" t="str">
            <v>10.189.109.30</v>
          </cell>
          <cell r="L1755" t="str">
            <v>10.189.109.17</v>
          </cell>
          <cell r="M1755" t="str">
            <v>/28</v>
          </cell>
          <cell r="N1755">
            <v>2951</v>
          </cell>
          <cell r="O1755" t="str">
            <v>10.189.129.30</v>
          </cell>
          <cell r="P1755" t="str">
            <v>10.189.129.17</v>
          </cell>
          <cell r="Q1755" t="str">
            <v>/28</v>
          </cell>
          <cell r="R1755">
            <v>3451</v>
          </cell>
        </row>
        <row r="1756">
          <cell r="E1756" t="str">
            <v>AC974</v>
          </cell>
          <cell r="G1756" t="str">
            <v>10.189.89.31</v>
          </cell>
          <cell r="H1756" t="str">
            <v>10.189.89.17</v>
          </cell>
          <cell r="I1756" t="str">
            <v>/28</v>
          </cell>
          <cell r="J1756">
            <v>2651</v>
          </cell>
          <cell r="K1756" t="str">
            <v>10.189.109.31</v>
          </cell>
          <cell r="L1756" t="str">
            <v>10.189.109.17</v>
          </cell>
          <cell r="M1756" t="str">
            <v>/28</v>
          </cell>
          <cell r="N1756">
            <v>2951</v>
          </cell>
          <cell r="O1756" t="str">
            <v>10.189.129.31</v>
          </cell>
          <cell r="P1756" t="str">
            <v>10.189.129.17</v>
          </cell>
          <cell r="Q1756" t="str">
            <v>/28</v>
          </cell>
          <cell r="R1756">
            <v>3451</v>
          </cell>
        </row>
        <row r="1757">
          <cell r="E1757" t="str">
            <v>ET010</v>
          </cell>
          <cell r="G1757" t="str">
            <v>10.189.89.80</v>
          </cell>
          <cell r="H1757" t="str">
            <v>10.189.89.81</v>
          </cell>
          <cell r="I1757" t="str">
            <v>/28</v>
          </cell>
          <cell r="J1757">
            <v>2650</v>
          </cell>
          <cell r="K1757" t="str">
            <v>10.189.109.80</v>
          </cell>
          <cell r="L1757" t="str">
            <v>10.189.109.81</v>
          </cell>
          <cell r="M1757" t="str">
            <v>/28</v>
          </cell>
          <cell r="N1757">
            <v>2950</v>
          </cell>
          <cell r="O1757" t="str">
            <v>10.189.129.80</v>
          </cell>
          <cell r="P1757" t="str">
            <v>10.189.129.81</v>
          </cell>
          <cell r="Q1757" t="str">
            <v>/28</v>
          </cell>
          <cell r="R1757">
            <v>3450</v>
          </cell>
        </row>
        <row r="1758">
          <cell r="E1758" t="str">
            <v>ET010</v>
          </cell>
          <cell r="G1758" t="str">
            <v>10.189.89.81</v>
          </cell>
          <cell r="H1758" t="str">
            <v>10.189.89.81</v>
          </cell>
          <cell r="I1758" t="str">
            <v>/28</v>
          </cell>
          <cell r="J1758">
            <v>2650</v>
          </cell>
          <cell r="K1758" t="str">
            <v>10.189.109.81</v>
          </cell>
          <cell r="L1758" t="str">
            <v>10.189.109.81</v>
          </cell>
          <cell r="M1758" t="str">
            <v>/28</v>
          </cell>
          <cell r="N1758">
            <v>2950</v>
          </cell>
          <cell r="O1758" t="str">
            <v>10.189.129.81</v>
          </cell>
          <cell r="P1758" t="str">
            <v>10.189.129.81</v>
          </cell>
          <cell r="Q1758" t="str">
            <v>/28</v>
          </cell>
          <cell r="R1758">
            <v>3450</v>
          </cell>
        </row>
        <row r="1759">
          <cell r="E1759" t="str">
            <v>ET010</v>
          </cell>
          <cell r="G1759" t="str">
            <v>10.189.89.82</v>
          </cell>
          <cell r="H1759" t="str">
            <v>10.189.89.81</v>
          </cell>
          <cell r="I1759" t="str">
            <v>/28</v>
          </cell>
          <cell r="J1759">
            <v>2650</v>
          </cell>
          <cell r="K1759" t="str">
            <v>10.189.109.82</v>
          </cell>
          <cell r="L1759" t="str">
            <v>10.189.109.81</v>
          </cell>
          <cell r="M1759" t="str">
            <v>/28</v>
          </cell>
          <cell r="N1759">
            <v>2950</v>
          </cell>
          <cell r="O1759" t="str">
            <v>10.189.129.82</v>
          </cell>
          <cell r="P1759" t="str">
            <v>10.189.129.81</v>
          </cell>
          <cell r="Q1759" t="str">
            <v>/28</v>
          </cell>
          <cell r="R1759">
            <v>3450</v>
          </cell>
        </row>
        <row r="1760">
          <cell r="E1760" t="str">
            <v>ET010</v>
          </cell>
          <cell r="G1760" t="str">
            <v>10.189.89.83</v>
          </cell>
          <cell r="H1760" t="str">
            <v>10.189.89.81</v>
          </cell>
          <cell r="I1760" t="str">
            <v>/28</v>
          </cell>
          <cell r="J1760">
            <v>2650</v>
          </cell>
          <cell r="K1760" t="str">
            <v>10.189.109.83</v>
          </cell>
          <cell r="L1760" t="str">
            <v>10.189.109.81</v>
          </cell>
          <cell r="M1760" t="str">
            <v>/28</v>
          </cell>
          <cell r="N1760">
            <v>2950</v>
          </cell>
          <cell r="O1760" t="str">
            <v>10.189.129.83</v>
          </cell>
          <cell r="P1760" t="str">
            <v>10.189.129.81</v>
          </cell>
          <cell r="Q1760" t="str">
            <v>/28</v>
          </cell>
          <cell r="R1760">
            <v>3450</v>
          </cell>
        </row>
        <row r="1761">
          <cell r="E1761" t="str">
            <v>ET010</v>
          </cell>
          <cell r="G1761" t="str">
            <v>10.189.89.84</v>
          </cell>
          <cell r="H1761" t="str">
            <v>10.189.89.81</v>
          </cell>
          <cell r="I1761" t="str">
            <v>/28</v>
          </cell>
          <cell r="J1761">
            <v>2650</v>
          </cell>
          <cell r="K1761" t="str">
            <v>10.189.109.84</v>
          </cell>
          <cell r="L1761" t="str">
            <v>10.189.109.81</v>
          </cell>
          <cell r="M1761" t="str">
            <v>/28</v>
          </cell>
          <cell r="N1761">
            <v>2950</v>
          </cell>
          <cell r="O1761" t="str">
            <v>10.189.129.84</v>
          </cell>
          <cell r="P1761" t="str">
            <v>10.189.129.81</v>
          </cell>
          <cell r="Q1761" t="str">
            <v>/28</v>
          </cell>
          <cell r="R1761">
            <v>3450</v>
          </cell>
        </row>
        <row r="1762">
          <cell r="E1762" t="str">
            <v>ET010</v>
          </cell>
          <cell r="G1762" t="str">
            <v>10.189.89.85</v>
          </cell>
          <cell r="H1762" t="str">
            <v>10.189.89.81</v>
          </cell>
          <cell r="I1762" t="str">
            <v>/28</v>
          </cell>
          <cell r="J1762">
            <v>2650</v>
          </cell>
          <cell r="K1762" t="str">
            <v>10.189.109.85</v>
          </cell>
          <cell r="L1762" t="str">
            <v>10.189.109.81</v>
          </cell>
          <cell r="M1762" t="str">
            <v>/28</v>
          </cell>
          <cell r="N1762">
            <v>2950</v>
          </cell>
          <cell r="O1762" t="str">
            <v>10.189.129.85</v>
          </cell>
          <cell r="P1762" t="str">
            <v>10.189.129.81</v>
          </cell>
          <cell r="Q1762" t="str">
            <v>/28</v>
          </cell>
          <cell r="R1762">
            <v>3450</v>
          </cell>
        </row>
        <row r="1763">
          <cell r="E1763" t="str">
            <v>ET010</v>
          </cell>
          <cell r="G1763" t="str">
            <v>10.189.89.86</v>
          </cell>
          <cell r="H1763" t="str">
            <v>10.189.89.81</v>
          </cell>
          <cell r="I1763" t="str">
            <v>/28</v>
          </cell>
          <cell r="J1763">
            <v>2650</v>
          </cell>
          <cell r="K1763" t="str">
            <v>10.189.109.86</v>
          </cell>
          <cell r="L1763" t="str">
            <v>10.189.109.81</v>
          </cell>
          <cell r="M1763" t="str">
            <v>/28</v>
          </cell>
          <cell r="N1763">
            <v>2950</v>
          </cell>
          <cell r="O1763" t="str">
            <v>10.189.129.86</v>
          </cell>
          <cell r="P1763" t="str">
            <v>10.189.129.81</v>
          </cell>
          <cell r="Q1763" t="str">
            <v>/28</v>
          </cell>
          <cell r="R1763">
            <v>3450</v>
          </cell>
        </row>
        <row r="1764">
          <cell r="E1764" t="str">
            <v>ET010</v>
          </cell>
          <cell r="G1764" t="str">
            <v>10.189.89.87</v>
          </cell>
          <cell r="H1764" t="str">
            <v>10.189.89.81</v>
          </cell>
          <cell r="I1764" t="str">
            <v>/28</v>
          </cell>
          <cell r="J1764">
            <v>2650</v>
          </cell>
          <cell r="K1764" t="str">
            <v>10.189.109.87</v>
          </cell>
          <cell r="L1764" t="str">
            <v>10.189.109.81</v>
          </cell>
          <cell r="M1764" t="str">
            <v>/28</v>
          </cell>
          <cell r="N1764">
            <v>2950</v>
          </cell>
          <cell r="O1764" t="str">
            <v>10.189.129.87</v>
          </cell>
          <cell r="P1764" t="str">
            <v>10.189.129.81</v>
          </cell>
          <cell r="Q1764" t="str">
            <v>/28</v>
          </cell>
          <cell r="R1764">
            <v>3450</v>
          </cell>
        </row>
        <row r="1765">
          <cell r="E1765" t="str">
            <v>ET010</v>
          </cell>
          <cell r="G1765" t="str">
            <v>10.189.89.88</v>
          </cell>
          <cell r="H1765" t="str">
            <v>10.189.89.81</v>
          </cell>
          <cell r="I1765" t="str">
            <v>/28</v>
          </cell>
          <cell r="J1765">
            <v>2650</v>
          </cell>
          <cell r="K1765" t="str">
            <v>10.189.109.88</v>
          </cell>
          <cell r="L1765" t="str">
            <v>10.189.109.81</v>
          </cell>
          <cell r="M1765" t="str">
            <v>/28</v>
          </cell>
          <cell r="N1765">
            <v>2950</v>
          </cell>
          <cell r="O1765" t="str">
            <v>10.189.129.88</v>
          </cell>
          <cell r="P1765" t="str">
            <v>10.189.129.81</v>
          </cell>
          <cell r="Q1765" t="str">
            <v>/28</v>
          </cell>
          <cell r="R1765">
            <v>3450</v>
          </cell>
        </row>
        <row r="1766">
          <cell r="E1766" t="str">
            <v>ET010</v>
          </cell>
          <cell r="G1766" t="str">
            <v>10.189.89.89</v>
          </cell>
          <cell r="H1766" t="str">
            <v>10.189.89.81</v>
          </cell>
          <cell r="I1766" t="str">
            <v>/28</v>
          </cell>
          <cell r="J1766">
            <v>2650</v>
          </cell>
          <cell r="K1766" t="str">
            <v>10.189.109.89</v>
          </cell>
          <cell r="L1766" t="str">
            <v>10.189.109.81</v>
          </cell>
          <cell r="M1766" t="str">
            <v>/28</v>
          </cell>
          <cell r="N1766">
            <v>2950</v>
          </cell>
          <cell r="O1766" t="str">
            <v>10.189.129.89</v>
          </cell>
          <cell r="P1766" t="str">
            <v>10.189.129.81</v>
          </cell>
          <cell r="Q1766" t="str">
            <v>/28</v>
          </cell>
          <cell r="R1766">
            <v>3450</v>
          </cell>
        </row>
        <row r="1767">
          <cell r="E1767" t="str">
            <v>ET010</v>
          </cell>
          <cell r="G1767" t="str">
            <v>10.189.89.90</v>
          </cell>
          <cell r="H1767" t="str">
            <v>10.189.89.81</v>
          </cell>
          <cell r="I1767" t="str">
            <v>/28</v>
          </cell>
          <cell r="J1767">
            <v>2650</v>
          </cell>
          <cell r="K1767" t="str">
            <v>10.189.109.90</v>
          </cell>
          <cell r="L1767" t="str">
            <v>10.189.109.81</v>
          </cell>
          <cell r="M1767" t="str">
            <v>/28</v>
          </cell>
          <cell r="N1767">
            <v>2950</v>
          </cell>
          <cell r="O1767" t="str">
            <v>10.189.129.90</v>
          </cell>
          <cell r="P1767" t="str">
            <v>10.189.129.81</v>
          </cell>
          <cell r="Q1767" t="str">
            <v>/28</v>
          </cell>
          <cell r="R1767">
            <v>3450</v>
          </cell>
        </row>
        <row r="1768">
          <cell r="E1768" t="str">
            <v>ET010</v>
          </cell>
          <cell r="G1768" t="str">
            <v>10.189.89.91</v>
          </cell>
          <cell r="H1768" t="str">
            <v>10.189.89.81</v>
          </cell>
          <cell r="I1768" t="str">
            <v>/28</v>
          </cell>
          <cell r="J1768">
            <v>2650</v>
          </cell>
          <cell r="K1768" t="str">
            <v>10.189.109.91</v>
          </cell>
          <cell r="L1768" t="str">
            <v>10.189.109.81</v>
          </cell>
          <cell r="M1768" t="str">
            <v>/28</v>
          </cell>
          <cell r="N1768">
            <v>2950</v>
          </cell>
          <cell r="O1768" t="str">
            <v>10.189.129.91</v>
          </cell>
          <cell r="P1768" t="str">
            <v>10.189.129.81</v>
          </cell>
          <cell r="Q1768" t="str">
            <v>/28</v>
          </cell>
          <cell r="R1768">
            <v>3450</v>
          </cell>
        </row>
        <row r="1769">
          <cell r="E1769" t="str">
            <v>ET010</v>
          </cell>
          <cell r="G1769" t="str">
            <v>10.189.89.92</v>
          </cell>
          <cell r="H1769" t="str">
            <v>10.189.89.81</v>
          </cell>
          <cell r="I1769" t="str">
            <v>/28</v>
          </cell>
          <cell r="J1769">
            <v>2650</v>
          </cell>
          <cell r="K1769" t="str">
            <v>10.189.109.92</v>
          </cell>
          <cell r="L1769" t="str">
            <v>10.189.109.81</v>
          </cell>
          <cell r="M1769" t="str">
            <v>/28</v>
          </cell>
          <cell r="N1769">
            <v>2950</v>
          </cell>
          <cell r="O1769" t="str">
            <v>10.189.129.92</v>
          </cell>
          <cell r="P1769" t="str">
            <v>10.189.129.81</v>
          </cell>
          <cell r="Q1769" t="str">
            <v>/28</v>
          </cell>
          <cell r="R1769">
            <v>3450</v>
          </cell>
        </row>
        <row r="1770">
          <cell r="E1770" t="str">
            <v>ET010</v>
          </cell>
          <cell r="G1770" t="str">
            <v>10.189.89.93</v>
          </cell>
          <cell r="H1770" t="str">
            <v>10.189.89.81</v>
          </cell>
          <cell r="I1770" t="str">
            <v>/28</v>
          </cell>
          <cell r="J1770">
            <v>2650</v>
          </cell>
          <cell r="K1770" t="str">
            <v>10.189.109.93</v>
          </cell>
          <cell r="L1770" t="str">
            <v>10.189.109.81</v>
          </cell>
          <cell r="M1770" t="str">
            <v>/28</v>
          </cell>
          <cell r="N1770">
            <v>2950</v>
          </cell>
          <cell r="O1770" t="str">
            <v>10.189.129.93</v>
          </cell>
          <cell r="P1770" t="str">
            <v>10.189.129.81</v>
          </cell>
          <cell r="Q1770" t="str">
            <v>/28</v>
          </cell>
          <cell r="R1770">
            <v>3450</v>
          </cell>
        </row>
        <row r="1771">
          <cell r="E1771" t="str">
            <v>ET010</v>
          </cell>
          <cell r="G1771" t="str">
            <v>10.189.89.94</v>
          </cell>
          <cell r="H1771" t="str">
            <v>10.189.89.81</v>
          </cell>
          <cell r="I1771" t="str">
            <v>/28</v>
          </cell>
          <cell r="J1771">
            <v>2650</v>
          </cell>
          <cell r="K1771" t="str">
            <v>10.189.109.94</v>
          </cell>
          <cell r="L1771" t="str">
            <v>10.189.109.81</v>
          </cell>
          <cell r="M1771" t="str">
            <v>/28</v>
          </cell>
          <cell r="N1771">
            <v>2950</v>
          </cell>
          <cell r="O1771" t="str">
            <v>10.189.129.94</v>
          </cell>
          <cell r="P1771" t="str">
            <v>10.189.129.81</v>
          </cell>
          <cell r="Q1771" t="str">
            <v>/28</v>
          </cell>
          <cell r="R1771">
            <v>3450</v>
          </cell>
        </row>
        <row r="1772">
          <cell r="E1772" t="str">
            <v>ET010</v>
          </cell>
          <cell r="G1772" t="str">
            <v>10.189.89.95</v>
          </cell>
          <cell r="H1772" t="str">
            <v>10.189.89.81</v>
          </cell>
          <cell r="I1772" t="str">
            <v>/28</v>
          </cell>
          <cell r="J1772">
            <v>2650</v>
          </cell>
          <cell r="K1772" t="str">
            <v>10.189.109.95</v>
          </cell>
          <cell r="L1772" t="str">
            <v>10.189.109.81</v>
          </cell>
          <cell r="M1772" t="str">
            <v>/28</v>
          </cell>
          <cell r="N1772">
            <v>2950</v>
          </cell>
          <cell r="O1772" t="str">
            <v>10.189.129.95</v>
          </cell>
          <cell r="P1772" t="str">
            <v>10.189.129.81</v>
          </cell>
          <cell r="Q1772" t="str">
            <v>/28</v>
          </cell>
          <cell r="R1772">
            <v>3450</v>
          </cell>
        </row>
        <row r="1773">
          <cell r="E1773" t="str">
            <v>ET443</v>
          </cell>
          <cell r="G1773" t="str">
            <v>10.189.89.32</v>
          </cell>
          <cell r="H1773" t="str">
            <v>10.189.89.33</v>
          </cell>
          <cell r="I1773" t="str">
            <v>/28</v>
          </cell>
          <cell r="J1773">
            <v>2652</v>
          </cell>
          <cell r="K1773" t="str">
            <v>10.189.109.32</v>
          </cell>
          <cell r="L1773" t="str">
            <v>10.189.109.33</v>
          </cell>
          <cell r="M1773" t="str">
            <v>/28</v>
          </cell>
          <cell r="N1773">
            <v>2952</v>
          </cell>
          <cell r="O1773" t="str">
            <v>10.189.129.32</v>
          </cell>
          <cell r="P1773" t="str">
            <v>10.189.129.33</v>
          </cell>
          <cell r="Q1773" t="str">
            <v>/28</v>
          </cell>
          <cell r="R1773">
            <v>3452</v>
          </cell>
        </row>
        <row r="1774">
          <cell r="E1774" t="str">
            <v>ET443</v>
          </cell>
          <cell r="G1774" t="str">
            <v>10.189.89.33</v>
          </cell>
          <cell r="H1774" t="str">
            <v>10.189.89.33</v>
          </cell>
          <cell r="I1774" t="str">
            <v>/28</v>
          </cell>
          <cell r="J1774">
            <v>2652</v>
          </cell>
          <cell r="K1774" t="str">
            <v>10.189.109.33</v>
          </cell>
          <cell r="L1774" t="str">
            <v>10.189.109.33</v>
          </cell>
          <cell r="M1774" t="str">
            <v>/28</v>
          </cell>
          <cell r="N1774">
            <v>2952</v>
          </cell>
          <cell r="O1774" t="str">
            <v>10.189.129.33</v>
          </cell>
          <cell r="P1774" t="str">
            <v>10.189.129.33</v>
          </cell>
          <cell r="Q1774" t="str">
            <v>/28</v>
          </cell>
          <cell r="R1774">
            <v>3452</v>
          </cell>
        </row>
        <row r="1775">
          <cell r="E1775" t="str">
            <v>ET443</v>
          </cell>
          <cell r="G1775" t="str">
            <v>10.189.89.34</v>
          </cell>
          <cell r="H1775" t="str">
            <v>10.189.89.33</v>
          </cell>
          <cell r="I1775" t="str">
            <v>/28</v>
          </cell>
          <cell r="J1775">
            <v>2652</v>
          </cell>
          <cell r="K1775" t="str">
            <v>10.189.109.34</v>
          </cell>
          <cell r="L1775" t="str">
            <v>10.189.109.33</v>
          </cell>
          <cell r="M1775" t="str">
            <v>/28</v>
          </cell>
          <cell r="N1775">
            <v>2952</v>
          </cell>
          <cell r="O1775" t="str">
            <v>10.189.129.34</v>
          </cell>
          <cell r="P1775" t="str">
            <v>10.189.129.33</v>
          </cell>
          <cell r="Q1775" t="str">
            <v>/28</v>
          </cell>
          <cell r="R1775">
            <v>3452</v>
          </cell>
        </row>
        <row r="1776">
          <cell r="E1776" t="str">
            <v>ET443</v>
          </cell>
          <cell r="G1776" t="str">
            <v>10.189.89.35</v>
          </cell>
          <cell r="H1776" t="str">
            <v>10.189.89.33</v>
          </cell>
          <cell r="I1776" t="str">
            <v>/28</v>
          </cell>
          <cell r="J1776">
            <v>2652</v>
          </cell>
          <cell r="K1776" t="str">
            <v>10.189.109.35</v>
          </cell>
          <cell r="L1776" t="str">
            <v>10.189.109.33</v>
          </cell>
          <cell r="M1776" t="str">
            <v>/28</v>
          </cell>
          <cell r="N1776">
            <v>2952</v>
          </cell>
          <cell r="O1776" t="str">
            <v>10.189.129.35</v>
          </cell>
          <cell r="P1776" t="str">
            <v>10.189.129.33</v>
          </cell>
          <cell r="Q1776" t="str">
            <v>/28</v>
          </cell>
          <cell r="R1776">
            <v>3452</v>
          </cell>
        </row>
        <row r="1777">
          <cell r="E1777" t="str">
            <v>ET443</v>
          </cell>
          <cell r="G1777" t="str">
            <v>10.189.89.36</v>
          </cell>
          <cell r="H1777" t="str">
            <v>10.189.89.33</v>
          </cell>
          <cell r="I1777" t="str">
            <v>/28</v>
          </cell>
          <cell r="J1777">
            <v>2652</v>
          </cell>
          <cell r="K1777" t="str">
            <v>10.189.109.36</v>
          </cell>
          <cell r="L1777" t="str">
            <v>10.189.109.33</v>
          </cell>
          <cell r="M1777" t="str">
            <v>/28</v>
          </cell>
          <cell r="N1777">
            <v>2952</v>
          </cell>
          <cell r="O1777" t="str">
            <v>10.189.129.36</v>
          </cell>
          <cell r="P1777" t="str">
            <v>10.189.129.33</v>
          </cell>
          <cell r="Q1777" t="str">
            <v>/28</v>
          </cell>
          <cell r="R1777">
            <v>3452</v>
          </cell>
        </row>
        <row r="1778">
          <cell r="E1778" t="str">
            <v>ET443</v>
          </cell>
          <cell r="G1778" t="str">
            <v>10.189.89.37</v>
          </cell>
          <cell r="H1778" t="str">
            <v>10.189.89.33</v>
          </cell>
          <cell r="I1778" t="str">
            <v>/28</v>
          </cell>
          <cell r="J1778">
            <v>2652</v>
          </cell>
          <cell r="K1778" t="str">
            <v>10.189.109.37</v>
          </cell>
          <cell r="L1778" t="str">
            <v>10.189.109.33</v>
          </cell>
          <cell r="M1778" t="str">
            <v>/28</v>
          </cell>
          <cell r="N1778">
            <v>2952</v>
          </cell>
          <cell r="O1778" t="str">
            <v>10.189.129.37</v>
          </cell>
          <cell r="P1778" t="str">
            <v>10.189.129.33</v>
          </cell>
          <cell r="Q1778" t="str">
            <v>/28</v>
          </cell>
          <cell r="R1778">
            <v>3452</v>
          </cell>
        </row>
        <row r="1779">
          <cell r="E1779" t="str">
            <v>ET443</v>
          </cell>
          <cell r="G1779" t="str">
            <v>10.189.89.38</v>
          </cell>
          <cell r="H1779" t="str">
            <v>10.189.89.33</v>
          </cell>
          <cell r="I1779" t="str">
            <v>/28</v>
          </cell>
          <cell r="J1779">
            <v>2652</v>
          </cell>
          <cell r="K1779" t="str">
            <v>10.189.109.38</v>
          </cell>
          <cell r="L1779" t="str">
            <v>10.189.109.33</v>
          </cell>
          <cell r="M1779" t="str">
            <v>/28</v>
          </cell>
          <cell r="N1779">
            <v>2952</v>
          </cell>
          <cell r="O1779" t="str">
            <v>10.189.129.38</v>
          </cell>
          <cell r="P1779" t="str">
            <v>10.189.129.33</v>
          </cell>
          <cell r="Q1779" t="str">
            <v>/28</v>
          </cell>
          <cell r="R1779">
            <v>3452</v>
          </cell>
        </row>
        <row r="1780">
          <cell r="E1780" t="str">
            <v>ET443</v>
          </cell>
          <cell r="G1780" t="str">
            <v>10.189.89.39</v>
          </cell>
          <cell r="H1780" t="str">
            <v>10.189.89.33</v>
          </cell>
          <cell r="I1780" t="str">
            <v>/28</v>
          </cell>
          <cell r="J1780">
            <v>2652</v>
          </cell>
          <cell r="K1780" t="str">
            <v>10.189.109.39</v>
          </cell>
          <cell r="L1780" t="str">
            <v>10.189.109.33</v>
          </cell>
          <cell r="M1780" t="str">
            <v>/28</v>
          </cell>
          <cell r="N1780">
            <v>2952</v>
          </cell>
          <cell r="O1780" t="str">
            <v>10.189.129.39</v>
          </cell>
          <cell r="P1780" t="str">
            <v>10.189.129.33</v>
          </cell>
          <cell r="Q1780" t="str">
            <v>/28</v>
          </cell>
          <cell r="R1780">
            <v>3452</v>
          </cell>
        </row>
        <row r="1781">
          <cell r="E1781" t="str">
            <v>ET443</v>
          </cell>
          <cell r="G1781" t="str">
            <v>10.189.89.40</v>
          </cell>
          <cell r="H1781" t="str">
            <v>10.189.89.33</v>
          </cell>
          <cell r="I1781" t="str">
            <v>/28</v>
          </cell>
          <cell r="J1781">
            <v>2652</v>
          </cell>
          <cell r="K1781" t="str">
            <v>10.189.109.40</v>
          </cell>
          <cell r="L1781" t="str">
            <v>10.189.109.33</v>
          </cell>
          <cell r="M1781" t="str">
            <v>/28</v>
          </cell>
          <cell r="N1781">
            <v>2952</v>
          </cell>
          <cell r="O1781" t="str">
            <v>10.189.129.40</v>
          </cell>
          <cell r="P1781" t="str">
            <v>10.189.129.33</v>
          </cell>
          <cell r="Q1781" t="str">
            <v>/28</v>
          </cell>
          <cell r="R1781">
            <v>3452</v>
          </cell>
        </row>
        <row r="1782">
          <cell r="E1782" t="str">
            <v>ET443</v>
          </cell>
          <cell r="G1782" t="str">
            <v>10.189.89.41</v>
          </cell>
          <cell r="H1782" t="str">
            <v>10.189.89.33</v>
          </cell>
          <cell r="I1782" t="str">
            <v>/28</v>
          </cell>
          <cell r="J1782">
            <v>2652</v>
          </cell>
          <cell r="K1782" t="str">
            <v>10.189.109.41</v>
          </cell>
          <cell r="L1782" t="str">
            <v>10.189.109.33</v>
          </cell>
          <cell r="M1782" t="str">
            <v>/28</v>
          </cell>
          <cell r="N1782">
            <v>2952</v>
          </cell>
          <cell r="O1782" t="str">
            <v>10.189.129.41</v>
          </cell>
          <cell r="P1782" t="str">
            <v>10.189.129.33</v>
          </cell>
          <cell r="Q1782" t="str">
            <v>/28</v>
          </cell>
          <cell r="R1782">
            <v>3452</v>
          </cell>
        </row>
        <row r="1783">
          <cell r="E1783" t="str">
            <v>ET443</v>
          </cell>
          <cell r="G1783" t="str">
            <v>10.189.89.42</v>
          </cell>
          <cell r="H1783" t="str">
            <v>10.189.89.33</v>
          </cell>
          <cell r="I1783" t="str">
            <v>/28</v>
          </cell>
          <cell r="J1783">
            <v>2652</v>
          </cell>
          <cell r="K1783" t="str">
            <v>10.189.109.42</v>
          </cell>
          <cell r="L1783" t="str">
            <v>10.189.109.33</v>
          </cell>
          <cell r="M1783" t="str">
            <v>/28</v>
          </cell>
          <cell r="N1783">
            <v>2952</v>
          </cell>
          <cell r="O1783" t="str">
            <v>10.189.129.42</v>
          </cell>
          <cell r="P1783" t="str">
            <v>10.189.129.33</v>
          </cell>
          <cell r="Q1783" t="str">
            <v>/28</v>
          </cell>
          <cell r="R1783">
            <v>3452</v>
          </cell>
        </row>
        <row r="1784">
          <cell r="E1784" t="str">
            <v>ET443</v>
          </cell>
          <cell r="G1784" t="str">
            <v>10.189.89.43</v>
          </cell>
          <cell r="H1784" t="str">
            <v>10.189.89.33</v>
          </cell>
          <cell r="I1784" t="str">
            <v>/28</v>
          </cell>
          <cell r="J1784">
            <v>2652</v>
          </cell>
          <cell r="K1784" t="str">
            <v>10.189.109.43</v>
          </cell>
          <cell r="L1784" t="str">
            <v>10.189.109.33</v>
          </cell>
          <cell r="M1784" t="str">
            <v>/28</v>
          </cell>
          <cell r="N1784">
            <v>2952</v>
          </cell>
          <cell r="O1784" t="str">
            <v>10.189.129.43</v>
          </cell>
          <cell r="P1784" t="str">
            <v>10.189.129.33</v>
          </cell>
          <cell r="Q1784" t="str">
            <v>/28</v>
          </cell>
          <cell r="R1784">
            <v>3452</v>
          </cell>
        </row>
        <row r="1785">
          <cell r="E1785" t="str">
            <v>ET443</v>
          </cell>
          <cell r="G1785" t="str">
            <v>10.189.89.44</v>
          </cell>
          <cell r="H1785" t="str">
            <v>10.189.89.33</v>
          </cell>
          <cell r="I1785" t="str">
            <v>/28</v>
          </cell>
          <cell r="J1785">
            <v>2652</v>
          </cell>
          <cell r="K1785" t="str">
            <v>10.189.109.44</v>
          </cell>
          <cell r="L1785" t="str">
            <v>10.189.109.33</v>
          </cell>
          <cell r="M1785" t="str">
            <v>/28</v>
          </cell>
          <cell r="N1785">
            <v>2952</v>
          </cell>
          <cell r="O1785" t="str">
            <v>10.189.129.44</v>
          </cell>
          <cell r="P1785" t="str">
            <v>10.189.129.33</v>
          </cell>
          <cell r="Q1785" t="str">
            <v>/28</v>
          </cell>
          <cell r="R1785">
            <v>3452</v>
          </cell>
        </row>
        <row r="1786">
          <cell r="E1786" t="str">
            <v>ET443</v>
          </cell>
          <cell r="G1786" t="str">
            <v>10.189.89.45</v>
          </cell>
          <cell r="H1786" t="str">
            <v>10.189.89.33</v>
          </cell>
          <cell r="I1786" t="str">
            <v>/28</v>
          </cell>
          <cell r="J1786">
            <v>2652</v>
          </cell>
          <cell r="K1786" t="str">
            <v>10.189.109.45</v>
          </cell>
          <cell r="L1786" t="str">
            <v>10.189.109.33</v>
          </cell>
          <cell r="M1786" t="str">
            <v>/28</v>
          </cell>
          <cell r="N1786">
            <v>2952</v>
          </cell>
          <cell r="O1786" t="str">
            <v>10.189.129.45</v>
          </cell>
          <cell r="P1786" t="str">
            <v>10.189.129.33</v>
          </cell>
          <cell r="Q1786" t="str">
            <v>/28</v>
          </cell>
          <cell r="R1786">
            <v>3452</v>
          </cell>
        </row>
        <row r="1787">
          <cell r="E1787" t="str">
            <v>ET443</v>
          </cell>
          <cell r="G1787" t="str">
            <v>10.189.89.46</v>
          </cell>
          <cell r="H1787" t="str">
            <v>10.189.89.33</v>
          </cell>
          <cell r="I1787" t="str">
            <v>/28</v>
          </cell>
          <cell r="J1787">
            <v>2652</v>
          </cell>
          <cell r="K1787" t="str">
            <v>10.189.109.46</v>
          </cell>
          <cell r="L1787" t="str">
            <v>10.189.109.33</v>
          </cell>
          <cell r="M1787" t="str">
            <v>/28</v>
          </cell>
          <cell r="N1787">
            <v>2952</v>
          </cell>
          <cell r="O1787" t="str">
            <v>10.189.129.46</v>
          </cell>
          <cell r="P1787" t="str">
            <v>10.189.129.33</v>
          </cell>
          <cell r="Q1787" t="str">
            <v>/28</v>
          </cell>
          <cell r="R1787">
            <v>3452</v>
          </cell>
        </row>
        <row r="1788">
          <cell r="E1788" t="str">
            <v>ET443</v>
          </cell>
          <cell r="G1788" t="str">
            <v>10.189.89.47</v>
          </cell>
          <cell r="H1788" t="str">
            <v>10.189.89.33</v>
          </cell>
          <cell r="I1788" t="str">
            <v>/28</v>
          </cell>
          <cell r="J1788">
            <v>2652</v>
          </cell>
          <cell r="K1788" t="str">
            <v>10.189.109.47</v>
          </cell>
          <cell r="L1788" t="str">
            <v>10.189.109.33</v>
          </cell>
          <cell r="M1788" t="str">
            <v>/28</v>
          </cell>
          <cell r="N1788">
            <v>2952</v>
          </cell>
          <cell r="O1788" t="str">
            <v>10.189.129.47</v>
          </cell>
          <cell r="P1788" t="str">
            <v>10.189.129.33</v>
          </cell>
          <cell r="Q1788" t="str">
            <v>/28</v>
          </cell>
          <cell r="R1788">
            <v>3452</v>
          </cell>
        </row>
        <row r="1789">
          <cell r="E1789" t="str">
            <v>AC534</v>
          </cell>
        </row>
        <row r="1790">
          <cell r="E1790" t="str">
            <v>AC534</v>
          </cell>
        </row>
        <row r="1791">
          <cell r="E1791" t="str">
            <v>AC534</v>
          </cell>
        </row>
        <row r="1792">
          <cell r="E1792" t="str">
            <v>AC534</v>
          </cell>
        </row>
        <row r="1793">
          <cell r="E1793" t="str">
            <v>AC534</v>
          </cell>
        </row>
        <row r="1794">
          <cell r="E1794" t="str">
            <v>AC534</v>
          </cell>
        </row>
        <row r="1795">
          <cell r="E1795" t="str">
            <v>AC534</v>
          </cell>
        </row>
        <row r="1796">
          <cell r="E1796" t="str">
            <v>AC534</v>
          </cell>
        </row>
        <row r="1797">
          <cell r="E1797" t="str">
            <v>AC534</v>
          </cell>
        </row>
        <row r="1798">
          <cell r="E1798" t="str">
            <v>AC534</v>
          </cell>
        </row>
        <row r="1799">
          <cell r="E1799" t="str">
            <v>AC534</v>
          </cell>
        </row>
        <row r="1800">
          <cell r="E1800" t="str">
            <v>AC534</v>
          </cell>
        </row>
        <row r="1801">
          <cell r="E1801" t="str">
            <v>AC534</v>
          </cell>
        </row>
        <row r="1802">
          <cell r="E1802" t="str">
            <v>AC534</v>
          </cell>
        </row>
        <row r="1803">
          <cell r="E1803" t="str">
            <v>AC534</v>
          </cell>
        </row>
        <row r="1804">
          <cell r="E1804" t="str">
            <v>AC534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0FF3-974E-46D8-B75F-4F28F34EB3E0}">
  <dimension ref="A1:K39"/>
  <sheetViews>
    <sheetView tabSelected="1" workbookViewId="0">
      <selection activeCell="C41" sqref="C41"/>
    </sheetView>
  </sheetViews>
  <sheetFormatPr defaultRowHeight="14.5" x14ac:dyDescent="0.35"/>
  <cols>
    <col min="1" max="1" width="13.90625" bestFit="1" customWidth="1"/>
    <col min="2" max="4" width="13.90625" customWidth="1"/>
    <col min="5" max="5" width="14.08984375" bestFit="1" customWidth="1"/>
    <col min="7" max="7" width="19.36328125" bestFit="1" customWidth="1"/>
    <col min="9" max="9" width="11" bestFit="1" customWidth="1"/>
    <col min="11" max="11" width="13.7265625" bestFit="1" customWidth="1"/>
  </cols>
  <sheetData>
    <row r="1" spans="1:11" ht="15.5" thickTop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ht="15" thickTop="1" x14ac:dyDescent="0.35">
      <c r="A2" s="8" t="s">
        <v>11</v>
      </c>
      <c r="B2" s="9">
        <v>27</v>
      </c>
      <c r="C2" s="9">
        <v>1300</v>
      </c>
      <c r="D2" t="s">
        <v>12</v>
      </c>
      <c r="E2" s="8" t="s">
        <v>13</v>
      </c>
      <c r="F2" s="10" t="s">
        <v>14</v>
      </c>
      <c r="G2" s="11" t="s">
        <v>15</v>
      </c>
      <c r="H2" s="12" t="s">
        <v>38</v>
      </c>
      <c r="I2" s="12" t="s">
        <v>39</v>
      </c>
      <c r="J2" s="12" t="s">
        <v>16</v>
      </c>
      <c r="K2" s="13" t="s">
        <v>17</v>
      </c>
    </row>
    <row r="3" spans="1:11" x14ac:dyDescent="0.35">
      <c r="A3" s="8" t="s">
        <v>18</v>
      </c>
      <c r="B3" s="9">
        <v>27</v>
      </c>
      <c r="C3" s="9">
        <v>1310</v>
      </c>
      <c r="D3" t="s">
        <v>19</v>
      </c>
      <c r="E3" s="8" t="s">
        <v>13</v>
      </c>
      <c r="F3" s="10" t="s">
        <v>14</v>
      </c>
      <c r="G3" s="11" t="s">
        <v>15</v>
      </c>
      <c r="H3" s="14" t="s">
        <v>38</v>
      </c>
      <c r="I3" s="14" t="s">
        <v>39</v>
      </c>
      <c r="J3" s="14" t="s">
        <v>16</v>
      </c>
      <c r="K3" s="15" t="s">
        <v>17</v>
      </c>
    </row>
    <row r="4" spans="1:11" x14ac:dyDescent="0.35">
      <c r="A4" s="8" t="s">
        <v>20</v>
      </c>
      <c r="B4" s="9">
        <v>27</v>
      </c>
      <c r="C4" s="9">
        <v>1320</v>
      </c>
      <c r="D4" t="s">
        <v>21</v>
      </c>
      <c r="E4" s="8" t="s">
        <v>13</v>
      </c>
      <c r="F4" s="10" t="s">
        <v>14</v>
      </c>
      <c r="G4" s="11" t="s">
        <v>15</v>
      </c>
      <c r="H4" s="14" t="s">
        <v>38</v>
      </c>
      <c r="I4" s="14" t="s">
        <v>39</v>
      </c>
      <c r="J4" s="14" t="s">
        <v>16</v>
      </c>
      <c r="K4" s="15" t="s">
        <v>17</v>
      </c>
    </row>
    <row r="5" spans="1:11" x14ac:dyDescent="0.35">
      <c r="A5" s="8" t="s">
        <v>22</v>
      </c>
      <c r="B5" s="9">
        <v>30</v>
      </c>
      <c r="C5" s="9">
        <v>1942</v>
      </c>
      <c r="D5" t="s">
        <v>23</v>
      </c>
      <c r="E5" s="8" t="s">
        <v>13</v>
      </c>
      <c r="F5" s="10" t="s">
        <v>14</v>
      </c>
      <c r="G5" s="11" t="s">
        <v>15</v>
      </c>
      <c r="H5" s="14" t="s">
        <v>38</v>
      </c>
      <c r="I5" s="14" t="s">
        <v>39</v>
      </c>
      <c r="J5" s="14" t="s">
        <v>16</v>
      </c>
      <c r="K5" s="15" t="s">
        <v>17</v>
      </c>
    </row>
    <row r="6" spans="1:11" x14ac:dyDescent="0.35">
      <c r="A6" s="8" t="s">
        <v>24</v>
      </c>
      <c r="B6" s="9">
        <v>27</v>
      </c>
      <c r="C6" s="9">
        <v>1330</v>
      </c>
      <c r="D6" t="s">
        <v>25</v>
      </c>
      <c r="E6" s="8" t="s">
        <v>13</v>
      </c>
      <c r="F6" s="10" t="s">
        <v>14</v>
      </c>
      <c r="G6" s="11" t="s">
        <v>15</v>
      </c>
      <c r="H6" s="14" t="s">
        <v>38</v>
      </c>
      <c r="I6" s="14" t="s">
        <v>39</v>
      </c>
      <c r="J6" s="14" t="s">
        <v>16</v>
      </c>
      <c r="K6" s="15" t="s">
        <v>17</v>
      </c>
    </row>
    <row r="7" spans="1:11" ht="15" thickBot="1" x14ac:dyDescent="0.4">
      <c r="A7" s="16" t="s">
        <v>26</v>
      </c>
      <c r="B7" s="17">
        <v>30</v>
      </c>
      <c r="C7" s="17">
        <v>1972</v>
      </c>
      <c r="D7" s="18" t="s">
        <v>27</v>
      </c>
      <c r="E7" s="16" t="s">
        <v>13</v>
      </c>
      <c r="F7" s="19" t="s">
        <v>14</v>
      </c>
      <c r="G7" s="20" t="s">
        <v>15</v>
      </c>
      <c r="H7" s="21" t="s">
        <v>38</v>
      </c>
      <c r="I7" s="21" t="s">
        <v>39</v>
      </c>
      <c r="J7" s="21" t="s">
        <v>16</v>
      </c>
      <c r="K7" s="22" t="s">
        <v>17</v>
      </c>
    </row>
    <row r="8" spans="1:11" ht="15" thickTop="1" x14ac:dyDescent="0.35">
      <c r="A8" s="23" t="s">
        <v>28</v>
      </c>
      <c r="B8" s="24">
        <v>27</v>
      </c>
      <c r="C8" s="24">
        <v>801</v>
      </c>
      <c r="D8" s="25" t="s">
        <v>12</v>
      </c>
      <c r="E8" s="23" t="s">
        <v>29</v>
      </c>
      <c r="F8" s="26" t="s">
        <v>14</v>
      </c>
      <c r="G8" s="25" t="s">
        <v>30</v>
      </c>
      <c r="H8" s="27" t="s">
        <v>40</v>
      </c>
      <c r="I8" s="28" t="s">
        <v>41</v>
      </c>
      <c r="J8" s="28" t="s">
        <v>31</v>
      </c>
      <c r="K8" s="29" t="s">
        <v>32</v>
      </c>
    </row>
    <row r="9" spans="1:11" x14ac:dyDescent="0.35">
      <c r="A9" s="8" t="s">
        <v>33</v>
      </c>
      <c r="B9" s="9">
        <v>27</v>
      </c>
      <c r="C9" s="9">
        <v>811</v>
      </c>
      <c r="D9" s="30" t="s">
        <v>19</v>
      </c>
      <c r="E9" s="8" t="s">
        <v>29</v>
      </c>
      <c r="F9" s="10" t="s">
        <v>14</v>
      </c>
      <c r="G9" s="30" t="s">
        <v>30</v>
      </c>
      <c r="H9" s="31" t="s">
        <v>40</v>
      </c>
      <c r="I9" s="32" t="s">
        <v>41</v>
      </c>
      <c r="J9" s="32" t="s">
        <v>31</v>
      </c>
      <c r="K9" s="11" t="s">
        <v>32</v>
      </c>
    </row>
    <row r="10" spans="1:11" x14ac:dyDescent="0.35">
      <c r="A10" s="8" t="s">
        <v>34</v>
      </c>
      <c r="B10" s="9">
        <v>27</v>
      </c>
      <c r="C10" s="9">
        <v>821</v>
      </c>
      <c r="D10" s="30" t="s">
        <v>21</v>
      </c>
      <c r="E10" s="8" t="s">
        <v>29</v>
      </c>
      <c r="F10" s="10" t="s">
        <v>14</v>
      </c>
      <c r="G10" s="30" t="s">
        <v>30</v>
      </c>
      <c r="H10" s="31" t="s">
        <v>40</v>
      </c>
      <c r="I10" s="32" t="s">
        <v>41</v>
      </c>
      <c r="J10" s="32" t="s">
        <v>31</v>
      </c>
      <c r="K10" s="11" t="s">
        <v>32</v>
      </c>
    </row>
    <row r="11" spans="1:11" x14ac:dyDescent="0.35">
      <c r="A11" s="8" t="s">
        <v>35</v>
      </c>
      <c r="B11" s="9">
        <v>30</v>
      </c>
      <c r="C11" s="9">
        <v>1942</v>
      </c>
      <c r="D11" s="30" t="s">
        <v>23</v>
      </c>
      <c r="E11" s="8" t="s">
        <v>29</v>
      </c>
      <c r="F11" s="10" t="s">
        <v>14</v>
      </c>
      <c r="G11" s="30" t="s">
        <v>30</v>
      </c>
      <c r="H11" s="31" t="s">
        <v>40</v>
      </c>
      <c r="I11" s="32" t="s">
        <v>41</v>
      </c>
      <c r="J11" s="32" t="s">
        <v>31</v>
      </c>
      <c r="K11" s="11" t="s">
        <v>32</v>
      </c>
    </row>
    <row r="12" spans="1:11" x14ac:dyDescent="0.35">
      <c r="A12" s="8" t="s">
        <v>36</v>
      </c>
      <c r="B12" s="9">
        <v>27</v>
      </c>
      <c r="C12" s="9">
        <v>831</v>
      </c>
      <c r="D12" s="30" t="s">
        <v>25</v>
      </c>
      <c r="E12" s="8" t="s">
        <v>29</v>
      </c>
      <c r="F12" s="10" t="s">
        <v>14</v>
      </c>
      <c r="G12" s="30" t="s">
        <v>30</v>
      </c>
      <c r="H12" s="31" t="s">
        <v>40</v>
      </c>
      <c r="I12" s="32" t="s">
        <v>41</v>
      </c>
      <c r="J12" s="32" t="s">
        <v>31</v>
      </c>
      <c r="K12" s="11" t="s">
        <v>32</v>
      </c>
    </row>
    <row r="13" spans="1:11" ht="15" thickBot="1" x14ac:dyDescent="0.4">
      <c r="A13" s="16" t="s">
        <v>37</v>
      </c>
      <c r="B13" s="17">
        <v>30</v>
      </c>
      <c r="C13" s="17">
        <v>1972</v>
      </c>
      <c r="D13" s="33" t="s">
        <v>27</v>
      </c>
      <c r="E13" s="16" t="s">
        <v>29</v>
      </c>
      <c r="F13" s="19" t="s">
        <v>14</v>
      </c>
      <c r="G13" s="33" t="s">
        <v>30</v>
      </c>
      <c r="H13" s="34" t="s">
        <v>40</v>
      </c>
      <c r="I13" s="35" t="s">
        <v>41</v>
      </c>
      <c r="J13" s="35" t="s">
        <v>31</v>
      </c>
      <c r="K13" s="20" t="s">
        <v>32</v>
      </c>
    </row>
    <row r="14" spans="1:11" ht="15" thickTop="1" x14ac:dyDescent="0.35">
      <c r="A14" s="23" t="s">
        <v>47</v>
      </c>
      <c r="B14" s="37">
        <v>28</v>
      </c>
      <c r="C14" s="37">
        <v>2650</v>
      </c>
      <c r="D14" s="25" t="s">
        <v>12</v>
      </c>
      <c r="E14" s="23" t="s">
        <v>42</v>
      </c>
      <c r="F14" s="38" t="s">
        <v>14</v>
      </c>
      <c r="G14" s="25" t="s">
        <v>46</v>
      </c>
      <c r="H14" s="38" t="str">
        <f>VLOOKUP(E14,[2]Feuil1!$B:$D,3,0)</f>
        <v>-2.99805156</v>
      </c>
      <c r="I14" s="38" t="str">
        <f>VLOOKUP(E14,[2]Feuil1!$B:$E,4,0)</f>
        <v>9.26950392</v>
      </c>
      <c r="J14" s="38" t="str">
        <f>VLOOKUP(E14,[2]Feuil1!$B:$N,13,0)</f>
        <v>UPCOUNTRY</v>
      </c>
      <c r="K14" s="25"/>
    </row>
    <row r="15" spans="1:11" x14ac:dyDescent="0.35">
      <c r="A15" s="8" t="s">
        <v>48</v>
      </c>
      <c r="B15" s="36">
        <v>28</v>
      </c>
      <c r="C15" s="36">
        <v>2950</v>
      </c>
      <c r="D15" s="30" t="s">
        <v>19</v>
      </c>
      <c r="E15" s="8" t="s">
        <v>42</v>
      </c>
      <c r="F15" s="39" t="s">
        <v>14</v>
      </c>
      <c r="G15" s="30" t="s">
        <v>46</v>
      </c>
      <c r="H15" s="39" t="str">
        <f>VLOOKUP(E15,[2]Feuil1!$B:$D,3,0)</f>
        <v>-2.99805156</v>
      </c>
      <c r="I15" s="39" t="str">
        <f>VLOOKUP(E15,[2]Feuil1!$B:$E,4,0)</f>
        <v>9.26950392</v>
      </c>
      <c r="J15" s="39" t="str">
        <f>VLOOKUP(E15,[2]Feuil1!$B:$N,13,0)</f>
        <v>UPCOUNTRY</v>
      </c>
      <c r="K15" s="30"/>
    </row>
    <row r="16" spans="1:11" x14ac:dyDescent="0.35">
      <c r="A16" s="8" t="str">
        <f>VLOOKUP($E16,'[3]IPRAN Huawei Subnetting'!$E:$R,11,0)</f>
        <v>10.189.129.48</v>
      </c>
      <c r="B16" s="39" t="str">
        <f>MID(VLOOKUP($E16,'[3]IPRAN Huawei Subnetting'!$E:$R,13,0),2,2)</f>
        <v>28</v>
      </c>
      <c r="C16" s="40">
        <f>VLOOKUP($E16,'[3]IPRAN Huawei Subnetting'!$E:$R,14,0)</f>
        <v>3450</v>
      </c>
      <c r="D16" s="30" t="s">
        <v>21</v>
      </c>
      <c r="E16" s="8" t="s">
        <v>42</v>
      </c>
      <c r="F16" s="39" t="s">
        <v>14</v>
      </c>
      <c r="G16" s="30" t="s">
        <v>46</v>
      </c>
      <c r="H16" s="39" t="str">
        <f>VLOOKUP(E16,[2]Feuil1!$B:$D,3,0)</f>
        <v>-2.99805156</v>
      </c>
      <c r="I16" s="39" t="str">
        <f>VLOOKUP(E16,[2]Feuil1!$B:$E,4,0)</f>
        <v>9.26950392</v>
      </c>
      <c r="J16" s="39" t="str">
        <f>VLOOKUP(E16,[2]Feuil1!$B:$N,13,0)</f>
        <v>UPCOUNTRY</v>
      </c>
      <c r="K16" s="30"/>
    </row>
    <row r="17" spans="1:11" x14ac:dyDescent="0.35">
      <c r="A17" s="8" t="s">
        <v>49</v>
      </c>
      <c r="B17" s="40">
        <v>30</v>
      </c>
      <c r="C17" s="40">
        <v>1940</v>
      </c>
      <c r="D17" s="30" t="s">
        <v>23</v>
      </c>
      <c r="E17" s="8" t="s">
        <v>42</v>
      </c>
      <c r="F17" s="39" t="s">
        <v>14</v>
      </c>
      <c r="G17" s="30" t="s">
        <v>46</v>
      </c>
      <c r="H17" s="39" t="str">
        <f>VLOOKUP(E17,[2]Feuil1!$B:$D,3,0)</f>
        <v>-2.99805156</v>
      </c>
      <c r="I17" s="39" t="str">
        <f>VLOOKUP(E17,[2]Feuil1!$B:$E,4,0)</f>
        <v>9.26950392</v>
      </c>
      <c r="J17" s="39" t="str">
        <f>VLOOKUP(E17,[2]Feuil1!$B:$N,13,0)</f>
        <v>UPCOUNTRY</v>
      </c>
      <c r="K17" s="30"/>
    </row>
    <row r="18" spans="1:11" x14ac:dyDescent="0.35">
      <c r="A18" s="8" t="s">
        <v>50</v>
      </c>
      <c r="B18" s="40">
        <v>28</v>
      </c>
      <c r="C18" s="40">
        <v>3750</v>
      </c>
      <c r="D18" s="30" t="s">
        <v>25</v>
      </c>
      <c r="E18" s="8" t="s">
        <v>42</v>
      </c>
      <c r="F18" s="39" t="s">
        <v>14</v>
      </c>
      <c r="G18" s="30" t="s">
        <v>46</v>
      </c>
      <c r="H18" s="39" t="str">
        <f>VLOOKUP(E18,[2]Feuil1!$B:$D,3,0)</f>
        <v>-2.99805156</v>
      </c>
      <c r="I18" s="39" t="str">
        <f>VLOOKUP(E18,[2]Feuil1!$B:$E,4,0)</f>
        <v>9.26950392</v>
      </c>
      <c r="J18" s="39" t="str">
        <f>VLOOKUP(E18,[2]Feuil1!$B:$N,13,0)</f>
        <v>UPCOUNTRY</v>
      </c>
      <c r="K18" s="30"/>
    </row>
    <row r="19" spans="1:11" ht="15" thickBot="1" x14ac:dyDescent="0.4">
      <c r="A19" s="8" t="s">
        <v>51</v>
      </c>
      <c r="B19" s="40">
        <v>30</v>
      </c>
      <c r="C19" s="40">
        <v>1970</v>
      </c>
      <c r="D19" s="30" t="s">
        <v>27</v>
      </c>
      <c r="E19" s="16" t="s">
        <v>42</v>
      </c>
      <c r="F19" s="18" t="s">
        <v>14</v>
      </c>
      <c r="G19" s="33" t="s">
        <v>46</v>
      </c>
      <c r="H19" s="39" t="str">
        <f>VLOOKUP(E19,[2]Feuil1!$B:$D,3,0)</f>
        <v>-2.99805156</v>
      </c>
      <c r="I19" s="39" t="str">
        <f>VLOOKUP(E19,[2]Feuil1!$B:$E,4,0)</f>
        <v>9.26950392</v>
      </c>
      <c r="J19" s="39" t="str">
        <f>VLOOKUP(E19,[2]Feuil1!$B:$N,13,0)</f>
        <v>UPCOUNTRY</v>
      </c>
      <c r="K19" s="30"/>
    </row>
    <row r="20" spans="1:11" ht="15" thickTop="1" x14ac:dyDescent="0.35">
      <c r="A20" s="23" t="s">
        <v>52</v>
      </c>
      <c r="B20" s="24">
        <v>27</v>
      </c>
      <c r="C20" s="24">
        <v>1300</v>
      </c>
      <c r="D20" s="25" t="s">
        <v>12</v>
      </c>
      <c r="E20" s="23" t="s">
        <v>43</v>
      </c>
      <c r="F20" s="38" t="s">
        <v>14</v>
      </c>
      <c r="G20" s="25" t="str">
        <f>_xlfn.XLOOKUP(E20,[1]Sheet1!$AH:$AH,[1]Sheet1!$AJ:$AJ,"not found",2,1)</f>
        <v>AC628PEASR920_01</v>
      </c>
      <c r="H20" s="38" t="str">
        <f>VLOOKUP(E20,[2]Feuil1!$B:$D,3,0)</f>
        <v>-4.0976</v>
      </c>
      <c r="I20" s="38" t="str">
        <f>VLOOKUP(E20,[2]Feuil1!$B:$E,4,0)</f>
        <v>5.37986</v>
      </c>
      <c r="J20" s="38" t="str">
        <f>VLOOKUP(E20,[2]Feuil1!$B:$N,13,0)</f>
        <v>ABIDJAN</v>
      </c>
      <c r="K20" s="25"/>
    </row>
    <row r="21" spans="1:11" x14ac:dyDescent="0.35">
      <c r="A21" s="8" t="s">
        <v>53</v>
      </c>
      <c r="B21" s="40">
        <v>27</v>
      </c>
      <c r="C21" s="40">
        <v>1310</v>
      </c>
      <c r="D21" s="30" t="s">
        <v>19</v>
      </c>
      <c r="E21" s="8" t="s">
        <v>43</v>
      </c>
      <c r="F21" s="39" t="s">
        <v>14</v>
      </c>
      <c r="G21" s="30" t="str">
        <f>_xlfn.XLOOKUP(E21,[1]Sheet1!$AH:$AH,[1]Sheet1!$AJ:$AJ,"not found",2,1)</f>
        <v>AC628PEASR920_01</v>
      </c>
      <c r="H21" s="39" t="str">
        <f>VLOOKUP(E21,[2]Feuil1!$B:$D,3,0)</f>
        <v>-4.0976</v>
      </c>
      <c r="I21" s="39" t="str">
        <f>VLOOKUP(E21,[2]Feuil1!$B:$E,4,0)</f>
        <v>5.37986</v>
      </c>
      <c r="J21" s="39" t="str">
        <f>VLOOKUP(E21,[2]Feuil1!$B:$N,13,0)</f>
        <v>ABIDJAN</v>
      </c>
      <c r="K21" s="30"/>
    </row>
    <row r="22" spans="1:11" x14ac:dyDescent="0.35">
      <c r="A22" s="8" t="s">
        <v>54</v>
      </c>
      <c r="B22" s="40">
        <v>27</v>
      </c>
      <c r="C22" s="40">
        <v>1320</v>
      </c>
      <c r="D22" s="30" t="s">
        <v>21</v>
      </c>
      <c r="E22" s="8" t="s">
        <v>43</v>
      </c>
      <c r="F22" s="39" t="s">
        <v>14</v>
      </c>
      <c r="G22" s="30" t="str">
        <f>_xlfn.XLOOKUP(E22,[1]Sheet1!$AH:$AH,[1]Sheet1!$AJ:$AJ,"not found",2,1)</f>
        <v>AC628PEASR920_01</v>
      </c>
      <c r="H22" s="39" t="str">
        <f>VLOOKUP(E22,[2]Feuil1!$B:$D,3,0)</f>
        <v>-4.0976</v>
      </c>
      <c r="I22" s="39" t="str">
        <f>VLOOKUP(E22,[2]Feuil1!$B:$E,4,0)</f>
        <v>5.37986</v>
      </c>
      <c r="J22" s="39" t="str">
        <f>VLOOKUP(E22,[2]Feuil1!$B:$N,13,0)</f>
        <v>ABIDJAN</v>
      </c>
      <c r="K22" s="30"/>
    </row>
    <row r="23" spans="1:11" x14ac:dyDescent="0.35">
      <c r="A23" s="8" t="s">
        <v>56</v>
      </c>
      <c r="B23" s="40">
        <v>30</v>
      </c>
      <c r="C23" s="40">
        <v>1940</v>
      </c>
      <c r="D23" s="30" t="s">
        <v>23</v>
      </c>
      <c r="E23" s="8" t="s">
        <v>43</v>
      </c>
      <c r="F23" s="39" t="s">
        <v>14</v>
      </c>
      <c r="G23" s="30" t="str">
        <f>_xlfn.XLOOKUP(E23,[1]Sheet1!$AH:$AH,[1]Sheet1!$AJ:$AJ,"not found",2,1)</f>
        <v>AC628PEASR920_01</v>
      </c>
      <c r="H23" s="39" t="str">
        <f>VLOOKUP(E23,[2]Feuil1!$B:$D,3,0)</f>
        <v>-4.0976</v>
      </c>
      <c r="I23" s="39" t="str">
        <f>VLOOKUP(E23,[2]Feuil1!$B:$E,4,0)</f>
        <v>5.37986</v>
      </c>
      <c r="J23" s="39" t="str">
        <f>VLOOKUP(E23,[2]Feuil1!$B:$N,13,0)</f>
        <v>ABIDJAN</v>
      </c>
      <c r="K23" s="30"/>
    </row>
    <row r="24" spans="1:11" x14ac:dyDescent="0.35">
      <c r="A24" s="8" t="s">
        <v>55</v>
      </c>
      <c r="B24" s="40">
        <v>27</v>
      </c>
      <c r="C24" s="40">
        <v>1330</v>
      </c>
      <c r="D24" s="30" t="s">
        <v>25</v>
      </c>
      <c r="E24" s="8" t="s">
        <v>43</v>
      </c>
      <c r="F24" s="39" t="s">
        <v>14</v>
      </c>
      <c r="G24" s="30" t="str">
        <f>_xlfn.XLOOKUP(E24,[1]Sheet1!$AH:$AH,[1]Sheet1!$AJ:$AJ,"not found",2,1)</f>
        <v>AC628PEASR920_01</v>
      </c>
      <c r="H24" s="39" t="str">
        <f>VLOOKUP(E24,[2]Feuil1!$B:$D,3,0)</f>
        <v>-4.0976</v>
      </c>
      <c r="I24" s="39" t="str">
        <f>VLOOKUP(E24,[2]Feuil1!$B:$E,4,0)</f>
        <v>5.37986</v>
      </c>
      <c r="J24" s="39" t="str">
        <f>VLOOKUP(E24,[2]Feuil1!$B:$N,13,0)</f>
        <v>ABIDJAN</v>
      </c>
      <c r="K24" s="30"/>
    </row>
    <row r="25" spans="1:11" ht="15" thickBot="1" x14ac:dyDescent="0.4">
      <c r="A25" s="16" t="s">
        <v>57</v>
      </c>
      <c r="B25" s="17">
        <v>30</v>
      </c>
      <c r="C25" s="17">
        <v>1970</v>
      </c>
      <c r="D25" s="33" t="s">
        <v>27</v>
      </c>
      <c r="E25" s="16" t="s">
        <v>43</v>
      </c>
      <c r="F25" s="18" t="s">
        <v>14</v>
      </c>
      <c r="G25" s="33" t="str">
        <f>_xlfn.XLOOKUP(E25,[1]Sheet1!$AH:$AH,[1]Sheet1!$AJ:$AJ,"not found",2,1)</f>
        <v>AC628PEASR920_01</v>
      </c>
      <c r="H25" s="18" t="str">
        <f>VLOOKUP(E25,[2]Feuil1!$B:$D,3,0)</f>
        <v>-4.0976</v>
      </c>
      <c r="I25" s="18" t="str">
        <f>VLOOKUP(E25,[2]Feuil1!$B:$E,4,0)</f>
        <v>5.37986</v>
      </c>
      <c r="J25" s="18" t="str">
        <f>VLOOKUP(E25,[2]Feuil1!$B:$N,13,0)</f>
        <v>ABIDJAN</v>
      </c>
      <c r="K25" s="33"/>
    </row>
    <row r="26" spans="1:11" ht="15.5" thickTop="1" thickBot="1" x14ac:dyDescent="0.4">
      <c r="A26" s="23" t="s">
        <v>58</v>
      </c>
      <c r="B26" s="37">
        <v>27</v>
      </c>
      <c r="C26" s="37">
        <v>1300</v>
      </c>
      <c r="D26" s="25" t="s">
        <v>12</v>
      </c>
      <c r="E26" s="42" t="s">
        <v>44</v>
      </c>
      <c r="F26" s="2" t="s">
        <v>14</v>
      </c>
      <c r="G26" s="43" t="str">
        <f>_xlfn.XLOOKUP(E26,[1]Sheet1!$AH:$AH,[1]Sheet1!$AJ:$AJ,"not found",2,1)</f>
        <v>AC324PEASR920_01</v>
      </c>
      <c r="H26" s="2" t="str">
        <f>VLOOKUP(E26,[2]Feuil1!$B:$D,3,0)</f>
        <v>-4.13242673</v>
      </c>
      <c r="I26" s="2" t="str">
        <f>VLOOKUP(E26,[2]Feuil1!$B:$E,4,0)</f>
        <v>5.33789266</v>
      </c>
      <c r="J26" s="2" t="str">
        <f>VLOOKUP(E26,[2]Feuil1!$B:$N,13,0)</f>
        <v>ABIDJAN</v>
      </c>
      <c r="K26" s="25"/>
    </row>
    <row r="27" spans="1:11" ht="15.5" thickTop="1" thickBot="1" x14ac:dyDescent="0.4">
      <c r="A27" s="8" t="s">
        <v>59</v>
      </c>
      <c r="B27" s="36">
        <v>27</v>
      </c>
      <c r="C27" s="36">
        <v>1310</v>
      </c>
      <c r="D27" s="30" t="s">
        <v>19</v>
      </c>
      <c r="E27" s="41" t="s">
        <v>44</v>
      </c>
      <c r="F27" s="18" t="s">
        <v>14</v>
      </c>
      <c r="G27" s="33" t="str">
        <f>_xlfn.XLOOKUP(E27,[1]Sheet1!$AH:$AH,[1]Sheet1!$AJ:$AJ,"not found",2,1)</f>
        <v>AC324PEASR920_01</v>
      </c>
      <c r="H27" s="18" t="str">
        <f>VLOOKUP(E27,[2]Feuil1!$B:$D,3,0)</f>
        <v>-4.13242673</v>
      </c>
      <c r="I27" s="18" t="str">
        <f>VLOOKUP(E27,[2]Feuil1!$B:$E,4,0)</f>
        <v>5.33789266</v>
      </c>
      <c r="J27" s="18" t="str">
        <f>VLOOKUP(E27,[2]Feuil1!$B:$N,13,0)</f>
        <v>ABIDJAN</v>
      </c>
      <c r="K27" s="30"/>
    </row>
    <row r="28" spans="1:11" ht="15.5" thickTop="1" thickBot="1" x14ac:dyDescent="0.4">
      <c r="A28" s="8" t="s">
        <v>60</v>
      </c>
      <c r="B28" s="36">
        <v>27</v>
      </c>
      <c r="C28" s="36">
        <v>1320</v>
      </c>
      <c r="D28" s="30" t="s">
        <v>21</v>
      </c>
      <c r="E28" s="41" t="s">
        <v>44</v>
      </c>
      <c r="F28" s="18" t="s">
        <v>14</v>
      </c>
      <c r="G28" s="33" t="str">
        <f>_xlfn.XLOOKUP(E28,[1]Sheet1!$AH:$AH,[1]Sheet1!$AJ:$AJ,"not found",2,1)</f>
        <v>AC324PEASR920_01</v>
      </c>
      <c r="H28" s="18" t="str">
        <f>VLOOKUP(E28,[2]Feuil1!$B:$D,3,0)</f>
        <v>-4.13242673</v>
      </c>
      <c r="I28" s="18" t="str">
        <f>VLOOKUP(E28,[2]Feuil1!$B:$E,4,0)</f>
        <v>5.33789266</v>
      </c>
      <c r="J28" s="18" t="str">
        <f>VLOOKUP(E28,[2]Feuil1!$B:$N,13,0)</f>
        <v>ABIDJAN</v>
      </c>
      <c r="K28" s="30"/>
    </row>
    <row r="29" spans="1:11" ht="15.5" thickTop="1" thickBot="1" x14ac:dyDescent="0.4">
      <c r="A29" s="8" t="s">
        <v>63</v>
      </c>
      <c r="B29" s="36">
        <v>30</v>
      </c>
      <c r="C29" s="36">
        <v>1940</v>
      </c>
      <c r="D29" s="30" t="s">
        <v>23</v>
      </c>
      <c r="E29" s="41" t="s">
        <v>44</v>
      </c>
      <c r="F29" s="18" t="s">
        <v>14</v>
      </c>
      <c r="G29" s="33" t="str">
        <f>_xlfn.XLOOKUP(E29,[1]Sheet1!$AH:$AH,[1]Sheet1!$AJ:$AJ,"not found",2,1)</f>
        <v>AC324PEASR920_01</v>
      </c>
      <c r="H29" s="18" t="str">
        <f>VLOOKUP(E29,[2]Feuil1!$B:$D,3,0)</f>
        <v>-4.13242673</v>
      </c>
      <c r="I29" s="18" t="str">
        <f>VLOOKUP(E29,[2]Feuil1!$B:$E,4,0)</f>
        <v>5.33789266</v>
      </c>
      <c r="J29" s="18" t="str">
        <f>VLOOKUP(E29,[2]Feuil1!$B:$N,13,0)</f>
        <v>ABIDJAN</v>
      </c>
      <c r="K29" s="30"/>
    </row>
    <row r="30" spans="1:11" ht="15.5" thickTop="1" thickBot="1" x14ac:dyDescent="0.4">
      <c r="A30" s="8" t="s">
        <v>61</v>
      </c>
      <c r="B30" s="36">
        <v>27</v>
      </c>
      <c r="C30" s="36">
        <v>1330</v>
      </c>
      <c r="D30" s="30" t="s">
        <v>25</v>
      </c>
      <c r="E30" s="41" t="s">
        <v>44</v>
      </c>
      <c r="F30" s="18" t="s">
        <v>14</v>
      </c>
      <c r="G30" s="33" t="str">
        <f>_xlfn.XLOOKUP(E30,[1]Sheet1!$AH:$AH,[1]Sheet1!$AJ:$AJ,"not found",2,1)</f>
        <v>AC324PEASR920_01</v>
      </c>
      <c r="H30" s="18" t="str">
        <f>VLOOKUP(E30,[2]Feuil1!$B:$D,3,0)</f>
        <v>-4.13242673</v>
      </c>
      <c r="I30" s="18" t="str">
        <f>VLOOKUP(E30,[2]Feuil1!$B:$E,4,0)</f>
        <v>5.33789266</v>
      </c>
      <c r="J30" s="18" t="str">
        <f>VLOOKUP(E30,[2]Feuil1!$B:$N,13,0)</f>
        <v>ABIDJAN</v>
      </c>
      <c r="K30" s="30"/>
    </row>
    <row r="31" spans="1:11" ht="15.5" thickTop="1" thickBot="1" x14ac:dyDescent="0.4">
      <c r="A31" s="16" t="s">
        <v>62</v>
      </c>
      <c r="B31" s="44">
        <v>30</v>
      </c>
      <c r="C31" s="44">
        <v>1970</v>
      </c>
      <c r="D31" s="33" t="s">
        <v>27</v>
      </c>
      <c r="E31" s="45" t="s">
        <v>44</v>
      </c>
      <c r="F31" s="18" t="s">
        <v>14</v>
      </c>
      <c r="G31" s="33" t="str">
        <f>_xlfn.XLOOKUP(E31,[1]Sheet1!$AH:$AH,[1]Sheet1!$AJ:$AJ,"not found",2,1)</f>
        <v>AC324PEASR920_01</v>
      </c>
      <c r="H31" s="18" t="str">
        <f>VLOOKUP(E31,[2]Feuil1!$B:$D,3,0)</f>
        <v>-4.13242673</v>
      </c>
      <c r="I31" s="18" t="str">
        <f>VLOOKUP(E31,[2]Feuil1!$B:$E,4,0)</f>
        <v>5.33789266</v>
      </c>
      <c r="J31" s="18" t="str">
        <f>VLOOKUP(E31,[2]Feuil1!$B:$N,13,0)</f>
        <v>ABIDJAN</v>
      </c>
      <c r="K31" s="33"/>
    </row>
    <row r="32" spans="1:11" ht="15.5" thickTop="1" thickBot="1" x14ac:dyDescent="0.4">
      <c r="A32" s="23" t="s">
        <v>64</v>
      </c>
      <c r="B32" s="37">
        <v>27</v>
      </c>
      <c r="C32" s="37">
        <v>1300</v>
      </c>
      <c r="D32" s="25" t="s">
        <v>12</v>
      </c>
      <c r="E32" s="42" t="s">
        <v>45</v>
      </c>
      <c r="F32" s="2" t="s">
        <v>14</v>
      </c>
      <c r="G32" s="43" t="str">
        <f>_xlfn.XLOOKUP(E32,[1]Sheet1!$AH:$AH,[1]Sheet1!$AJ:$AJ,"not found",2,1)</f>
        <v>AC001PEASR920_01</v>
      </c>
      <c r="H32" s="2" t="str">
        <f>VLOOKUP(E32,[2]Feuil1!$B:$D,3,0)</f>
        <v>-4.00509</v>
      </c>
      <c r="I32" s="2" t="str">
        <f>VLOOKUP(E32,[2]Feuil1!$B:$E,4,0)</f>
        <v>5.2877</v>
      </c>
      <c r="J32" s="2" t="str">
        <f>VLOOKUP(E32,[2]Feuil1!$B:$N,13,0)</f>
        <v>ABIDJAN</v>
      </c>
      <c r="K32" s="25"/>
    </row>
    <row r="33" spans="1:11" ht="15.5" thickTop="1" thickBot="1" x14ac:dyDescent="0.4">
      <c r="A33" s="8" t="s">
        <v>65</v>
      </c>
      <c r="B33" s="36">
        <v>27</v>
      </c>
      <c r="C33" s="36">
        <v>1310</v>
      </c>
      <c r="D33" s="30" t="s">
        <v>19</v>
      </c>
      <c r="E33" s="41" t="s">
        <v>45</v>
      </c>
      <c r="F33" s="18" t="s">
        <v>14</v>
      </c>
      <c r="G33" s="33" t="str">
        <f>_xlfn.XLOOKUP(E33,[1]Sheet1!$AH:$AH,[1]Sheet1!$AJ:$AJ,"not found",2,1)</f>
        <v>AC001PEASR920_01</v>
      </c>
      <c r="H33" s="18" t="str">
        <f>VLOOKUP(E33,[2]Feuil1!$B:$D,3,0)</f>
        <v>-4.00509</v>
      </c>
      <c r="I33" s="18" t="str">
        <f>VLOOKUP(E33,[2]Feuil1!$B:$E,4,0)</f>
        <v>5.2877</v>
      </c>
      <c r="J33" s="18" t="str">
        <f>VLOOKUP(E33,[2]Feuil1!$B:$N,13,0)</f>
        <v>ABIDJAN</v>
      </c>
      <c r="K33" s="30"/>
    </row>
    <row r="34" spans="1:11" ht="15.5" thickTop="1" thickBot="1" x14ac:dyDescent="0.4">
      <c r="A34" s="8" t="s">
        <v>66</v>
      </c>
      <c r="B34" s="36">
        <v>27</v>
      </c>
      <c r="C34" s="36">
        <v>1320</v>
      </c>
      <c r="D34" s="30" t="s">
        <v>21</v>
      </c>
      <c r="E34" s="41" t="s">
        <v>45</v>
      </c>
      <c r="F34" s="18" t="s">
        <v>14</v>
      </c>
      <c r="G34" s="33" t="str">
        <f>_xlfn.XLOOKUP(E34,[1]Sheet1!$AH:$AH,[1]Sheet1!$AJ:$AJ,"not found",2,1)</f>
        <v>AC001PEASR920_01</v>
      </c>
      <c r="H34" s="18" t="str">
        <f>VLOOKUP(E34,[2]Feuil1!$B:$D,3,0)</f>
        <v>-4.00509</v>
      </c>
      <c r="I34" s="18" t="str">
        <f>VLOOKUP(E34,[2]Feuil1!$B:$E,4,0)</f>
        <v>5.2877</v>
      </c>
      <c r="J34" s="18" t="str">
        <f>VLOOKUP(E34,[2]Feuil1!$B:$N,13,0)</f>
        <v>ABIDJAN</v>
      </c>
      <c r="K34" s="30"/>
    </row>
    <row r="35" spans="1:11" ht="15.5" thickTop="1" thickBot="1" x14ac:dyDescent="0.4">
      <c r="A35" s="8" t="s">
        <v>68</v>
      </c>
      <c r="B35" s="36">
        <v>30</v>
      </c>
      <c r="C35" s="36">
        <v>1940</v>
      </c>
      <c r="D35" s="30" t="s">
        <v>23</v>
      </c>
      <c r="E35" s="41" t="s">
        <v>45</v>
      </c>
      <c r="F35" s="18" t="s">
        <v>14</v>
      </c>
      <c r="G35" s="33" t="str">
        <f>_xlfn.XLOOKUP(E35,[1]Sheet1!$AH:$AH,[1]Sheet1!$AJ:$AJ,"not found",2,1)</f>
        <v>AC001PEASR920_01</v>
      </c>
      <c r="H35" s="18" t="str">
        <f>VLOOKUP(E35,[2]Feuil1!$B:$D,3,0)</f>
        <v>-4.00509</v>
      </c>
      <c r="I35" s="18" t="str">
        <f>VLOOKUP(E35,[2]Feuil1!$B:$E,4,0)</f>
        <v>5.2877</v>
      </c>
      <c r="J35" s="18" t="str">
        <f>VLOOKUP(E35,[2]Feuil1!$B:$N,13,0)</f>
        <v>ABIDJAN</v>
      </c>
      <c r="K35" s="30"/>
    </row>
    <row r="36" spans="1:11" ht="15.5" thickTop="1" thickBot="1" x14ac:dyDescent="0.4">
      <c r="A36" s="8" t="s">
        <v>67</v>
      </c>
      <c r="B36" s="36">
        <v>27</v>
      </c>
      <c r="C36" s="36">
        <v>1330</v>
      </c>
      <c r="D36" s="30" t="s">
        <v>25</v>
      </c>
      <c r="E36" s="41" t="s">
        <v>45</v>
      </c>
      <c r="F36" s="18" t="s">
        <v>14</v>
      </c>
      <c r="G36" s="33" t="str">
        <f>_xlfn.XLOOKUP(E36,[1]Sheet1!$AH:$AH,[1]Sheet1!$AJ:$AJ,"not found",2,1)</f>
        <v>AC001PEASR920_01</v>
      </c>
      <c r="H36" s="18" t="str">
        <f>VLOOKUP(E36,[2]Feuil1!$B:$D,3,0)</f>
        <v>-4.00509</v>
      </c>
      <c r="I36" s="18" t="str">
        <f>VLOOKUP(E36,[2]Feuil1!$B:$E,4,0)</f>
        <v>5.2877</v>
      </c>
      <c r="J36" s="18" t="str">
        <f>VLOOKUP(E36,[2]Feuil1!$B:$N,13,0)</f>
        <v>ABIDJAN</v>
      </c>
      <c r="K36" s="30"/>
    </row>
    <row r="37" spans="1:11" ht="15.5" thickTop="1" thickBot="1" x14ac:dyDescent="0.4">
      <c r="A37" s="16" t="s">
        <v>69</v>
      </c>
      <c r="B37" s="44">
        <v>30</v>
      </c>
      <c r="C37" s="44">
        <v>1970</v>
      </c>
      <c r="D37" s="33" t="s">
        <v>27</v>
      </c>
      <c r="E37" s="45" t="s">
        <v>45</v>
      </c>
      <c r="F37" s="18" t="s">
        <v>14</v>
      </c>
      <c r="G37" s="33" t="str">
        <f>_xlfn.XLOOKUP(E37,[1]Sheet1!$AH:$AH,[1]Sheet1!$AJ:$AJ,"not found",2,1)</f>
        <v>AC001PEASR920_01</v>
      </c>
      <c r="H37" s="18" t="str">
        <f>VLOOKUP(E37,[2]Feuil1!$B:$D,3,0)</f>
        <v>-4.00509</v>
      </c>
      <c r="I37" s="18" t="str">
        <f>VLOOKUP(E37,[2]Feuil1!$B:$E,4,0)</f>
        <v>5.2877</v>
      </c>
      <c r="J37" s="18" t="str">
        <f>VLOOKUP(E37,[2]Feuil1!$B:$N,13,0)</f>
        <v>ABIDJAN</v>
      </c>
      <c r="K37" s="33"/>
    </row>
    <row r="38" spans="1:11" ht="15.5" thickTop="1" thickBot="1" x14ac:dyDescent="0.4">
      <c r="F38" s="18"/>
      <c r="G38" s="33"/>
      <c r="H38" s="18"/>
      <c r="I38" s="18"/>
      <c r="J38" s="18"/>
    </row>
    <row r="39" spans="1:11" ht="15" thickTop="1" x14ac:dyDescent="0.35"/>
  </sheetData>
  <autoFilter ref="A1:K82" xr:uid="{CC8D0FF3-974E-46D8-B75F-4F28F34EB3E0}"/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 Souate Jean Junior</dc:creator>
  <cp:lastModifiedBy>Zebi Souate Jean Junior</cp:lastModifiedBy>
  <dcterms:created xsi:type="dcterms:W3CDTF">2026-09-15T15:30:49Z</dcterms:created>
  <dcterms:modified xsi:type="dcterms:W3CDTF">2026-09-16T10:45:14Z</dcterms:modified>
</cp:coreProperties>
</file>